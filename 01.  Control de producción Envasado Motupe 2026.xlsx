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0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7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xbo\Documents\Performance App\"/>
    </mc:Choice>
  </mc:AlternateContent>
  <xr:revisionPtr revIDLastSave="0" documentId="13_ncr:1_{5EB26334-1150-4227-BA0B-AE87C428ED73}" xr6:coauthVersionLast="47" xr6:coauthVersionMax="47" xr10:uidLastSave="{00000000-0000-0000-0000-000000000000}"/>
  <bookViews>
    <workbookView xWindow="-120" yWindow="-120" windowWidth="38640" windowHeight="21120" tabRatio="675" firstSheet="25" activeTab="25" xr2:uid="{00000000-000D-0000-FFFF-FFFF00000000}"/>
  </bookViews>
  <sheets>
    <sheet name="Hoja10" sheetId="193" state="hidden" r:id="rId1"/>
    <sheet name="Hoja9" sheetId="192" state="hidden" r:id="rId2"/>
    <sheet name="Hoja8" sheetId="190" state="hidden" r:id="rId3"/>
    <sheet name="Hoja7" sheetId="189" state="hidden" r:id="rId4"/>
    <sheet name="Hoja6" sheetId="188" state="hidden" r:id="rId5"/>
    <sheet name="Hoja5" sheetId="187" state="hidden" r:id="rId6"/>
    <sheet name="Hoja3" sheetId="185" state="hidden" r:id="rId7"/>
    <sheet name="Hoja4" sheetId="186" state="hidden" r:id="rId8"/>
    <sheet name="Hoja1" sheetId="184" state="hidden" r:id="rId9"/>
    <sheet name="Hoja12" sheetId="197" state="hidden" r:id="rId10"/>
    <sheet name="Hoja13" sheetId="198" state="hidden" r:id="rId11"/>
    <sheet name="Hoja14" sheetId="266" state="hidden" r:id="rId12"/>
    <sheet name="Hoja15" sheetId="275" state="hidden" r:id="rId13"/>
    <sheet name="CIERRE SEM 48" sheetId="289" state="hidden" r:id="rId14"/>
    <sheet name="W49 2025" sheetId="282" state="hidden" r:id="rId15"/>
    <sheet name="CIERRE W49" sheetId="295" state="hidden" r:id="rId16"/>
    <sheet name="W48 2025" sheetId="288" state="hidden" r:id="rId17"/>
    <sheet name="W50 2025" sheetId="283" state="hidden" r:id="rId18"/>
    <sheet name="W51 2025" sheetId="284" state="hidden" r:id="rId19"/>
    <sheet name="W52 (2025)" sheetId="285" state="hidden" r:id="rId20"/>
    <sheet name="Hoja21" sheetId="301" state="hidden" r:id="rId21"/>
    <sheet name="REPORTE HORARIO SEM08 L1" sheetId="318" state="hidden" r:id="rId22"/>
    <sheet name="REPORTE HORARIO SEM08 L3" sheetId="315" state="hidden" r:id="rId23"/>
    <sheet name="HORA A HORA" sheetId="308" state="hidden" r:id="rId24"/>
    <sheet name="PROD HORA SEM 11" sheetId="323" state="hidden" r:id="rId25"/>
    <sheet name="HORA HORA L1" sheetId="348" r:id="rId26"/>
    <sheet name="HORA HORA L3" sheetId="349" r:id="rId27"/>
  </sheets>
  <definedNames>
    <definedName name="_xlnm._FilterDatabase" localSheetId="21" hidden="1">'REPORTE HORARIO SEM08 L1'!$A$9:$AC$9</definedName>
    <definedName name="_xlnm._FilterDatabase" localSheetId="22" hidden="1">'REPORTE HORARIO SEM08 L3'!$A$7:$AB$7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7" i="349" l="1"/>
  <c r="Q27" i="349"/>
  <c r="R27" i="349"/>
  <c r="S27" i="349"/>
  <c r="T27" i="349"/>
  <c r="U27" i="349"/>
  <c r="V27" i="349"/>
  <c r="O27" i="349"/>
  <c r="G38" i="349"/>
  <c r="F38" i="349"/>
  <c r="M24" i="349"/>
  <c r="E4" i="348" l="1"/>
  <c r="F27" i="348"/>
  <c r="G24" i="349"/>
  <c r="F30" i="348"/>
  <c r="F28" i="348"/>
  <c r="F33" i="348" s="1"/>
  <c r="L24" i="349"/>
  <c r="F24" i="349"/>
  <c r="E4" i="349"/>
  <c r="E5" i="349" s="1"/>
  <c r="H24" i="349"/>
  <c r="I24" i="349"/>
  <c r="J24" i="349"/>
  <c r="K24" i="349"/>
  <c r="N24" i="349"/>
  <c r="O24" i="349"/>
  <c r="P24" i="349"/>
  <c r="Q24" i="349"/>
  <c r="R24" i="349"/>
  <c r="S24" i="349"/>
  <c r="T24" i="349"/>
  <c r="U24" i="349"/>
  <c r="V24" i="349"/>
  <c r="W24" i="349"/>
  <c r="X24" i="349"/>
  <c r="Y24" i="349"/>
  <c r="Z24" i="349"/>
  <c r="AA24" i="349"/>
  <c r="AB24" i="349"/>
  <c r="AC24" i="349"/>
  <c r="N24" i="348"/>
  <c r="AC24" i="348"/>
  <c r="AB24" i="348"/>
  <c r="AA24" i="348"/>
  <c r="Z24" i="348"/>
  <c r="Y24" i="348"/>
  <c r="X24" i="348"/>
  <c r="W24" i="348"/>
  <c r="V24" i="348"/>
  <c r="U24" i="348"/>
  <c r="T24" i="348"/>
  <c r="S24" i="348"/>
  <c r="R24" i="348"/>
  <c r="Q24" i="348"/>
  <c r="P24" i="348"/>
  <c r="O24" i="348"/>
  <c r="M24" i="348"/>
  <c r="L24" i="348"/>
  <c r="K24" i="348"/>
  <c r="J24" i="348"/>
  <c r="I24" i="348"/>
  <c r="H24" i="348"/>
  <c r="G24" i="348"/>
  <c r="F24" i="348"/>
  <c r="AC33" i="349"/>
  <c r="AB33" i="349"/>
  <c r="AA33" i="349"/>
  <c r="Z33" i="349"/>
  <c r="Y33" i="349"/>
  <c r="X33" i="349"/>
  <c r="W33" i="349"/>
  <c r="V33" i="349"/>
  <c r="U33" i="349"/>
  <c r="T33" i="349"/>
  <c r="S33" i="349"/>
  <c r="R33" i="349"/>
  <c r="Q33" i="349"/>
  <c r="P33" i="349"/>
  <c r="O33" i="349"/>
  <c r="N33" i="349"/>
  <c r="M33" i="349"/>
  <c r="L33" i="349"/>
  <c r="K33" i="349"/>
  <c r="J33" i="349"/>
  <c r="I33" i="349"/>
  <c r="H33" i="349"/>
  <c r="G33" i="349"/>
  <c r="F33" i="349"/>
  <c r="AC30" i="349"/>
  <c r="AB30" i="349"/>
  <c r="AA30" i="349"/>
  <c r="Z30" i="349"/>
  <c r="Y30" i="349"/>
  <c r="X30" i="349"/>
  <c r="W30" i="349"/>
  <c r="V30" i="349"/>
  <c r="U30" i="349"/>
  <c r="T30" i="349"/>
  <c r="S30" i="349"/>
  <c r="R30" i="349"/>
  <c r="Q30" i="349"/>
  <c r="P30" i="349"/>
  <c r="O30" i="349"/>
  <c r="N30" i="349"/>
  <c r="M30" i="349"/>
  <c r="L30" i="349"/>
  <c r="K30" i="349"/>
  <c r="J30" i="349"/>
  <c r="I30" i="349"/>
  <c r="H30" i="349"/>
  <c r="G30" i="349"/>
  <c r="F30" i="349"/>
  <c r="F31" i="349" s="1"/>
  <c r="AC28" i="349"/>
  <c r="AB28" i="349"/>
  <c r="AA28" i="349"/>
  <c r="Z28" i="349"/>
  <c r="Y28" i="349"/>
  <c r="X28" i="349"/>
  <c r="W28" i="349"/>
  <c r="V28" i="349"/>
  <c r="U28" i="349"/>
  <c r="T28" i="349"/>
  <c r="S28" i="349"/>
  <c r="Q28" i="349"/>
  <c r="P28" i="349"/>
  <c r="O28" i="349"/>
  <c r="N28" i="349"/>
  <c r="M28" i="349"/>
  <c r="L28" i="349"/>
  <c r="K28" i="349"/>
  <c r="J28" i="349"/>
  <c r="I28" i="349"/>
  <c r="H28" i="349"/>
  <c r="G28" i="349"/>
  <c r="F28" i="349"/>
  <c r="F32" i="349" s="1"/>
  <c r="AG13" i="349"/>
  <c r="D13" i="349"/>
  <c r="Z5" i="349"/>
  <c r="I5" i="349"/>
  <c r="Z4" i="349"/>
  <c r="Q2" i="349"/>
  <c r="Q2" i="348"/>
  <c r="E5" i="348"/>
  <c r="Z4" i="348"/>
  <c r="I5" i="348"/>
  <c r="Z5" i="348"/>
  <c r="G28" i="348"/>
  <c r="H28" i="348"/>
  <c r="I28" i="348"/>
  <c r="J28" i="348"/>
  <c r="K28" i="348"/>
  <c r="L28" i="348"/>
  <c r="M28" i="348"/>
  <c r="N28" i="348"/>
  <c r="O28" i="348"/>
  <c r="P28" i="348"/>
  <c r="Q28" i="348"/>
  <c r="R28" i="348"/>
  <c r="S28" i="348"/>
  <c r="T28" i="348"/>
  <c r="U28" i="348"/>
  <c r="V28" i="348"/>
  <c r="W28" i="348"/>
  <c r="X28" i="348"/>
  <c r="Y28" i="348"/>
  <c r="Z28" i="348"/>
  <c r="AA28" i="348"/>
  <c r="AB28" i="348"/>
  <c r="AC28" i="348"/>
  <c r="G30" i="348"/>
  <c r="H30" i="348"/>
  <c r="I30" i="348"/>
  <c r="J30" i="348"/>
  <c r="K30" i="348"/>
  <c r="L30" i="348"/>
  <c r="M30" i="348"/>
  <c r="N30" i="348"/>
  <c r="O30" i="348"/>
  <c r="P30" i="348"/>
  <c r="Q30" i="348"/>
  <c r="R30" i="348"/>
  <c r="S30" i="348"/>
  <c r="T30" i="348"/>
  <c r="U30" i="348"/>
  <c r="V30" i="348"/>
  <c r="W30" i="348"/>
  <c r="X30" i="348"/>
  <c r="Y30" i="348"/>
  <c r="Z30" i="348"/>
  <c r="AA30" i="348"/>
  <c r="AB30" i="348"/>
  <c r="AC30" i="348"/>
  <c r="F32" i="348"/>
  <c r="F34" i="348"/>
  <c r="G34" i="348"/>
  <c r="H34" i="348"/>
  <c r="I34" i="348"/>
  <c r="J34" i="348"/>
  <c r="K34" i="348"/>
  <c r="L34" i="348"/>
  <c r="M34" i="348"/>
  <c r="N34" i="348"/>
  <c r="O34" i="348"/>
  <c r="P34" i="348"/>
  <c r="Q34" i="348"/>
  <c r="R34" i="348"/>
  <c r="S34" i="348"/>
  <c r="T34" i="348"/>
  <c r="U34" i="348"/>
  <c r="V34" i="348"/>
  <c r="W34" i="348"/>
  <c r="X34" i="348"/>
  <c r="Y34" i="348"/>
  <c r="Z34" i="348"/>
  <c r="AA34" i="348"/>
  <c r="AB34" i="348"/>
  <c r="AC34" i="348"/>
  <c r="I24" i="323"/>
  <c r="H40" i="323"/>
  <c r="I40" i="323" s="1"/>
  <c r="H39" i="323"/>
  <c r="I39" i="323" s="1"/>
  <c r="H38" i="323"/>
  <c r="I38" i="323" s="1"/>
  <c r="H37" i="323"/>
  <c r="I37" i="323" s="1"/>
  <c r="H36" i="323"/>
  <c r="I36" i="323" s="1"/>
  <c r="H35" i="323"/>
  <c r="I35" i="323" s="1"/>
  <c r="H33" i="323"/>
  <c r="I33" i="323" s="1"/>
  <c r="H34" i="323"/>
  <c r="I34" i="323" s="1"/>
  <c r="R40" i="323"/>
  <c r="S40" i="323" s="1"/>
  <c r="R39" i="323"/>
  <c r="R38" i="323"/>
  <c r="S38" i="323" s="1"/>
  <c r="R37" i="323"/>
  <c r="S37" i="323" s="1"/>
  <c r="R32" i="323"/>
  <c r="H22" i="323"/>
  <c r="I22" i="323" s="1"/>
  <c r="H21" i="323"/>
  <c r="I21" i="323" s="1"/>
  <c r="H20" i="323"/>
  <c r="I20" i="323" s="1"/>
  <c r="H19" i="323"/>
  <c r="I19" i="323" s="1"/>
  <c r="H15" i="323"/>
  <c r="I15" i="323" s="1"/>
  <c r="I6" i="323"/>
  <c r="M6" i="323"/>
  <c r="S6" i="323"/>
  <c r="AL6" i="323"/>
  <c r="AW6" i="323" s="1"/>
  <c r="AM6" i="323"/>
  <c r="AX6" i="323" s="1"/>
  <c r="AN6" i="323"/>
  <c r="AY6" i="323" s="1"/>
  <c r="AO6" i="323"/>
  <c r="AZ6" i="323" s="1"/>
  <c r="AP6" i="323"/>
  <c r="BA6" i="323" s="1"/>
  <c r="AQ6" i="323"/>
  <c r="BB6" i="323" s="1"/>
  <c r="AR6" i="323"/>
  <c r="BC6" i="323" s="1"/>
  <c r="I7" i="323"/>
  <c r="S7" i="323"/>
  <c r="AA7" i="323"/>
  <c r="AB7" i="323"/>
  <c r="AB20" i="323" s="1"/>
  <c r="AD7" i="323"/>
  <c r="I8" i="323"/>
  <c r="S8" i="323"/>
  <c r="AA8" i="323"/>
  <c r="AA21" i="323" s="1"/>
  <c r="AB8" i="323"/>
  <c r="AB21" i="323" s="1"/>
  <c r="AD8" i="323"/>
  <c r="I9" i="323"/>
  <c r="S9" i="323"/>
  <c r="AB9" i="323"/>
  <c r="AD9" i="323"/>
  <c r="I10" i="323"/>
  <c r="S10" i="323"/>
  <c r="AB10" i="323"/>
  <c r="AB23" i="323" s="1"/>
  <c r="AD10" i="323"/>
  <c r="I11" i="323"/>
  <c r="S11" i="323"/>
  <c r="AB11" i="323"/>
  <c r="AB24" i="323" s="1"/>
  <c r="I12" i="323"/>
  <c r="S12" i="323"/>
  <c r="AB12" i="323"/>
  <c r="AB25" i="323" s="1"/>
  <c r="AD12" i="323"/>
  <c r="I13" i="323"/>
  <c r="S13" i="323"/>
  <c r="AB13" i="323"/>
  <c r="AB26" i="323" s="1"/>
  <c r="E14" i="323"/>
  <c r="H14" i="323"/>
  <c r="O14" i="323"/>
  <c r="R14" i="323"/>
  <c r="M15" i="323"/>
  <c r="S15" i="323"/>
  <c r="I16" i="323"/>
  <c r="S16" i="323"/>
  <c r="I17" i="323"/>
  <c r="S17" i="323"/>
  <c r="I18" i="323"/>
  <c r="S18" i="323"/>
  <c r="S19" i="323"/>
  <c r="S20" i="323"/>
  <c r="S21" i="323"/>
  <c r="S22" i="323"/>
  <c r="E23" i="323"/>
  <c r="O23" i="323"/>
  <c r="M24" i="323"/>
  <c r="S24" i="323"/>
  <c r="I25" i="323"/>
  <c r="S25" i="323"/>
  <c r="I26" i="323"/>
  <c r="S26" i="323"/>
  <c r="I27" i="323"/>
  <c r="S27" i="323"/>
  <c r="AD27" i="323"/>
  <c r="I28" i="323"/>
  <c r="S28" i="323"/>
  <c r="I29" i="323"/>
  <c r="S29" i="323"/>
  <c r="AM29" i="323"/>
  <c r="AN29" i="323"/>
  <c r="AO29" i="323"/>
  <c r="AP29" i="323"/>
  <c r="AQ29" i="323"/>
  <c r="AR29" i="323"/>
  <c r="AX29" i="323"/>
  <c r="AY29" i="323"/>
  <c r="AZ29" i="323"/>
  <c r="BA29" i="323"/>
  <c r="BB29" i="323"/>
  <c r="BC29" i="323"/>
  <c r="I30" i="323"/>
  <c r="S30" i="323"/>
  <c r="AM30" i="323"/>
  <c r="AN30" i="323"/>
  <c r="AO30" i="323"/>
  <c r="AP30" i="323"/>
  <c r="AQ30" i="323"/>
  <c r="AR30" i="323"/>
  <c r="AX30" i="323"/>
  <c r="AY30" i="323"/>
  <c r="AZ30" i="323"/>
  <c r="BA30" i="323"/>
  <c r="BB30" i="323"/>
  <c r="BC30" i="323"/>
  <c r="I31" i="323"/>
  <c r="S31" i="323"/>
  <c r="E32" i="323"/>
  <c r="H32" i="323"/>
  <c r="O32" i="323"/>
  <c r="B33" i="323"/>
  <c r="B60" i="323" s="1"/>
  <c r="B87" i="323" s="1"/>
  <c r="B114" i="323" s="1"/>
  <c r="B141" i="323" s="1"/>
  <c r="B168" i="323" s="1"/>
  <c r="M33" i="323"/>
  <c r="S33" i="323"/>
  <c r="S34" i="323"/>
  <c r="S35" i="323"/>
  <c r="S36" i="323"/>
  <c r="E41" i="323"/>
  <c r="O41" i="323"/>
  <c r="I42" i="323"/>
  <c r="M42" i="323"/>
  <c r="S42" i="323"/>
  <c r="I43" i="323"/>
  <c r="S43" i="323"/>
  <c r="I44" i="323"/>
  <c r="S44" i="323"/>
  <c r="I45" i="323"/>
  <c r="S45" i="323"/>
  <c r="I46" i="323"/>
  <c r="S46" i="323"/>
  <c r="I47" i="323"/>
  <c r="S47" i="323"/>
  <c r="I48" i="323"/>
  <c r="S48" i="323"/>
  <c r="I49" i="323"/>
  <c r="S49" i="323"/>
  <c r="E50" i="323"/>
  <c r="H50" i="323"/>
  <c r="O50" i="323"/>
  <c r="R50" i="323"/>
  <c r="I51" i="323"/>
  <c r="M51" i="323"/>
  <c r="S51" i="323"/>
  <c r="I52" i="323"/>
  <c r="S52" i="323"/>
  <c r="I53" i="323"/>
  <c r="S53" i="323"/>
  <c r="I54" i="323"/>
  <c r="S54" i="323"/>
  <c r="I55" i="323"/>
  <c r="S55" i="323"/>
  <c r="I56" i="323"/>
  <c r="S56" i="323"/>
  <c r="I57" i="323"/>
  <c r="S57" i="323"/>
  <c r="I58" i="323"/>
  <c r="S58" i="323"/>
  <c r="E59" i="323"/>
  <c r="H59" i="323"/>
  <c r="O59" i="323"/>
  <c r="R59" i="323"/>
  <c r="I60" i="323"/>
  <c r="M60" i="323"/>
  <c r="S60" i="323"/>
  <c r="I61" i="323"/>
  <c r="S61" i="323"/>
  <c r="I62" i="323"/>
  <c r="S62" i="323"/>
  <c r="I63" i="323"/>
  <c r="S63" i="323"/>
  <c r="I64" i="323"/>
  <c r="S64" i="323"/>
  <c r="I65" i="323"/>
  <c r="S65" i="323"/>
  <c r="I66" i="323"/>
  <c r="S66" i="323"/>
  <c r="I67" i="323"/>
  <c r="S67" i="323"/>
  <c r="E68" i="323"/>
  <c r="H68" i="323"/>
  <c r="O68" i="323"/>
  <c r="R68" i="323"/>
  <c r="I69" i="323"/>
  <c r="M69" i="323"/>
  <c r="S69" i="323"/>
  <c r="I70" i="323"/>
  <c r="S70" i="323"/>
  <c r="I71" i="323"/>
  <c r="S71" i="323"/>
  <c r="I72" i="323"/>
  <c r="S72" i="323"/>
  <c r="I73" i="323"/>
  <c r="S73" i="323"/>
  <c r="I74" i="323"/>
  <c r="S74" i="323"/>
  <c r="I75" i="323"/>
  <c r="S75" i="323"/>
  <c r="I76" i="323"/>
  <c r="S76" i="323"/>
  <c r="E77" i="323"/>
  <c r="H77" i="323"/>
  <c r="O77" i="323"/>
  <c r="R77" i="323"/>
  <c r="I78" i="323"/>
  <c r="M78" i="323"/>
  <c r="S78" i="323"/>
  <c r="I79" i="323"/>
  <c r="S79" i="323"/>
  <c r="I80" i="323"/>
  <c r="S80" i="323"/>
  <c r="I81" i="323"/>
  <c r="S81" i="323"/>
  <c r="I82" i="323"/>
  <c r="S82" i="323"/>
  <c r="I83" i="323"/>
  <c r="S83" i="323"/>
  <c r="I84" i="323"/>
  <c r="S84" i="323"/>
  <c r="I85" i="323"/>
  <c r="S85" i="323"/>
  <c r="E86" i="323"/>
  <c r="H86" i="323"/>
  <c r="O86" i="323"/>
  <c r="R86" i="323"/>
  <c r="I87" i="323"/>
  <c r="M87" i="323"/>
  <c r="S87" i="323"/>
  <c r="I88" i="323"/>
  <c r="S88" i="323"/>
  <c r="I89" i="323"/>
  <c r="S89" i="323"/>
  <c r="I90" i="323"/>
  <c r="S90" i="323"/>
  <c r="I91" i="323"/>
  <c r="S91" i="323"/>
  <c r="I92" i="323"/>
  <c r="S92" i="323"/>
  <c r="I93" i="323"/>
  <c r="S93" i="323"/>
  <c r="I94" i="323"/>
  <c r="S94" i="323"/>
  <c r="E95" i="323"/>
  <c r="H95" i="323"/>
  <c r="O95" i="323"/>
  <c r="R95" i="323"/>
  <c r="I96" i="323"/>
  <c r="M96" i="323"/>
  <c r="S96" i="323"/>
  <c r="I97" i="323"/>
  <c r="S97" i="323"/>
  <c r="I98" i="323"/>
  <c r="S98" i="323"/>
  <c r="I99" i="323"/>
  <c r="S99" i="323"/>
  <c r="I100" i="323"/>
  <c r="S100" i="323"/>
  <c r="I101" i="323"/>
  <c r="S101" i="323"/>
  <c r="I102" i="323"/>
  <c r="S102" i="323"/>
  <c r="I103" i="323"/>
  <c r="S103" i="323"/>
  <c r="E104" i="323"/>
  <c r="H104" i="323"/>
  <c r="O104" i="323"/>
  <c r="R104" i="323"/>
  <c r="I105" i="323"/>
  <c r="M105" i="323"/>
  <c r="S105" i="323"/>
  <c r="I106" i="323"/>
  <c r="S106" i="323"/>
  <c r="I107" i="323"/>
  <c r="S107" i="323"/>
  <c r="I108" i="323"/>
  <c r="S108" i="323"/>
  <c r="I109" i="323"/>
  <c r="S109" i="323"/>
  <c r="I110" i="323"/>
  <c r="S110" i="323"/>
  <c r="I111" i="323"/>
  <c r="S111" i="323"/>
  <c r="I112" i="323"/>
  <c r="S112" i="323"/>
  <c r="E113" i="323"/>
  <c r="H113" i="323"/>
  <c r="O113" i="323"/>
  <c r="R113" i="323"/>
  <c r="I114" i="323"/>
  <c r="M114" i="323"/>
  <c r="S114" i="323"/>
  <c r="I115" i="323"/>
  <c r="S115" i="323"/>
  <c r="I116" i="323"/>
  <c r="S116" i="323"/>
  <c r="I117" i="323"/>
  <c r="S117" i="323"/>
  <c r="I118" i="323"/>
  <c r="S118" i="323"/>
  <c r="I119" i="323"/>
  <c r="S119" i="323"/>
  <c r="I120" i="323"/>
  <c r="S120" i="323"/>
  <c r="I121" i="323"/>
  <c r="S121" i="323"/>
  <c r="E122" i="323"/>
  <c r="H122" i="323"/>
  <c r="O122" i="323"/>
  <c r="R122" i="323"/>
  <c r="I123" i="323"/>
  <c r="S123" i="323"/>
  <c r="I124" i="323"/>
  <c r="S124" i="323"/>
  <c r="I125" i="323"/>
  <c r="S125" i="323"/>
  <c r="I126" i="323"/>
  <c r="S126" i="323"/>
  <c r="I127" i="323"/>
  <c r="S127" i="323"/>
  <c r="I128" i="323"/>
  <c r="S128" i="323"/>
  <c r="I129" i="323"/>
  <c r="S129" i="323"/>
  <c r="I130" i="323"/>
  <c r="S130" i="323"/>
  <c r="E131" i="323"/>
  <c r="H131" i="323"/>
  <c r="O131" i="323"/>
  <c r="R131" i="323"/>
  <c r="I132" i="323"/>
  <c r="S132" i="323"/>
  <c r="I133" i="323"/>
  <c r="S133" i="323"/>
  <c r="I134" i="323"/>
  <c r="S134" i="323"/>
  <c r="I135" i="323"/>
  <c r="S135" i="323"/>
  <c r="I136" i="323"/>
  <c r="S136" i="323"/>
  <c r="I137" i="323"/>
  <c r="S137" i="323"/>
  <c r="I138" i="323"/>
  <c r="S138" i="323"/>
  <c r="I139" i="323"/>
  <c r="S139" i="323"/>
  <c r="E140" i="323"/>
  <c r="H140" i="323"/>
  <c r="O140" i="323"/>
  <c r="R140" i="323"/>
  <c r="I141" i="323"/>
  <c r="S141" i="323"/>
  <c r="I142" i="323"/>
  <c r="S142" i="323"/>
  <c r="I143" i="323"/>
  <c r="S143" i="323"/>
  <c r="I144" i="323"/>
  <c r="S144" i="323"/>
  <c r="I145" i="323"/>
  <c r="S145" i="323"/>
  <c r="I146" i="323"/>
  <c r="S146" i="323"/>
  <c r="I147" i="323"/>
  <c r="S147" i="323"/>
  <c r="I148" i="323"/>
  <c r="S148" i="323"/>
  <c r="E149" i="323"/>
  <c r="H149" i="323"/>
  <c r="O149" i="323"/>
  <c r="R149" i="323"/>
  <c r="I150" i="323"/>
  <c r="M150" i="323"/>
  <c r="S150" i="323"/>
  <c r="I151" i="323"/>
  <c r="S151" i="323"/>
  <c r="I152" i="323"/>
  <c r="S152" i="323"/>
  <c r="I153" i="323"/>
  <c r="S153" i="323"/>
  <c r="I154" i="323"/>
  <c r="S154" i="323"/>
  <c r="I155" i="323"/>
  <c r="S155" i="323"/>
  <c r="I156" i="323"/>
  <c r="S156" i="323"/>
  <c r="I157" i="323"/>
  <c r="S157" i="323"/>
  <c r="E158" i="323"/>
  <c r="H158" i="323"/>
  <c r="O158" i="323"/>
  <c r="R158" i="323"/>
  <c r="I159" i="323"/>
  <c r="M159" i="323"/>
  <c r="S159" i="323"/>
  <c r="I160" i="323"/>
  <c r="S160" i="323"/>
  <c r="I161" i="323"/>
  <c r="S161" i="323"/>
  <c r="I162" i="323"/>
  <c r="S162" i="323"/>
  <c r="I163" i="323"/>
  <c r="S163" i="323"/>
  <c r="I164" i="323"/>
  <c r="S164" i="323"/>
  <c r="I165" i="323"/>
  <c r="S165" i="323"/>
  <c r="I166" i="323"/>
  <c r="S166" i="323"/>
  <c r="E167" i="323"/>
  <c r="H167" i="323"/>
  <c r="O167" i="323"/>
  <c r="R167" i="323"/>
  <c r="I168" i="323"/>
  <c r="M168" i="323"/>
  <c r="S168" i="323"/>
  <c r="I169" i="323"/>
  <c r="S169" i="323"/>
  <c r="I170" i="323"/>
  <c r="S170" i="323"/>
  <c r="I171" i="323"/>
  <c r="S171" i="323"/>
  <c r="I172" i="323"/>
  <c r="S172" i="323"/>
  <c r="I173" i="323"/>
  <c r="S173" i="323"/>
  <c r="I174" i="323"/>
  <c r="S174" i="323"/>
  <c r="I175" i="323"/>
  <c r="S175" i="323"/>
  <c r="E176" i="323"/>
  <c r="H176" i="323"/>
  <c r="O176" i="323"/>
  <c r="R176" i="323"/>
  <c r="I177" i="323"/>
  <c r="S177" i="323"/>
  <c r="I178" i="323"/>
  <c r="S178" i="323"/>
  <c r="I179" i="323"/>
  <c r="S179" i="323"/>
  <c r="I180" i="323"/>
  <c r="S180" i="323"/>
  <c r="I181" i="323"/>
  <c r="S181" i="323"/>
  <c r="I182" i="323"/>
  <c r="S182" i="323"/>
  <c r="I183" i="323"/>
  <c r="S183" i="323"/>
  <c r="I184" i="323"/>
  <c r="S184" i="323"/>
  <c r="E185" i="323"/>
  <c r="H185" i="323"/>
  <c r="O185" i="323"/>
  <c r="R185" i="323"/>
  <c r="I186" i="323"/>
  <c r="M186" i="323"/>
  <c r="S186" i="323"/>
  <c r="I187" i="323"/>
  <c r="S187" i="323"/>
  <c r="I188" i="323"/>
  <c r="S188" i="323"/>
  <c r="I189" i="323"/>
  <c r="S189" i="323"/>
  <c r="I190" i="323"/>
  <c r="S190" i="323"/>
  <c r="I191" i="323"/>
  <c r="S191" i="323"/>
  <c r="I192" i="323"/>
  <c r="S192" i="323"/>
  <c r="I193" i="323"/>
  <c r="S193" i="323"/>
  <c r="E194" i="323"/>
  <c r="H194" i="323"/>
  <c r="O194" i="323"/>
  <c r="R194" i="323"/>
  <c r="F113" i="318"/>
  <c r="F112" i="318"/>
  <c r="F111" i="318"/>
  <c r="O112" i="318"/>
  <c r="O113" i="318"/>
  <c r="O114" i="318"/>
  <c r="O115" i="318"/>
  <c r="O116" i="318"/>
  <c r="O111" i="318"/>
  <c r="H88" i="318"/>
  <c r="J89" i="318" s="1"/>
  <c r="M89" i="318" s="1"/>
  <c r="P89" i="318" s="1"/>
  <c r="I90" i="318"/>
  <c r="F87" i="318"/>
  <c r="F68" i="318" s="1"/>
  <c r="H90" i="318"/>
  <c r="J97" i="318" s="1"/>
  <c r="M97" i="318" s="1"/>
  <c r="P97" i="318" s="1"/>
  <c r="S39" i="323"/>
  <c r="F89" i="318"/>
  <c r="F92" i="318"/>
  <c r="F93" i="318"/>
  <c r="F94" i="318"/>
  <c r="F95" i="318"/>
  <c r="F96" i="318"/>
  <c r="F97" i="318"/>
  <c r="O81" i="318"/>
  <c r="O82" i="318"/>
  <c r="O83" i="318"/>
  <c r="O84" i="318"/>
  <c r="O85" i="318"/>
  <c r="O86" i="318"/>
  <c r="O80" i="318"/>
  <c r="P4" i="318"/>
  <c r="H11" i="318"/>
  <c r="I97" i="315"/>
  <c r="L97" i="315" s="1"/>
  <c r="O97" i="315" s="1"/>
  <c r="I98" i="315"/>
  <c r="L98" i="315" s="1"/>
  <c r="O98" i="315" s="1"/>
  <c r="I99" i="315"/>
  <c r="L99" i="315" s="1"/>
  <c r="I100" i="315"/>
  <c r="L100" i="315" s="1"/>
  <c r="O100" i="315" s="1"/>
  <c r="I101" i="315"/>
  <c r="L101" i="315" s="1"/>
  <c r="O101" i="315" s="1"/>
  <c r="I102" i="315"/>
  <c r="L102" i="315" s="1"/>
  <c r="O102" i="315" s="1"/>
  <c r="I103" i="315"/>
  <c r="L103" i="315" s="1"/>
  <c r="O103" i="315" s="1"/>
  <c r="I104" i="315"/>
  <c r="L104" i="315" s="1"/>
  <c r="O104" i="315" s="1"/>
  <c r="I106" i="315"/>
  <c r="L106" i="315" s="1"/>
  <c r="I107" i="315"/>
  <c r="L107" i="315" s="1"/>
  <c r="O107" i="315" s="1"/>
  <c r="I108" i="315"/>
  <c r="L108" i="315" s="1"/>
  <c r="O108" i="315" s="1"/>
  <c r="I109" i="315"/>
  <c r="L109" i="315" s="1"/>
  <c r="O109" i="315" s="1"/>
  <c r="I110" i="315"/>
  <c r="L110" i="315" s="1"/>
  <c r="O110" i="315" s="1"/>
  <c r="I111" i="315"/>
  <c r="L111" i="315" s="1"/>
  <c r="O111" i="315" s="1"/>
  <c r="I112" i="315"/>
  <c r="L112" i="315" s="1"/>
  <c r="O112" i="315" s="1"/>
  <c r="I113" i="315"/>
  <c r="L113" i="315" s="1"/>
  <c r="O113" i="315" s="1"/>
  <c r="G84" i="315"/>
  <c r="D83" i="315"/>
  <c r="N83" i="315" s="1"/>
  <c r="D84" i="315"/>
  <c r="N84" i="315" s="1"/>
  <c r="D81" i="315"/>
  <c r="N81" i="315" s="1"/>
  <c r="D82" i="315"/>
  <c r="N82" i="315" s="1"/>
  <c r="F81" i="318"/>
  <c r="F82" i="318"/>
  <c r="F83" i="318"/>
  <c r="F84" i="318"/>
  <c r="F85" i="318"/>
  <c r="F86" i="318"/>
  <c r="F80" i="318"/>
  <c r="D80" i="315"/>
  <c r="N80" i="315" s="1"/>
  <c r="D77" i="315"/>
  <c r="E79" i="315"/>
  <c r="G79" i="315" s="1"/>
  <c r="G76" i="315"/>
  <c r="G77" i="315"/>
  <c r="G78" i="315"/>
  <c r="G80" i="315"/>
  <c r="G81" i="315"/>
  <c r="G82" i="315"/>
  <c r="G83" i="315"/>
  <c r="L80" i="318"/>
  <c r="A10" i="318"/>
  <c r="B10" i="318"/>
  <c r="F10" i="318"/>
  <c r="O10" i="318"/>
  <c r="I11" i="318"/>
  <c r="L11" i="318"/>
  <c r="O11" i="318"/>
  <c r="A12" i="318"/>
  <c r="A13" i="318"/>
  <c r="L13" i="318"/>
  <c r="A14" i="318"/>
  <c r="L14" i="318"/>
  <c r="A15" i="318"/>
  <c r="L15" i="318"/>
  <c r="A16" i="318"/>
  <c r="L16" i="318"/>
  <c r="A17" i="318"/>
  <c r="L17" i="318"/>
  <c r="A18" i="318"/>
  <c r="L18" i="318"/>
  <c r="A19" i="318"/>
  <c r="L19" i="318"/>
  <c r="A20" i="318"/>
  <c r="B20" i="318"/>
  <c r="H20" i="318"/>
  <c r="J23" i="318" s="1"/>
  <c r="M23" i="318" s="1"/>
  <c r="P23" i="318" s="1"/>
  <c r="I20" i="318"/>
  <c r="L20" i="318"/>
  <c r="O20" i="318"/>
  <c r="A21" i="318"/>
  <c r="A22" i="318"/>
  <c r="L22" i="318"/>
  <c r="A23" i="318"/>
  <c r="L23" i="318"/>
  <c r="A24" i="318"/>
  <c r="L24" i="318"/>
  <c r="A25" i="318"/>
  <c r="L25" i="318"/>
  <c r="A26" i="318"/>
  <c r="L26" i="318"/>
  <c r="A27" i="318"/>
  <c r="L27" i="318"/>
  <c r="A28" i="318"/>
  <c r="L28" i="318"/>
  <c r="A29" i="318"/>
  <c r="B29" i="318"/>
  <c r="H29" i="318"/>
  <c r="I29" i="318"/>
  <c r="L29" i="318"/>
  <c r="O29" i="318"/>
  <c r="A30" i="318"/>
  <c r="A31" i="318"/>
  <c r="L31" i="318"/>
  <c r="A32" i="318"/>
  <c r="L32" i="318"/>
  <c r="A33" i="318"/>
  <c r="L33" i="318"/>
  <c r="A34" i="318"/>
  <c r="L34" i="318"/>
  <c r="A35" i="318"/>
  <c r="L35" i="318"/>
  <c r="A36" i="318"/>
  <c r="L36" i="318"/>
  <c r="A37" i="318"/>
  <c r="L37" i="318"/>
  <c r="A38" i="318"/>
  <c r="A39" i="318"/>
  <c r="F39" i="318"/>
  <c r="O39" i="318"/>
  <c r="A40" i="318"/>
  <c r="B40" i="318"/>
  <c r="H40" i="318"/>
  <c r="I40" i="318"/>
  <c r="L40" i="318"/>
  <c r="O40" i="318"/>
  <c r="A41" i="318"/>
  <c r="A42" i="318"/>
  <c r="L42" i="318"/>
  <c r="A43" i="318"/>
  <c r="L43" i="318"/>
  <c r="A44" i="318"/>
  <c r="L44" i="318"/>
  <c r="A45" i="318"/>
  <c r="L45" i="318"/>
  <c r="A46" i="318"/>
  <c r="L46" i="318"/>
  <c r="A47" i="318"/>
  <c r="L47" i="318"/>
  <c r="A48" i="318"/>
  <c r="L48" i="318"/>
  <c r="A49" i="318"/>
  <c r="H49" i="318"/>
  <c r="I49" i="318"/>
  <c r="L49" i="318"/>
  <c r="O49" i="318"/>
  <c r="A50" i="318"/>
  <c r="A51" i="318"/>
  <c r="L51" i="318"/>
  <c r="A52" i="318"/>
  <c r="L52" i="318"/>
  <c r="A53" i="318"/>
  <c r="L53" i="318"/>
  <c r="A54" i="318"/>
  <c r="L54" i="318"/>
  <c r="A55" i="318"/>
  <c r="L55" i="318"/>
  <c r="A56" i="318"/>
  <c r="L56" i="318"/>
  <c r="A57" i="318"/>
  <c r="L57" i="318"/>
  <c r="A58" i="318"/>
  <c r="H58" i="318"/>
  <c r="I58" i="318"/>
  <c r="L58" i="318"/>
  <c r="O58" i="318"/>
  <c r="A59" i="318"/>
  <c r="A60" i="318"/>
  <c r="L60" i="318"/>
  <c r="A61" i="318"/>
  <c r="L61" i="318"/>
  <c r="A62" i="318"/>
  <c r="L62" i="318"/>
  <c r="A63" i="318"/>
  <c r="L63" i="318"/>
  <c r="A64" i="318"/>
  <c r="L64" i="318"/>
  <c r="A65" i="318"/>
  <c r="L65" i="318"/>
  <c r="A66" i="318"/>
  <c r="L66" i="318"/>
  <c r="A67" i="318"/>
  <c r="A68" i="318"/>
  <c r="J68" i="318"/>
  <c r="A69" i="318"/>
  <c r="H69" i="318"/>
  <c r="I69" i="318"/>
  <c r="L69" i="318"/>
  <c r="O69" i="318"/>
  <c r="A70" i="318"/>
  <c r="A71" i="318"/>
  <c r="L71" i="318"/>
  <c r="A72" i="318"/>
  <c r="L72" i="318"/>
  <c r="A73" i="318"/>
  <c r="L73" i="318"/>
  <c r="A74" i="318"/>
  <c r="L74" i="318"/>
  <c r="A75" i="318"/>
  <c r="L75" i="318"/>
  <c r="A76" i="318"/>
  <c r="L76" i="318"/>
  <c r="A77" i="318"/>
  <c r="L77" i="318"/>
  <c r="A78" i="318"/>
  <c r="H78" i="318"/>
  <c r="L78" i="318"/>
  <c r="A79" i="318"/>
  <c r="A80" i="318"/>
  <c r="A81" i="318"/>
  <c r="L81" i="318"/>
  <c r="A82" i="318"/>
  <c r="L82" i="318"/>
  <c r="A83" i="318"/>
  <c r="L83" i="318"/>
  <c r="A84" i="318"/>
  <c r="L84" i="318"/>
  <c r="A85" i="318"/>
  <c r="L85" i="318"/>
  <c r="A86" i="318"/>
  <c r="L86" i="318"/>
  <c r="A87" i="318"/>
  <c r="L87" i="318"/>
  <c r="O87" i="318"/>
  <c r="A89" i="318"/>
  <c r="A90" i="318"/>
  <c r="L91" i="318"/>
  <c r="A92" i="318"/>
  <c r="L92" i="318"/>
  <c r="A93" i="318"/>
  <c r="L93" i="318"/>
  <c r="A94" i="318"/>
  <c r="L94" i="318"/>
  <c r="A95" i="318"/>
  <c r="L95" i="318"/>
  <c r="A96" i="318"/>
  <c r="L96" i="318"/>
  <c r="A97" i="318"/>
  <c r="L97" i="318"/>
  <c r="A98" i="318"/>
  <c r="A99" i="318"/>
  <c r="F99" i="318"/>
  <c r="J99" i="318"/>
  <c r="A100" i="318"/>
  <c r="H100" i="318"/>
  <c r="I100" i="318"/>
  <c r="L100" i="318"/>
  <c r="O100" i="318"/>
  <c r="A101" i="318"/>
  <c r="A102" i="318"/>
  <c r="L102" i="318"/>
  <c r="A103" i="318"/>
  <c r="L103" i="318"/>
  <c r="A104" i="318"/>
  <c r="L104" i="318"/>
  <c r="A105" i="318"/>
  <c r="L105" i="318"/>
  <c r="A106" i="318"/>
  <c r="L106" i="318"/>
  <c r="A107" i="318"/>
  <c r="L107" i="318"/>
  <c r="A108" i="318"/>
  <c r="L108" i="318"/>
  <c r="A109" i="318"/>
  <c r="H109" i="318"/>
  <c r="I109" i="318"/>
  <c r="L109" i="318"/>
  <c r="A110" i="318"/>
  <c r="A111" i="318"/>
  <c r="L111" i="318"/>
  <c r="A112" i="318"/>
  <c r="L112" i="318"/>
  <c r="A113" i="318"/>
  <c r="L113" i="318"/>
  <c r="A114" i="318"/>
  <c r="L114" i="318"/>
  <c r="A115" i="318"/>
  <c r="L115" i="318"/>
  <c r="A116" i="318"/>
  <c r="L116" i="318"/>
  <c r="A117" i="318"/>
  <c r="L117" i="318"/>
  <c r="A118" i="318"/>
  <c r="H118" i="318"/>
  <c r="I118" i="318"/>
  <c r="J120" i="318"/>
  <c r="L118" i="318"/>
  <c r="O118" i="318"/>
  <c r="M118" i="318" s="1"/>
  <c r="A119" i="318"/>
  <c r="A120" i="318"/>
  <c r="L120" i="318"/>
  <c r="A121" i="318"/>
  <c r="L121" i="318"/>
  <c r="A122" i="318"/>
  <c r="L122" i="318"/>
  <c r="A123" i="318"/>
  <c r="L123" i="318"/>
  <c r="A124" i="318"/>
  <c r="L124" i="318"/>
  <c r="A125" i="318"/>
  <c r="L125" i="318"/>
  <c r="A126" i="318"/>
  <c r="L126" i="318"/>
  <c r="A127" i="318"/>
  <c r="A128" i="318"/>
  <c r="F128" i="318"/>
  <c r="J128" i="318"/>
  <c r="O128" i="318"/>
  <c r="A129" i="318"/>
  <c r="H129" i="318"/>
  <c r="I129" i="318"/>
  <c r="L129" i="318"/>
  <c r="O129" i="318"/>
  <c r="A130" i="318"/>
  <c r="A131" i="318"/>
  <c r="L131" i="318"/>
  <c r="A132" i="318"/>
  <c r="L132" i="318"/>
  <c r="A133" i="318"/>
  <c r="L133" i="318"/>
  <c r="A134" i="318"/>
  <c r="L134" i="318"/>
  <c r="A135" i="318"/>
  <c r="L135" i="318"/>
  <c r="A136" i="318"/>
  <c r="L136" i="318"/>
  <c r="A137" i="318"/>
  <c r="L137" i="318"/>
  <c r="A138" i="318"/>
  <c r="H138" i="318"/>
  <c r="I138" i="318"/>
  <c r="L138" i="318"/>
  <c r="O138" i="318"/>
  <c r="M138" i="318" s="1"/>
  <c r="A139" i="318"/>
  <c r="A140" i="318"/>
  <c r="L140" i="318"/>
  <c r="A141" i="318"/>
  <c r="L141" i="318"/>
  <c r="A142" i="318"/>
  <c r="L142" i="318"/>
  <c r="A143" i="318"/>
  <c r="L143" i="318"/>
  <c r="A144" i="318"/>
  <c r="L144" i="318"/>
  <c r="A145" i="318"/>
  <c r="L145" i="318"/>
  <c r="A146" i="318"/>
  <c r="L146" i="318"/>
  <c r="A147" i="318"/>
  <c r="H147" i="318"/>
  <c r="I147" i="318"/>
  <c r="L147" i="318"/>
  <c r="O147" i="318"/>
  <c r="M147" i="318" s="1"/>
  <c r="P147" i="318" s="1"/>
  <c r="A148" i="318"/>
  <c r="A149" i="318"/>
  <c r="L149" i="318"/>
  <c r="A150" i="318"/>
  <c r="L150" i="318"/>
  <c r="A151" i="318"/>
  <c r="L151" i="318"/>
  <c r="A152" i="318"/>
  <c r="L152" i="318"/>
  <c r="A153" i="318"/>
  <c r="L153" i="318"/>
  <c r="A154" i="318"/>
  <c r="L154" i="318"/>
  <c r="A155" i="318"/>
  <c r="L155" i="318"/>
  <c r="A156" i="318"/>
  <c r="A157" i="318"/>
  <c r="F157" i="318"/>
  <c r="J157" i="318"/>
  <c r="O157" i="318"/>
  <c r="A158" i="318"/>
  <c r="H158" i="318"/>
  <c r="I158" i="318"/>
  <c r="L158" i="318"/>
  <c r="O158" i="318"/>
  <c r="A159" i="318"/>
  <c r="A160" i="318"/>
  <c r="L160" i="318"/>
  <c r="A161" i="318"/>
  <c r="L161" i="318"/>
  <c r="A162" i="318"/>
  <c r="L162" i="318"/>
  <c r="A163" i="318"/>
  <c r="L163" i="318"/>
  <c r="A164" i="318"/>
  <c r="L164" i="318"/>
  <c r="A165" i="318"/>
  <c r="L165" i="318"/>
  <c r="A166" i="318"/>
  <c r="L166" i="318"/>
  <c r="A167" i="318"/>
  <c r="H167" i="318"/>
  <c r="I167" i="318"/>
  <c r="L167" i="318"/>
  <c r="O167" i="318"/>
  <c r="M167" i="318" s="1"/>
  <c r="A168" i="318"/>
  <c r="A169" i="318"/>
  <c r="L169" i="318"/>
  <c r="A170" i="318"/>
  <c r="L170" i="318"/>
  <c r="A171" i="318"/>
  <c r="L171" i="318"/>
  <c r="A172" i="318"/>
  <c r="L172" i="318"/>
  <c r="A173" i="318"/>
  <c r="L173" i="318"/>
  <c r="A174" i="318"/>
  <c r="L174" i="318"/>
  <c r="A175" i="318"/>
  <c r="L175" i="318"/>
  <c r="A176" i="318"/>
  <c r="H176" i="318"/>
  <c r="I176" i="318"/>
  <c r="L176" i="318"/>
  <c r="O176" i="318"/>
  <c r="M176" i="318" s="1"/>
  <c r="P176" i="318" s="1"/>
  <c r="A177" i="318"/>
  <c r="A178" i="318"/>
  <c r="L178" i="318"/>
  <c r="A179" i="318"/>
  <c r="L179" i="318"/>
  <c r="A180" i="318"/>
  <c r="L180" i="318"/>
  <c r="A181" i="318"/>
  <c r="L181" i="318"/>
  <c r="A182" i="318"/>
  <c r="L182" i="318"/>
  <c r="A183" i="318"/>
  <c r="L183" i="318"/>
  <c r="A184" i="318"/>
  <c r="L184" i="318"/>
  <c r="A185" i="318"/>
  <c r="A186" i="318"/>
  <c r="F186" i="318"/>
  <c r="J186" i="318"/>
  <c r="O186" i="318"/>
  <c r="A187" i="318"/>
  <c r="H187" i="318"/>
  <c r="I187" i="318"/>
  <c r="L187" i="318"/>
  <c r="O187" i="318"/>
  <c r="A188" i="318"/>
  <c r="A189" i="318"/>
  <c r="L189" i="318"/>
  <c r="A190" i="318"/>
  <c r="L190" i="318"/>
  <c r="A191" i="318"/>
  <c r="L191" i="318"/>
  <c r="A192" i="318"/>
  <c r="L192" i="318"/>
  <c r="A193" i="318"/>
  <c r="L193" i="318"/>
  <c r="A194" i="318"/>
  <c r="L194" i="318"/>
  <c r="A195" i="318"/>
  <c r="L195" i="318"/>
  <c r="A196" i="318"/>
  <c r="H196" i="318"/>
  <c r="I196" i="318"/>
  <c r="L196" i="318"/>
  <c r="O196" i="318"/>
  <c r="A197" i="318"/>
  <c r="A198" i="318"/>
  <c r="L198" i="318"/>
  <c r="A199" i="318"/>
  <c r="L199" i="318"/>
  <c r="A200" i="318"/>
  <c r="L200" i="318"/>
  <c r="A201" i="318"/>
  <c r="L201" i="318"/>
  <c r="A202" i="318"/>
  <c r="L202" i="318"/>
  <c r="A203" i="318"/>
  <c r="L203" i="318"/>
  <c r="A204" i="318"/>
  <c r="L204" i="318"/>
  <c r="A205" i="318"/>
  <c r="H205" i="318"/>
  <c r="I205" i="318"/>
  <c r="L205" i="318"/>
  <c r="O205" i="318"/>
  <c r="M205" i="318" s="1"/>
  <c r="P205" i="318" s="1"/>
  <c r="A206" i="318"/>
  <c r="A207" i="318"/>
  <c r="L207" i="318"/>
  <c r="A208" i="318"/>
  <c r="L208" i="318"/>
  <c r="A209" i="318"/>
  <c r="L209" i="318"/>
  <c r="A210" i="318"/>
  <c r="L210" i="318"/>
  <c r="A211" i="318"/>
  <c r="L211" i="318"/>
  <c r="A212" i="318"/>
  <c r="L212" i="318"/>
  <c r="A213" i="318"/>
  <c r="L213" i="318"/>
  <c r="M4" i="318"/>
  <c r="M6" i="318" s="1"/>
  <c r="N7" i="318" s="1"/>
  <c r="M4" i="315"/>
  <c r="M5" i="315" s="1"/>
  <c r="N4" i="315"/>
  <c r="N5" i="315" s="1"/>
  <c r="A8" i="315"/>
  <c r="B8" i="315"/>
  <c r="E8" i="315"/>
  <c r="N8" i="315"/>
  <c r="G9" i="315"/>
  <c r="H9" i="315"/>
  <c r="K9" i="315"/>
  <c r="N9" i="315"/>
  <c r="A10" i="315"/>
  <c r="A11" i="315"/>
  <c r="K11" i="315"/>
  <c r="A12" i="315"/>
  <c r="K12" i="315"/>
  <c r="A13" i="315"/>
  <c r="K13" i="315"/>
  <c r="A14" i="315"/>
  <c r="K14" i="315"/>
  <c r="A15" i="315"/>
  <c r="K15" i="315"/>
  <c r="A16" i="315"/>
  <c r="K16" i="315"/>
  <c r="A17" i="315"/>
  <c r="K17" i="315"/>
  <c r="A18" i="315"/>
  <c r="B18" i="315"/>
  <c r="G18" i="315"/>
  <c r="H18" i="315"/>
  <c r="K18" i="315"/>
  <c r="N18" i="315"/>
  <c r="A19" i="315"/>
  <c r="A20" i="315"/>
  <c r="K20" i="315"/>
  <c r="A21" i="315"/>
  <c r="K21" i="315"/>
  <c r="A22" i="315"/>
  <c r="K22" i="315"/>
  <c r="A23" i="315"/>
  <c r="K23" i="315"/>
  <c r="A24" i="315"/>
  <c r="K24" i="315"/>
  <c r="A25" i="315"/>
  <c r="K25" i="315"/>
  <c r="A26" i="315"/>
  <c r="K26" i="315"/>
  <c r="A27" i="315"/>
  <c r="B27" i="315"/>
  <c r="G27" i="315"/>
  <c r="H27" i="315"/>
  <c r="K27" i="315"/>
  <c r="N27" i="315"/>
  <c r="A28" i="315"/>
  <c r="A29" i="315"/>
  <c r="K29" i="315"/>
  <c r="A30" i="315"/>
  <c r="K30" i="315"/>
  <c r="A31" i="315"/>
  <c r="K31" i="315"/>
  <c r="A32" i="315"/>
  <c r="K32" i="315"/>
  <c r="A33" i="315"/>
  <c r="K33" i="315"/>
  <c r="A34" i="315"/>
  <c r="K34" i="315"/>
  <c r="A35" i="315"/>
  <c r="K35" i="315"/>
  <c r="A36" i="315"/>
  <c r="A37" i="315"/>
  <c r="E37" i="315"/>
  <c r="N37" i="315"/>
  <c r="A38" i="315"/>
  <c r="B38" i="315"/>
  <c r="G38" i="315"/>
  <c r="H38" i="315"/>
  <c r="K38" i="315"/>
  <c r="N38" i="315"/>
  <c r="A39" i="315"/>
  <c r="A40" i="315"/>
  <c r="K40" i="315"/>
  <c r="A41" i="315"/>
  <c r="K41" i="315"/>
  <c r="A42" i="315"/>
  <c r="K42" i="315"/>
  <c r="A43" i="315"/>
  <c r="K43" i="315"/>
  <c r="A44" i="315"/>
  <c r="K44" i="315"/>
  <c r="A45" i="315"/>
  <c r="K45" i="315"/>
  <c r="A46" i="315"/>
  <c r="K46" i="315"/>
  <c r="A47" i="315"/>
  <c r="G47" i="315"/>
  <c r="H47" i="315"/>
  <c r="K47" i="315"/>
  <c r="N47" i="315"/>
  <c r="A48" i="315"/>
  <c r="A49" i="315"/>
  <c r="K49" i="315"/>
  <c r="A50" i="315"/>
  <c r="K50" i="315"/>
  <c r="A51" i="315"/>
  <c r="K51" i="315"/>
  <c r="A52" i="315"/>
  <c r="K52" i="315"/>
  <c r="A53" i="315"/>
  <c r="K53" i="315"/>
  <c r="A54" i="315"/>
  <c r="K54" i="315"/>
  <c r="A55" i="315"/>
  <c r="K55" i="315"/>
  <c r="A56" i="315"/>
  <c r="G56" i="315"/>
  <c r="H56" i="315"/>
  <c r="K56" i="315"/>
  <c r="N56" i="315"/>
  <c r="A57" i="315"/>
  <c r="A58" i="315"/>
  <c r="K58" i="315"/>
  <c r="A59" i="315"/>
  <c r="K59" i="315"/>
  <c r="A60" i="315"/>
  <c r="K60" i="315"/>
  <c r="A61" i="315"/>
  <c r="K61" i="315"/>
  <c r="A62" i="315"/>
  <c r="K62" i="315"/>
  <c r="A63" i="315"/>
  <c r="K63" i="315"/>
  <c r="A64" i="315"/>
  <c r="K64" i="315"/>
  <c r="A65" i="315"/>
  <c r="A66" i="315"/>
  <c r="E66" i="315"/>
  <c r="A67" i="315"/>
  <c r="G67" i="315"/>
  <c r="H67" i="315"/>
  <c r="K67" i="315"/>
  <c r="N67" i="315"/>
  <c r="A68" i="315"/>
  <c r="A69" i="315"/>
  <c r="K69" i="315"/>
  <c r="A70" i="315"/>
  <c r="K70" i="315"/>
  <c r="A71" i="315"/>
  <c r="K71" i="315"/>
  <c r="A72" i="315"/>
  <c r="K72" i="315"/>
  <c r="A73" i="315"/>
  <c r="K73" i="315"/>
  <c r="A74" i="315"/>
  <c r="K74" i="315"/>
  <c r="A75" i="315"/>
  <c r="K75" i="315"/>
  <c r="A76" i="315"/>
  <c r="H76" i="315"/>
  <c r="K76" i="315"/>
  <c r="A77" i="315"/>
  <c r="A78" i="315"/>
  <c r="K78" i="315"/>
  <c r="A79" i="315"/>
  <c r="K79" i="315"/>
  <c r="A80" i="315"/>
  <c r="K80" i="315"/>
  <c r="A81" i="315"/>
  <c r="K81" i="315"/>
  <c r="A82" i="315"/>
  <c r="K82" i="315"/>
  <c r="A83" i="315"/>
  <c r="K83" i="315"/>
  <c r="A84" i="315"/>
  <c r="K84" i="315"/>
  <c r="A85" i="315"/>
  <c r="G85" i="315"/>
  <c r="H85" i="315"/>
  <c r="K85" i="315"/>
  <c r="N85" i="315"/>
  <c r="A86" i="315"/>
  <c r="A87" i="315"/>
  <c r="K87" i="315"/>
  <c r="A88" i="315"/>
  <c r="K88" i="315"/>
  <c r="A89" i="315"/>
  <c r="K89" i="315"/>
  <c r="A90" i="315"/>
  <c r="K90" i="315"/>
  <c r="A91" i="315"/>
  <c r="K91" i="315"/>
  <c r="A92" i="315"/>
  <c r="K92" i="315"/>
  <c r="A93" i="315"/>
  <c r="K93" i="315"/>
  <c r="A94" i="315"/>
  <c r="A95" i="315"/>
  <c r="E95" i="315"/>
  <c r="N95" i="315"/>
  <c r="A96" i="315"/>
  <c r="G96" i="315"/>
  <c r="H96" i="315"/>
  <c r="K96" i="315"/>
  <c r="N96" i="315"/>
  <c r="A97" i="315"/>
  <c r="A98" i="315"/>
  <c r="K98" i="315"/>
  <c r="A99" i="315"/>
  <c r="K99" i="315"/>
  <c r="A100" i="315"/>
  <c r="K100" i="315"/>
  <c r="A101" i="315"/>
  <c r="K101" i="315"/>
  <c r="A102" i="315"/>
  <c r="K102" i="315"/>
  <c r="A103" i="315"/>
  <c r="K103" i="315"/>
  <c r="A104" i="315"/>
  <c r="K104" i="315"/>
  <c r="A105" i="315"/>
  <c r="G105" i="315"/>
  <c r="H105" i="315"/>
  <c r="K105" i="315"/>
  <c r="N105" i="315"/>
  <c r="L105" i="315" s="1"/>
  <c r="A106" i="315"/>
  <c r="A107" i="315"/>
  <c r="K107" i="315"/>
  <c r="A108" i="315"/>
  <c r="K108" i="315"/>
  <c r="A109" i="315"/>
  <c r="K109" i="315"/>
  <c r="A110" i="315"/>
  <c r="K110" i="315"/>
  <c r="A111" i="315"/>
  <c r="K111" i="315"/>
  <c r="A112" i="315"/>
  <c r="K112" i="315"/>
  <c r="A113" i="315"/>
  <c r="K113" i="315"/>
  <c r="A114" i="315"/>
  <c r="G114" i="315"/>
  <c r="H114" i="315"/>
  <c r="K114" i="315"/>
  <c r="N114" i="315"/>
  <c r="A115" i="315"/>
  <c r="A116" i="315"/>
  <c r="K116" i="315"/>
  <c r="A117" i="315"/>
  <c r="K117" i="315"/>
  <c r="A118" i="315"/>
  <c r="K118" i="315"/>
  <c r="A119" i="315"/>
  <c r="K119" i="315"/>
  <c r="A120" i="315"/>
  <c r="K120" i="315"/>
  <c r="A121" i="315"/>
  <c r="K121" i="315"/>
  <c r="A122" i="315"/>
  <c r="K122" i="315"/>
  <c r="A123" i="315"/>
  <c r="A124" i="315"/>
  <c r="E124" i="315"/>
  <c r="N124" i="315"/>
  <c r="A125" i="315"/>
  <c r="G125" i="315"/>
  <c r="H125" i="315"/>
  <c r="K125" i="315"/>
  <c r="N125" i="315"/>
  <c r="A126" i="315"/>
  <c r="A127" i="315"/>
  <c r="K127" i="315"/>
  <c r="A128" i="315"/>
  <c r="K128" i="315"/>
  <c r="A129" i="315"/>
  <c r="K129" i="315"/>
  <c r="A130" i="315"/>
  <c r="K130" i="315"/>
  <c r="A131" i="315"/>
  <c r="K131" i="315"/>
  <c r="A132" i="315"/>
  <c r="K132" i="315"/>
  <c r="A133" i="315"/>
  <c r="K133" i="315"/>
  <c r="A134" i="315"/>
  <c r="G134" i="315"/>
  <c r="H134" i="315"/>
  <c r="K134" i="315"/>
  <c r="N134" i="315"/>
  <c r="A135" i="315"/>
  <c r="A136" i="315"/>
  <c r="K136" i="315"/>
  <c r="A137" i="315"/>
  <c r="K137" i="315"/>
  <c r="A138" i="315"/>
  <c r="K138" i="315"/>
  <c r="A139" i="315"/>
  <c r="K139" i="315"/>
  <c r="A140" i="315"/>
  <c r="K140" i="315"/>
  <c r="A141" i="315"/>
  <c r="K141" i="315"/>
  <c r="A142" i="315"/>
  <c r="K142" i="315"/>
  <c r="A143" i="315"/>
  <c r="G143" i="315"/>
  <c r="H143" i="315"/>
  <c r="K143" i="315"/>
  <c r="N143" i="315"/>
  <c r="L143" i="315" s="1"/>
  <c r="A144" i="315"/>
  <c r="A145" i="315"/>
  <c r="K145" i="315"/>
  <c r="A146" i="315"/>
  <c r="K146" i="315"/>
  <c r="A147" i="315"/>
  <c r="K147" i="315"/>
  <c r="A148" i="315"/>
  <c r="K148" i="315"/>
  <c r="A149" i="315"/>
  <c r="K149" i="315"/>
  <c r="A150" i="315"/>
  <c r="K150" i="315"/>
  <c r="A151" i="315"/>
  <c r="K151" i="315"/>
  <c r="A152" i="315"/>
  <c r="A153" i="315"/>
  <c r="E153" i="315"/>
  <c r="N153" i="315"/>
  <c r="A154" i="315"/>
  <c r="G154" i="315"/>
  <c r="H154" i="315"/>
  <c r="K154" i="315"/>
  <c r="N154" i="315"/>
  <c r="A155" i="315"/>
  <c r="A156" i="315"/>
  <c r="K156" i="315"/>
  <c r="A157" i="315"/>
  <c r="K157" i="315"/>
  <c r="A158" i="315"/>
  <c r="K158" i="315"/>
  <c r="A159" i="315"/>
  <c r="K159" i="315"/>
  <c r="A160" i="315"/>
  <c r="K160" i="315"/>
  <c r="A161" i="315"/>
  <c r="K161" i="315"/>
  <c r="A162" i="315"/>
  <c r="K162" i="315"/>
  <c r="A163" i="315"/>
  <c r="G163" i="315"/>
  <c r="H163" i="315"/>
  <c r="K163" i="315"/>
  <c r="N163" i="315"/>
  <c r="A164" i="315"/>
  <c r="A165" i="315"/>
  <c r="K165" i="315"/>
  <c r="A166" i="315"/>
  <c r="K166" i="315"/>
  <c r="A167" i="315"/>
  <c r="K167" i="315"/>
  <c r="A168" i="315"/>
  <c r="K168" i="315"/>
  <c r="A169" i="315"/>
  <c r="K169" i="315"/>
  <c r="A170" i="315"/>
  <c r="K170" i="315"/>
  <c r="A171" i="315"/>
  <c r="K171" i="315"/>
  <c r="A172" i="315"/>
  <c r="G172" i="315"/>
  <c r="H172" i="315"/>
  <c r="K172" i="315"/>
  <c r="N172" i="315"/>
  <c r="L172" i="315" s="1"/>
  <c r="A173" i="315"/>
  <c r="A174" i="315"/>
  <c r="K174" i="315"/>
  <c r="A175" i="315"/>
  <c r="K175" i="315"/>
  <c r="A176" i="315"/>
  <c r="K176" i="315"/>
  <c r="A177" i="315"/>
  <c r="K177" i="315"/>
  <c r="A178" i="315"/>
  <c r="K178" i="315"/>
  <c r="A179" i="315"/>
  <c r="K179" i="315"/>
  <c r="A180" i="315"/>
  <c r="K180" i="315"/>
  <c r="A181" i="315"/>
  <c r="A182" i="315"/>
  <c r="E182" i="315"/>
  <c r="N182" i="315"/>
  <c r="A183" i="315"/>
  <c r="G183" i="315"/>
  <c r="H183" i="315"/>
  <c r="K183" i="315"/>
  <c r="N183" i="315"/>
  <c r="A184" i="315"/>
  <c r="A185" i="315"/>
  <c r="K185" i="315"/>
  <c r="A186" i="315"/>
  <c r="K186" i="315"/>
  <c r="A187" i="315"/>
  <c r="K187" i="315"/>
  <c r="A188" i="315"/>
  <c r="K188" i="315"/>
  <c r="A189" i="315"/>
  <c r="K189" i="315"/>
  <c r="A190" i="315"/>
  <c r="K190" i="315"/>
  <c r="A191" i="315"/>
  <c r="K191" i="315"/>
  <c r="A192" i="315"/>
  <c r="G192" i="315"/>
  <c r="H192" i="315"/>
  <c r="K192" i="315"/>
  <c r="N192" i="315"/>
  <c r="L192" i="315" s="1"/>
  <c r="O192" i="315" s="1"/>
  <c r="A193" i="315"/>
  <c r="A194" i="315"/>
  <c r="K194" i="315"/>
  <c r="A195" i="315"/>
  <c r="K195" i="315"/>
  <c r="A196" i="315"/>
  <c r="K196" i="315"/>
  <c r="A197" i="315"/>
  <c r="K197" i="315"/>
  <c r="A198" i="315"/>
  <c r="K198" i="315"/>
  <c r="A199" i="315"/>
  <c r="K199" i="315"/>
  <c r="A200" i="315"/>
  <c r="K200" i="315"/>
  <c r="A201" i="315"/>
  <c r="G201" i="315"/>
  <c r="H201" i="315"/>
  <c r="K201" i="315"/>
  <c r="N201" i="315"/>
  <c r="L201" i="315" s="1"/>
  <c r="A202" i="315"/>
  <c r="A203" i="315"/>
  <c r="K203" i="315"/>
  <c r="A204" i="315"/>
  <c r="K204" i="315"/>
  <c r="A205" i="315"/>
  <c r="K205" i="315"/>
  <c r="A206" i="315"/>
  <c r="K206" i="315"/>
  <c r="A207" i="315"/>
  <c r="K207" i="315"/>
  <c r="A208" i="315"/>
  <c r="K208" i="315"/>
  <c r="A209" i="315"/>
  <c r="K209" i="315"/>
  <c r="O98" i="308"/>
  <c r="O97" i="308"/>
  <c r="L97" i="308"/>
  <c r="L58" i="308"/>
  <c r="I58" i="308"/>
  <c r="K56" i="308"/>
  <c r="J56" i="308"/>
  <c r="F56" i="308"/>
  <c r="E56" i="308"/>
  <c r="D56" i="308"/>
  <c r="F48" i="308"/>
  <c r="F49" i="308" s="1"/>
  <c r="P47" i="308"/>
  <c r="P98" i="308" s="1"/>
  <c r="N47" i="308"/>
  <c r="N98" i="308" s="1"/>
  <c r="M47" i="308"/>
  <c r="M98" i="308" s="1"/>
  <c r="L47" i="308"/>
  <c r="L98" i="308" s="1"/>
  <c r="K47" i="308"/>
  <c r="K98" i="308" s="1"/>
  <c r="J47" i="308"/>
  <c r="J98" i="308" s="1"/>
  <c r="I47" i="308"/>
  <c r="I98" i="308" s="1"/>
  <c r="H47" i="308"/>
  <c r="G47" i="308"/>
  <c r="G98" i="308" s="1"/>
  <c r="R46" i="308"/>
  <c r="P45" i="308"/>
  <c r="P97" i="308" s="1"/>
  <c r="N45" i="308"/>
  <c r="N97" i="308" s="1"/>
  <c r="M45" i="308"/>
  <c r="K45" i="308"/>
  <c r="K97" i="308" s="1"/>
  <c r="J45" i="308"/>
  <c r="I45" i="308"/>
  <c r="I97" i="308" s="1"/>
  <c r="H45" i="308"/>
  <c r="H97" i="308" s="1"/>
  <c r="G45" i="308"/>
  <c r="G97" i="308" s="1"/>
  <c r="Y44" i="308"/>
  <c r="E40" i="308"/>
  <c r="H40" i="308" s="1"/>
  <c r="G39" i="308"/>
  <c r="H39" i="308" s="1"/>
  <c r="F39" i="308"/>
  <c r="E39" i="308"/>
  <c r="D39" i="308"/>
  <c r="H38" i="308"/>
  <c r="H37" i="308"/>
  <c r="H36" i="308"/>
  <c r="AE29" i="308"/>
  <c r="AD29" i="308"/>
  <c r="X29" i="308"/>
  <c r="AE28" i="308"/>
  <c r="AD28" i="308"/>
  <c r="AE27" i="308"/>
  <c r="AD27" i="308"/>
  <c r="AE26" i="308"/>
  <c r="AD26" i="308"/>
  <c r="AF26" i="308" s="1"/>
  <c r="AE25" i="308"/>
  <c r="AD25" i="308"/>
  <c r="AE24" i="308"/>
  <c r="AD24" i="308"/>
  <c r="AE23" i="308"/>
  <c r="AD23" i="308"/>
  <c r="BG22" i="308"/>
  <c r="AE22" i="308"/>
  <c r="AD22" i="308"/>
  <c r="BG21" i="308"/>
  <c r="AE21" i="308"/>
  <c r="AD21" i="308"/>
  <c r="BG20" i="308"/>
  <c r="AE20" i="308"/>
  <c r="AI20" i="308" s="1"/>
  <c r="AD20" i="308"/>
  <c r="BG19" i="308"/>
  <c r="AE19" i="308"/>
  <c r="AD19" i="308"/>
  <c r="BG18" i="308"/>
  <c r="AE18" i="308"/>
  <c r="AD18" i="308"/>
  <c r="BG17" i="308"/>
  <c r="AE17" i="308"/>
  <c r="AD17" i="308"/>
  <c r="AF17" i="308" s="1"/>
  <c r="BG16" i="308"/>
  <c r="AV16" i="308"/>
  <c r="AV25" i="308" s="1"/>
  <c r="AU16" i="308"/>
  <c r="AU25" i="308" s="1"/>
  <c r="AT16" i="308"/>
  <c r="AT25" i="308" s="1"/>
  <c r="AS16" i="308"/>
  <c r="AS25" i="308" s="1"/>
  <c r="AR16" i="308"/>
  <c r="AR25" i="308" s="1"/>
  <c r="AQ16" i="308"/>
  <c r="AP16" i="308"/>
  <c r="AP25" i="308" s="1"/>
  <c r="AE16" i="308"/>
  <c r="AD16" i="308"/>
  <c r="V16" i="308"/>
  <c r="V28" i="308" s="1"/>
  <c r="U16" i="308"/>
  <c r="BG15" i="308"/>
  <c r="AV15" i="308"/>
  <c r="AU15" i="308"/>
  <c r="AT15" i="308"/>
  <c r="AS15" i="308"/>
  <c r="AR15" i="308"/>
  <c r="AQ15" i="308"/>
  <c r="AP15" i="308"/>
  <c r="AE15" i="308"/>
  <c r="AD15" i="308"/>
  <c r="X15" i="308"/>
  <c r="V15" i="308"/>
  <c r="V27" i="308" s="1"/>
  <c r="U15" i="308"/>
  <c r="U27" i="308" s="1"/>
  <c r="BG14" i="308"/>
  <c r="AV14" i="308"/>
  <c r="AU14" i="308"/>
  <c r="AT14" i="308"/>
  <c r="AS14" i="308"/>
  <c r="AR14" i="308"/>
  <c r="AQ14" i="308"/>
  <c r="AP14" i="308"/>
  <c r="AE14" i="308"/>
  <c r="AD14" i="308"/>
  <c r="V14" i="308"/>
  <c r="V26" i="308" s="1"/>
  <c r="U14" i="308"/>
  <c r="U26" i="308" s="1"/>
  <c r="BG13" i="308"/>
  <c r="AV13" i="308"/>
  <c r="AU13" i="308"/>
  <c r="AT13" i="308"/>
  <c r="AS13" i="308"/>
  <c r="AR13" i="308"/>
  <c r="AQ13" i="308"/>
  <c r="AP13" i="308"/>
  <c r="AE13" i="308"/>
  <c r="AD13" i="308"/>
  <c r="X13" i="308"/>
  <c r="V13" i="308"/>
  <c r="U13" i="308"/>
  <c r="U25" i="308" s="1"/>
  <c r="BG12" i="308"/>
  <c r="AV12" i="308"/>
  <c r="AV21" i="308" s="1"/>
  <c r="AU12" i="308"/>
  <c r="AU21" i="308" s="1"/>
  <c r="AT12" i="308"/>
  <c r="AT21" i="308" s="1"/>
  <c r="AS12" i="308"/>
  <c r="AS21" i="308" s="1"/>
  <c r="AR12" i="308"/>
  <c r="AR21" i="308" s="1"/>
  <c r="AQ12" i="308"/>
  <c r="AQ21" i="308" s="1"/>
  <c r="AP12" i="308"/>
  <c r="AP21" i="308" s="1"/>
  <c r="AE12" i="308"/>
  <c r="AD12" i="308"/>
  <c r="X12" i="308"/>
  <c r="V12" i="308"/>
  <c r="V24" i="308" s="1"/>
  <c r="U12" i="308"/>
  <c r="BG11" i="308"/>
  <c r="AV11" i="308"/>
  <c r="AV20" i="308" s="1"/>
  <c r="AU11" i="308"/>
  <c r="AU20" i="308" s="1"/>
  <c r="AT11" i="308"/>
  <c r="AT20" i="308" s="1"/>
  <c r="AS11" i="308"/>
  <c r="AS20" i="308" s="1"/>
  <c r="AR11" i="308"/>
  <c r="AR20" i="308" s="1"/>
  <c r="AQ11" i="308"/>
  <c r="AQ20" i="308" s="1"/>
  <c r="AP11" i="308"/>
  <c r="AP20" i="308" s="1"/>
  <c r="AE11" i="308"/>
  <c r="AD11" i="308"/>
  <c r="X11" i="308"/>
  <c r="V11" i="308"/>
  <c r="V23" i="308" s="1"/>
  <c r="U11" i="308"/>
  <c r="U23" i="308" s="1"/>
  <c r="BG10" i="308"/>
  <c r="AV10" i="308"/>
  <c r="AV19" i="308" s="1"/>
  <c r="AU10" i="308"/>
  <c r="AU19" i="308" s="1"/>
  <c r="AT10" i="308"/>
  <c r="AT19" i="308" s="1"/>
  <c r="AS10" i="308"/>
  <c r="AS19" i="308" s="1"/>
  <c r="AR10" i="308"/>
  <c r="AR19" i="308" s="1"/>
  <c r="AQ10" i="308"/>
  <c r="AQ19" i="308" s="1"/>
  <c r="AP10" i="308"/>
  <c r="AP19" i="308" s="1"/>
  <c r="AE10" i="308"/>
  <c r="AD10" i="308"/>
  <c r="AF10" i="308" s="1"/>
  <c r="X10" i="308"/>
  <c r="V10" i="308"/>
  <c r="V22" i="308" s="1"/>
  <c r="U10" i="308"/>
  <c r="AV9" i="308"/>
  <c r="AU9" i="308"/>
  <c r="AT9" i="308"/>
  <c r="AS9" i="308"/>
  <c r="AR9" i="308"/>
  <c r="AQ9" i="308"/>
  <c r="AP9" i="308"/>
  <c r="AE9" i="308"/>
  <c r="AD9" i="308"/>
  <c r="J5" i="308"/>
  <c r="J3" i="308"/>
  <c r="W1" i="308"/>
  <c r="B12" i="301"/>
  <c r="B13" i="301" s="1"/>
  <c r="B14" i="301" s="1"/>
  <c r="B7" i="301"/>
  <c r="B8" i="301" s="1"/>
  <c r="B9" i="301" s="1"/>
  <c r="V12" i="285"/>
  <c r="V24" i="285" s="1"/>
  <c r="G49" i="285"/>
  <c r="F44" i="285"/>
  <c r="F45" i="285"/>
  <c r="N28" i="285"/>
  <c r="G49" i="284"/>
  <c r="F49" i="283"/>
  <c r="G49" i="283" s="1"/>
  <c r="M49" i="283"/>
  <c r="O49" i="283" s="1"/>
  <c r="M45" i="283"/>
  <c r="F44" i="283"/>
  <c r="I44" i="283" s="1"/>
  <c r="M49" i="285"/>
  <c r="O49" i="285" s="1"/>
  <c r="V16" i="285"/>
  <c r="V28" i="285" s="1"/>
  <c r="U16" i="285"/>
  <c r="U28" i="285" s="1"/>
  <c r="X15" i="285"/>
  <c r="V15" i="285"/>
  <c r="V27" i="285" s="1"/>
  <c r="U15" i="285"/>
  <c r="U27" i="285" s="1"/>
  <c r="V14" i="285"/>
  <c r="U14" i="285"/>
  <c r="X14" i="285" s="1"/>
  <c r="X13" i="285"/>
  <c r="V13" i="285"/>
  <c r="V25" i="285" s="1"/>
  <c r="U13" i="285"/>
  <c r="U12" i="285"/>
  <c r="X11" i="285"/>
  <c r="V11" i="285"/>
  <c r="V23" i="285" s="1"/>
  <c r="U11" i="285"/>
  <c r="U23" i="285" s="1"/>
  <c r="V10" i="285"/>
  <c r="U10" i="285"/>
  <c r="U22" i="285" s="1"/>
  <c r="N13" i="285"/>
  <c r="AR16" i="285" s="1"/>
  <c r="N29" i="283"/>
  <c r="H17" i="284"/>
  <c r="H18" i="284"/>
  <c r="AU11" i="284" s="1"/>
  <c r="AU24" i="284" s="1"/>
  <c r="H14" i="284"/>
  <c r="H12" i="284"/>
  <c r="N17" i="284"/>
  <c r="AI10" i="284" s="1"/>
  <c r="AI19" i="284" s="1"/>
  <c r="N16" i="284"/>
  <c r="AT16" i="284" s="1"/>
  <c r="Q10" i="284"/>
  <c r="Q11" i="284"/>
  <c r="Q12" i="284"/>
  <c r="Q13" i="284"/>
  <c r="Q14" i="284"/>
  <c r="Q15" i="284"/>
  <c r="Q18" i="284"/>
  <c r="Q19" i="284"/>
  <c r="Q20" i="284"/>
  <c r="Q21" i="284"/>
  <c r="Q22" i="284"/>
  <c r="Q23" i="284"/>
  <c r="Q24" i="284"/>
  <c r="Q25" i="284"/>
  <c r="Q26" i="284"/>
  <c r="Q27" i="284"/>
  <c r="Q28" i="284"/>
  <c r="Q29" i="284"/>
  <c r="Q9" i="284"/>
  <c r="W16" i="284"/>
  <c r="W28" i="284" s="1"/>
  <c r="V16" i="284"/>
  <c r="Y15" i="284"/>
  <c r="W15" i="284"/>
  <c r="W27" i="284" s="1"/>
  <c r="V15" i="284"/>
  <c r="V27" i="284" s="1"/>
  <c r="W14" i="284"/>
  <c r="V14" i="284"/>
  <c r="Y13" i="284"/>
  <c r="W13" i="284"/>
  <c r="W25" i="284" s="1"/>
  <c r="V13" i="284"/>
  <c r="V25" i="284" s="1"/>
  <c r="W12" i="284"/>
  <c r="W24" i="284" s="1"/>
  <c r="V12" i="284"/>
  <c r="W11" i="284"/>
  <c r="V11" i="284"/>
  <c r="V23" i="284" s="1"/>
  <c r="W10" i="284"/>
  <c r="W22" i="284" s="1"/>
  <c r="V10" i="284"/>
  <c r="V16" i="283"/>
  <c r="U16" i="283"/>
  <c r="X15" i="283"/>
  <c r="V15" i="283"/>
  <c r="V27" i="283" s="1"/>
  <c r="U15" i="283"/>
  <c r="V14" i="283"/>
  <c r="V26" i="283" s="1"/>
  <c r="U14" i="283"/>
  <c r="U26" i="283" s="1"/>
  <c r="X13" i="283"/>
  <c r="V13" i="283"/>
  <c r="U13" i="283"/>
  <c r="U25" i="283" s="1"/>
  <c r="U12" i="283"/>
  <c r="U24" i="283" s="1"/>
  <c r="V11" i="283"/>
  <c r="V23" i="283" s="1"/>
  <c r="U10" i="283"/>
  <c r="U22" i="283" s="1"/>
  <c r="H26" i="283"/>
  <c r="AK11" i="283" s="1"/>
  <c r="AK20" i="283" s="1"/>
  <c r="N25" i="283"/>
  <c r="K25" i="283"/>
  <c r="K10" i="283"/>
  <c r="V12" i="283" s="1"/>
  <c r="V24" i="283" s="1"/>
  <c r="E11" i="283"/>
  <c r="M46" i="284"/>
  <c r="N10" i="283"/>
  <c r="V15" i="288"/>
  <c r="V12" i="288"/>
  <c r="V13" i="288"/>
  <c r="V25" i="288" s="1"/>
  <c r="V14" i="288"/>
  <c r="V26" i="288" s="1"/>
  <c r="F44" i="282"/>
  <c r="H11" i="283"/>
  <c r="X29" i="283"/>
  <c r="H21" i="282"/>
  <c r="AJ11" i="282" s="1"/>
  <c r="AJ20" i="282" s="1"/>
  <c r="M44" i="284"/>
  <c r="F45" i="284"/>
  <c r="F44" i="284"/>
  <c r="O77" i="284"/>
  <c r="M77" i="284"/>
  <c r="X76" i="284"/>
  <c r="Z76" i="284" s="1"/>
  <c r="O76" i="284"/>
  <c r="P76" i="284" s="1"/>
  <c r="H76" i="284"/>
  <c r="F76" i="284"/>
  <c r="X75" i="284"/>
  <c r="Z75" i="284" s="1"/>
  <c r="O75" i="284"/>
  <c r="M75" i="284"/>
  <c r="H75" i="284"/>
  <c r="F75" i="284"/>
  <c r="X74" i="284"/>
  <c r="Z74" i="284" s="1"/>
  <c r="M49" i="284"/>
  <c r="O49" i="284" s="1"/>
  <c r="O46" i="284"/>
  <c r="O45" i="284"/>
  <c r="O97" i="284" s="1"/>
  <c r="M45" i="284"/>
  <c r="M97" i="284" s="1"/>
  <c r="H45" i="284"/>
  <c r="H97" i="284" s="1"/>
  <c r="O44" i="284"/>
  <c r="H44" i="284"/>
  <c r="N42" i="284"/>
  <c r="J42" i="284"/>
  <c r="G42" i="284"/>
  <c r="O77" i="285"/>
  <c r="M77" i="285"/>
  <c r="W76" i="285"/>
  <c r="Y76" i="285" s="1"/>
  <c r="O76" i="285"/>
  <c r="P76" i="285" s="1"/>
  <c r="H76" i="285"/>
  <c r="F76" i="285"/>
  <c r="W75" i="285"/>
  <c r="Y75" i="285" s="1"/>
  <c r="O75" i="285"/>
  <c r="M75" i="285"/>
  <c r="H75" i="285"/>
  <c r="F75" i="285"/>
  <c r="I75" i="285" s="1"/>
  <c r="W74" i="285"/>
  <c r="Y74" i="285" s="1"/>
  <c r="O46" i="285"/>
  <c r="O45" i="285"/>
  <c r="P45" i="285" s="1"/>
  <c r="P97" i="285" s="1"/>
  <c r="H45" i="285"/>
  <c r="H97" i="285" s="1"/>
  <c r="O44" i="285"/>
  <c r="H44" i="285"/>
  <c r="J42" i="285"/>
  <c r="G42" i="285"/>
  <c r="O77" i="283"/>
  <c r="M77" i="283"/>
  <c r="W76" i="283"/>
  <c r="Y76" i="283" s="1"/>
  <c r="O76" i="283"/>
  <c r="P76" i="283" s="1"/>
  <c r="H76" i="283"/>
  <c r="F76" i="283"/>
  <c r="W75" i="283"/>
  <c r="Y75" i="283" s="1"/>
  <c r="O75" i="283"/>
  <c r="H75" i="283"/>
  <c r="F75" i="283"/>
  <c r="W74" i="283"/>
  <c r="Y74" i="283" s="1"/>
  <c r="O46" i="283"/>
  <c r="O45" i="283"/>
  <c r="O97" i="283" s="1"/>
  <c r="H45" i="283"/>
  <c r="H97" i="283" s="1"/>
  <c r="O44" i="283"/>
  <c r="H44" i="283"/>
  <c r="J42" i="283"/>
  <c r="O98" i="295"/>
  <c r="N98" i="295"/>
  <c r="M98" i="295"/>
  <c r="L98" i="295"/>
  <c r="K98" i="295"/>
  <c r="J98" i="295"/>
  <c r="I98" i="295"/>
  <c r="H98" i="295"/>
  <c r="G98" i="295"/>
  <c r="N97" i="295"/>
  <c r="M97" i="295"/>
  <c r="L97" i="295"/>
  <c r="K97" i="295"/>
  <c r="J97" i="295"/>
  <c r="G97" i="295"/>
  <c r="O77" i="295"/>
  <c r="M77" i="295"/>
  <c r="W76" i="295"/>
  <c r="Y76" i="295" s="1"/>
  <c r="O76" i="295"/>
  <c r="P76" i="295" s="1"/>
  <c r="H76" i="295"/>
  <c r="F76" i="295"/>
  <c r="I76" i="295" s="1"/>
  <c r="W75" i="295"/>
  <c r="Y75" i="295" s="1"/>
  <c r="O75" i="295"/>
  <c r="M75" i="295"/>
  <c r="H75" i="295"/>
  <c r="F75" i="295"/>
  <c r="W74" i="295"/>
  <c r="Y74" i="295" s="1"/>
  <c r="M49" i="295"/>
  <c r="O49" i="295" s="1"/>
  <c r="F49" i="295"/>
  <c r="G49" i="295" s="1"/>
  <c r="O46" i="295"/>
  <c r="O45" i="295"/>
  <c r="H45" i="295"/>
  <c r="H97" i="295" s="1"/>
  <c r="O44" i="295"/>
  <c r="H44" i="295"/>
  <c r="F44" i="295"/>
  <c r="N42" i="295"/>
  <c r="J42" i="295"/>
  <c r="G42" i="295"/>
  <c r="X29" i="295"/>
  <c r="AW18" i="295"/>
  <c r="AW31" i="295" s="1"/>
  <c r="AV18" i="295"/>
  <c r="AV31" i="295" s="1"/>
  <c r="AU18" i="295"/>
  <c r="AT18" i="295"/>
  <c r="AT31" i="295" s="1"/>
  <c r="AS18" i="295"/>
  <c r="AS31" i="295" s="1"/>
  <c r="AR18" i="295"/>
  <c r="AR31" i="295" s="1"/>
  <c r="AQ18" i="295"/>
  <c r="AQ31" i="295" s="1"/>
  <c r="N18" i="295"/>
  <c r="AI12" i="295" s="1"/>
  <c r="AI21" i="295" s="1"/>
  <c r="AW17" i="295"/>
  <c r="AW30" i="295" s="1"/>
  <c r="AV17" i="295"/>
  <c r="AV30" i="295" s="1"/>
  <c r="AU17" i="295"/>
  <c r="AU30" i="295" s="1"/>
  <c r="AT17" i="295"/>
  <c r="AS17" i="295"/>
  <c r="AS30" i="295" s="1"/>
  <c r="AR17" i="295"/>
  <c r="AR30" i="295" s="1"/>
  <c r="AQ17" i="295"/>
  <c r="AQ30" i="295" s="1"/>
  <c r="AW16" i="295"/>
  <c r="AW29" i="295" s="1"/>
  <c r="AV16" i="295"/>
  <c r="AV29" i="295" s="1"/>
  <c r="AU16" i="295"/>
  <c r="AU29" i="295" s="1"/>
  <c r="AS16" i="295"/>
  <c r="AS29" i="295" s="1"/>
  <c r="AR16" i="295"/>
  <c r="AR29" i="295" s="1"/>
  <c r="AQ16" i="295"/>
  <c r="AQ29" i="295" s="1"/>
  <c r="V16" i="295"/>
  <c r="V28" i="295" s="1"/>
  <c r="U16" i="295"/>
  <c r="U28" i="295" s="1"/>
  <c r="W28" i="295" s="1"/>
  <c r="AW15" i="295"/>
  <c r="AW28" i="295" s="1"/>
  <c r="AV15" i="295"/>
  <c r="AU15" i="295"/>
  <c r="AT15" i="295"/>
  <c r="AT28" i="295" s="1"/>
  <c r="AS15" i="295"/>
  <c r="AS28" i="295" s="1"/>
  <c r="AR15" i="295"/>
  <c r="X15" i="295"/>
  <c r="V15" i="295"/>
  <c r="U15" i="295"/>
  <c r="U27" i="295" s="1"/>
  <c r="AL14" i="295"/>
  <c r="AL23" i="295" s="1"/>
  <c r="AK14" i="295"/>
  <c r="AK23" i="295" s="1"/>
  <c r="AJ14" i="295"/>
  <c r="AJ23" i="295" s="1"/>
  <c r="AI14" i="295"/>
  <c r="AH14" i="295"/>
  <c r="AH23" i="295" s="1"/>
  <c r="AG14" i="295"/>
  <c r="AG23" i="295" s="1"/>
  <c r="AF14" i="295"/>
  <c r="AF23" i="295" s="1"/>
  <c r="V14" i="295"/>
  <c r="V26" i="295" s="1"/>
  <c r="U14" i="295"/>
  <c r="X14" i="295" s="1"/>
  <c r="AL13" i="295"/>
  <c r="AL22" i="295" s="1"/>
  <c r="AK13" i="295"/>
  <c r="AK22" i="295" s="1"/>
  <c r="AJ13" i="295"/>
  <c r="AJ22" i="295" s="1"/>
  <c r="AI13" i="295"/>
  <c r="AI22" i="295" s="1"/>
  <c r="AH13" i="295"/>
  <c r="AH22" i="295" s="1"/>
  <c r="AG13" i="295"/>
  <c r="AG22" i="295" s="1"/>
  <c r="AF13" i="295"/>
  <c r="AF22" i="295" s="1"/>
  <c r="X13" i="295"/>
  <c r="V13" i="295"/>
  <c r="U13" i="295"/>
  <c r="U25" i="295" s="1"/>
  <c r="AL12" i="295"/>
  <c r="AL21" i="295" s="1"/>
  <c r="AK12" i="295"/>
  <c r="AJ12" i="295"/>
  <c r="AJ21" i="295" s="1"/>
  <c r="AH12" i="295"/>
  <c r="AH21" i="295" s="1"/>
  <c r="AG12" i="295"/>
  <c r="AF12" i="295"/>
  <c r="AF21" i="295" s="1"/>
  <c r="V12" i="295"/>
  <c r="U12" i="295"/>
  <c r="U24" i="295" s="1"/>
  <c r="B12" i="295"/>
  <c r="B15" i="295" s="1"/>
  <c r="AH9" i="295" s="1"/>
  <c r="AH18" i="295" s="1"/>
  <c r="AW11" i="295"/>
  <c r="AW24" i="295" s="1"/>
  <c r="AV11" i="295"/>
  <c r="AV24" i="295" s="1"/>
  <c r="AU11" i="295"/>
  <c r="AU24" i="295" s="1"/>
  <c r="AT11" i="295"/>
  <c r="AT24" i="295" s="1"/>
  <c r="AS11" i="295"/>
  <c r="AR11" i="295"/>
  <c r="AR24" i="295" s="1"/>
  <c r="AL11" i="295"/>
  <c r="AL20" i="295" s="1"/>
  <c r="AK11" i="295"/>
  <c r="AK20" i="295" s="1"/>
  <c r="AJ11" i="295"/>
  <c r="AJ20" i="295" s="1"/>
  <c r="AI11" i="295"/>
  <c r="AH11" i="295"/>
  <c r="AH20" i="295" s="1"/>
  <c r="AG11" i="295"/>
  <c r="AG20" i="295" s="1"/>
  <c r="V11" i="295"/>
  <c r="V23" i="295" s="1"/>
  <c r="U11" i="295"/>
  <c r="U23" i="295" s="1"/>
  <c r="AW10" i="295"/>
  <c r="AW23" i="295" s="1"/>
  <c r="AV10" i="295"/>
  <c r="AV23" i="295" s="1"/>
  <c r="AU10" i="295"/>
  <c r="AT10" i="295"/>
  <c r="AT12" i="295" s="1"/>
  <c r="AS10" i="295"/>
  <c r="AS23" i="295" s="1"/>
  <c r="AR10" i="295"/>
  <c r="AR23" i="295" s="1"/>
  <c r="AQ10" i="295"/>
  <c r="AQ23" i="295" s="1"/>
  <c r="AL10" i="295"/>
  <c r="AK10" i="295"/>
  <c r="AK19" i="295" s="1"/>
  <c r="AJ10" i="295"/>
  <c r="AJ19" i="295" s="1"/>
  <c r="AI10" i="295"/>
  <c r="AI19" i="295" s="1"/>
  <c r="AH10" i="295"/>
  <c r="AH19" i="295" s="1"/>
  <c r="AG10" i="295"/>
  <c r="AG19" i="295" s="1"/>
  <c r="V10" i="295"/>
  <c r="V22" i="295" s="1"/>
  <c r="U10" i="295"/>
  <c r="H10" i="295"/>
  <c r="F45" i="295" s="1"/>
  <c r="AF9" i="295"/>
  <c r="AQ9" i="295" s="1"/>
  <c r="AQ14" i="295" s="1"/>
  <c r="N9" i="295"/>
  <c r="J3" i="295"/>
  <c r="O77" i="282"/>
  <c r="M77" i="282"/>
  <c r="W76" i="282"/>
  <c r="Y76" i="282" s="1"/>
  <c r="O76" i="282"/>
  <c r="P76" i="282" s="1"/>
  <c r="H76" i="282"/>
  <c r="F76" i="282"/>
  <c r="W75" i="282"/>
  <c r="Y75" i="282" s="1"/>
  <c r="O75" i="282"/>
  <c r="M75" i="282"/>
  <c r="H75" i="282"/>
  <c r="F75" i="282"/>
  <c r="W74" i="282"/>
  <c r="Y74" i="282" s="1"/>
  <c r="M49" i="282"/>
  <c r="O49" i="282" s="1"/>
  <c r="F49" i="282"/>
  <c r="G49" i="282" s="1"/>
  <c r="O46" i="282"/>
  <c r="O45" i="282"/>
  <c r="H45" i="282"/>
  <c r="H97" i="282" s="1"/>
  <c r="O44" i="282"/>
  <c r="H44" i="282"/>
  <c r="J42" i="282"/>
  <c r="G42" i="282"/>
  <c r="R42" i="282" s="1"/>
  <c r="N18" i="282"/>
  <c r="X12" i="282" s="1"/>
  <c r="U10" i="282"/>
  <c r="U22" i="282" s="1"/>
  <c r="V10" i="282"/>
  <c r="V22" i="282" s="1"/>
  <c r="U11" i="282"/>
  <c r="V11" i="282"/>
  <c r="V23" i="282" s="1"/>
  <c r="U12" i="282"/>
  <c r="V12" i="282"/>
  <c r="U13" i="282"/>
  <c r="U25" i="282" s="1"/>
  <c r="V13" i="282"/>
  <c r="X13" i="282"/>
  <c r="U14" i="282"/>
  <c r="X14" i="282" s="1"/>
  <c r="V14" i="282"/>
  <c r="U15" i="282"/>
  <c r="V15" i="282"/>
  <c r="V27" i="282" s="1"/>
  <c r="X15" i="282"/>
  <c r="U16" i="282"/>
  <c r="U28" i="282" s="1"/>
  <c r="V16" i="282"/>
  <c r="V28" i="282" s="1"/>
  <c r="N9" i="282"/>
  <c r="H10" i="282"/>
  <c r="O98" i="289"/>
  <c r="N98" i="289"/>
  <c r="M98" i="289"/>
  <c r="L98" i="289"/>
  <c r="K98" i="289"/>
  <c r="J98" i="289"/>
  <c r="I98" i="289"/>
  <c r="H98" i="289"/>
  <c r="G98" i="289"/>
  <c r="N97" i="289"/>
  <c r="L97" i="289"/>
  <c r="K97" i="289"/>
  <c r="J97" i="289"/>
  <c r="G97" i="289"/>
  <c r="O77" i="289"/>
  <c r="M77" i="289"/>
  <c r="W76" i="289"/>
  <c r="Y76" i="289" s="1"/>
  <c r="O76" i="289"/>
  <c r="P76" i="289" s="1"/>
  <c r="H76" i="289"/>
  <c r="F76" i="289"/>
  <c r="W75" i="289"/>
  <c r="Y75" i="289" s="1"/>
  <c r="O75" i="289"/>
  <c r="M75" i="289"/>
  <c r="H75" i="289"/>
  <c r="F75" i="289"/>
  <c r="W74" i="289"/>
  <c r="Y74" i="289" s="1"/>
  <c r="M49" i="289"/>
  <c r="O49" i="289" s="1"/>
  <c r="F49" i="289"/>
  <c r="G49" i="289" s="1"/>
  <c r="O46" i="289"/>
  <c r="O45" i="289"/>
  <c r="O97" i="289" s="1"/>
  <c r="H45" i="289"/>
  <c r="H97" i="289" s="1"/>
  <c r="F45" i="289"/>
  <c r="O44" i="289"/>
  <c r="M44" i="289"/>
  <c r="H44" i="289"/>
  <c r="F44" i="289"/>
  <c r="N42" i="289"/>
  <c r="G42" i="289"/>
  <c r="N31" i="289"/>
  <c r="G31" i="289"/>
  <c r="N30" i="289"/>
  <c r="G30" i="289"/>
  <c r="X29" i="289"/>
  <c r="N21" i="289"/>
  <c r="H21" i="289"/>
  <c r="AW18" i="289"/>
  <c r="AW31" i="289" s="1"/>
  <c r="AV18" i="289"/>
  <c r="AV31" i="289" s="1"/>
  <c r="AU18" i="289"/>
  <c r="AT18" i="289"/>
  <c r="AT31" i="289" s="1"/>
  <c r="AS18" i="289"/>
  <c r="AS31" i="289" s="1"/>
  <c r="AR18" i="289"/>
  <c r="AR31" i="289" s="1"/>
  <c r="AQ18" i="289"/>
  <c r="AW17" i="289"/>
  <c r="AW30" i="289" s="1"/>
  <c r="AV17" i="289"/>
  <c r="AV30" i="289" s="1"/>
  <c r="AU17" i="289"/>
  <c r="AT17" i="289"/>
  <c r="AT30" i="289" s="1"/>
  <c r="AS17" i="289"/>
  <c r="AS30" i="289" s="1"/>
  <c r="AR17" i="289"/>
  <c r="N17" i="289"/>
  <c r="AW16" i="289"/>
  <c r="AW29" i="289" s="1"/>
  <c r="AV16" i="289"/>
  <c r="AV29" i="289" s="1"/>
  <c r="AT16" i="289"/>
  <c r="AT29" i="289" s="1"/>
  <c r="AR16" i="289"/>
  <c r="AR29" i="289" s="1"/>
  <c r="AQ16" i="289"/>
  <c r="AQ29" i="289" s="1"/>
  <c r="V16" i="289"/>
  <c r="U16" i="289"/>
  <c r="AW15" i="289"/>
  <c r="AV15" i="289"/>
  <c r="AV28" i="289" s="1"/>
  <c r="AU15" i="289"/>
  <c r="AU28" i="289" s="1"/>
  <c r="AT15" i="289"/>
  <c r="AS15" i="289"/>
  <c r="AS28" i="289" s="1"/>
  <c r="AR15" i="289"/>
  <c r="AR28" i="289" s="1"/>
  <c r="AQ15" i="289"/>
  <c r="AQ28" i="289" s="1"/>
  <c r="X15" i="289"/>
  <c r="V15" i="289"/>
  <c r="V27" i="289" s="1"/>
  <c r="U15" i="289"/>
  <c r="U27" i="289" s="1"/>
  <c r="W27" i="289" s="1"/>
  <c r="AL14" i="289"/>
  <c r="AL23" i="289" s="1"/>
  <c r="AK14" i="289"/>
  <c r="AK23" i="289" s="1"/>
  <c r="AJ14" i="289"/>
  <c r="AJ23" i="289" s="1"/>
  <c r="AI14" i="289"/>
  <c r="AI23" i="289" s="1"/>
  <c r="AH14" i="289"/>
  <c r="AH23" i="289" s="1"/>
  <c r="AG14" i="289"/>
  <c r="AG23" i="289" s="1"/>
  <c r="AF14" i="289"/>
  <c r="AF23" i="289" s="1"/>
  <c r="V14" i="289"/>
  <c r="U14" i="289"/>
  <c r="AL13" i="289"/>
  <c r="AL22" i="289" s="1"/>
  <c r="AK13" i="289"/>
  <c r="AK22" i="289" s="1"/>
  <c r="AJ13" i="289"/>
  <c r="AJ22" i="289" s="1"/>
  <c r="AI13" i="289"/>
  <c r="AI22" i="289" s="1"/>
  <c r="AH13" i="289"/>
  <c r="AH22" i="289" s="1"/>
  <c r="AG13" i="289"/>
  <c r="AG22" i="289" s="1"/>
  <c r="X13" i="289"/>
  <c r="V13" i="289"/>
  <c r="V25" i="289" s="1"/>
  <c r="U13" i="289"/>
  <c r="AL12" i="289"/>
  <c r="AL21" i="289" s="1"/>
  <c r="AK12" i="289"/>
  <c r="AK21" i="289" s="1"/>
  <c r="AI12" i="289"/>
  <c r="AI21" i="289" s="1"/>
  <c r="AG12" i="289"/>
  <c r="AF12" i="289"/>
  <c r="AF21" i="289" s="1"/>
  <c r="V12" i="289"/>
  <c r="U12" i="289"/>
  <c r="U24" i="289" s="1"/>
  <c r="B12" i="289"/>
  <c r="AW11" i="289"/>
  <c r="AV11" i="289"/>
  <c r="AT11" i="289"/>
  <c r="AT24" i="289" s="1"/>
  <c r="AS11" i="289"/>
  <c r="AS24" i="289" s="1"/>
  <c r="AR11" i="289"/>
  <c r="AR24" i="289" s="1"/>
  <c r="AQ11" i="289"/>
  <c r="AL11" i="289"/>
  <c r="AL20" i="289" s="1"/>
  <c r="AK11" i="289"/>
  <c r="AK20" i="289" s="1"/>
  <c r="AI11" i="289"/>
  <c r="AH11" i="289"/>
  <c r="AH20" i="289" s="1"/>
  <c r="AG11" i="289"/>
  <c r="AF11" i="289"/>
  <c r="AF20" i="289" s="1"/>
  <c r="V11" i="289"/>
  <c r="V23" i="289" s="1"/>
  <c r="U11" i="289"/>
  <c r="N11" i="289"/>
  <c r="AF13" i="289" s="1"/>
  <c r="AW10" i="289"/>
  <c r="AW23" i="289" s="1"/>
  <c r="AV10" i="289"/>
  <c r="AV23" i="289" s="1"/>
  <c r="AU10" i="289"/>
  <c r="AU23" i="289" s="1"/>
  <c r="AT10" i="289"/>
  <c r="AT12" i="289" s="1"/>
  <c r="AS10" i="289"/>
  <c r="AR10" i="289"/>
  <c r="AR23" i="289" s="1"/>
  <c r="AQ10" i="289"/>
  <c r="AL10" i="289"/>
  <c r="AK10" i="289"/>
  <c r="AK19" i="289" s="1"/>
  <c r="AJ10" i="289"/>
  <c r="AJ19" i="289" s="1"/>
  <c r="AI10" i="289"/>
  <c r="AI19" i="289" s="1"/>
  <c r="AH10" i="289"/>
  <c r="AH19" i="289" s="1"/>
  <c r="AG10" i="289"/>
  <c r="AG19" i="289" s="1"/>
  <c r="AF10" i="289"/>
  <c r="AF19" i="289" s="1"/>
  <c r="X10" i="289"/>
  <c r="V10" i="289"/>
  <c r="V22" i="289" s="1"/>
  <c r="U10" i="289"/>
  <c r="AF9" i="289"/>
  <c r="J3" i="289"/>
  <c r="G42" i="288"/>
  <c r="N42" i="288"/>
  <c r="N31" i="288"/>
  <c r="N30" i="288"/>
  <c r="G30" i="288"/>
  <c r="G31" i="288"/>
  <c r="N21" i="288"/>
  <c r="AU16" i="288" s="1"/>
  <c r="AU29" i="288" s="1"/>
  <c r="W76" i="288"/>
  <c r="Y76" i="288" s="1"/>
  <c r="W75" i="288"/>
  <c r="Y75" i="288" s="1"/>
  <c r="W74" i="288"/>
  <c r="Y74" i="288" s="1"/>
  <c r="M77" i="288"/>
  <c r="M75" i="288"/>
  <c r="F76" i="288"/>
  <c r="F75" i="288"/>
  <c r="O77" i="288"/>
  <c r="O76" i="288"/>
  <c r="P76" i="288" s="1"/>
  <c r="H76" i="288"/>
  <c r="O75" i="288"/>
  <c r="H75" i="288"/>
  <c r="F49" i="288"/>
  <c r="G49" i="288" s="1"/>
  <c r="M49" i="288"/>
  <c r="O49" i="288" s="1"/>
  <c r="O45" i="288"/>
  <c r="O97" i="288" s="1"/>
  <c r="O46" i="288"/>
  <c r="O44" i="288"/>
  <c r="M44" i="288"/>
  <c r="H45" i="288"/>
  <c r="H97" i="288" s="1"/>
  <c r="H44" i="288"/>
  <c r="F45" i="288"/>
  <c r="F44" i="288"/>
  <c r="I44" i="288" s="1"/>
  <c r="H21" i="288"/>
  <c r="AJ11" i="288" s="1"/>
  <c r="AJ20" i="288" s="1"/>
  <c r="N17" i="288"/>
  <c r="M46" i="288" s="1"/>
  <c r="P46" i="288" s="1"/>
  <c r="N11" i="288"/>
  <c r="V16" i="288"/>
  <c r="V28" i="288" s="1"/>
  <c r="U16" i="288"/>
  <c r="U28" i="288" s="1"/>
  <c r="X15" i="288"/>
  <c r="U15" i="288"/>
  <c r="U27" i="288" s="1"/>
  <c r="U14" i="288"/>
  <c r="X14" i="288" s="1"/>
  <c r="X13" i="288"/>
  <c r="U13" i="288"/>
  <c r="U12" i="288"/>
  <c r="U24" i="288" s="1"/>
  <c r="V11" i="288"/>
  <c r="V23" i="288" s="1"/>
  <c r="U11" i="288"/>
  <c r="U23" i="288" s="1"/>
  <c r="X10" i="288"/>
  <c r="V10" i="288"/>
  <c r="V22" i="288" s="1"/>
  <c r="U10" i="288"/>
  <c r="O98" i="288"/>
  <c r="N98" i="288"/>
  <c r="M98" i="288"/>
  <c r="L98" i="288"/>
  <c r="K98" i="288"/>
  <c r="J98" i="288"/>
  <c r="I98" i="288"/>
  <c r="H98" i="288"/>
  <c r="G98" i="288"/>
  <c r="N97" i="288"/>
  <c r="L97" i="288"/>
  <c r="K97" i="288"/>
  <c r="J97" i="288"/>
  <c r="G97" i="288"/>
  <c r="X29" i="288"/>
  <c r="AW18" i="288"/>
  <c r="AW31" i="288" s="1"/>
  <c r="AV18" i="288"/>
  <c r="AV31" i="288" s="1"/>
  <c r="AU18" i="288"/>
  <c r="AU31" i="288" s="1"/>
  <c r="AT18" i="288"/>
  <c r="AT31" i="288" s="1"/>
  <c r="AS18" i="288"/>
  <c r="AS31" i="288" s="1"/>
  <c r="AR18" i="288"/>
  <c r="AR31" i="288" s="1"/>
  <c r="AQ18" i="288"/>
  <c r="AQ31" i="288" s="1"/>
  <c r="AW17" i="288"/>
  <c r="AW30" i="288" s="1"/>
  <c r="AV17" i="288"/>
  <c r="AV30" i="288" s="1"/>
  <c r="AU17" i="288"/>
  <c r="AU30" i="288" s="1"/>
  <c r="AT17" i="288"/>
  <c r="AT30" i="288" s="1"/>
  <c r="AS17" i="288"/>
  <c r="AS30" i="288" s="1"/>
  <c r="AR17" i="288"/>
  <c r="AR30" i="288" s="1"/>
  <c r="AW16" i="288"/>
  <c r="AW29" i="288" s="1"/>
  <c r="AV16" i="288"/>
  <c r="AT16" i="288"/>
  <c r="AR16" i="288"/>
  <c r="AR29" i="288" s="1"/>
  <c r="AQ16" i="288"/>
  <c r="AQ29" i="288" s="1"/>
  <c r="AW15" i="288"/>
  <c r="AW28" i="288" s="1"/>
  <c r="AV15" i="288"/>
  <c r="AV28" i="288" s="1"/>
  <c r="AU15" i="288"/>
  <c r="AU28" i="288" s="1"/>
  <c r="AT15" i="288"/>
  <c r="AT28" i="288" s="1"/>
  <c r="AS15" i="288"/>
  <c r="AR15" i="288"/>
  <c r="AQ15" i="288"/>
  <c r="V27" i="288"/>
  <c r="AL14" i="288"/>
  <c r="AK14" i="288"/>
  <c r="AK23" i="288" s="1"/>
  <c r="AJ14" i="288"/>
  <c r="AJ23" i="288" s="1"/>
  <c r="AI14" i="288"/>
  <c r="AI23" i="288" s="1"/>
  <c r="AH14" i="288"/>
  <c r="AH23" i="288" s="1"/>
  <c r="AG14" i="288"/>
  <c r="AG23" i="288" s="1"/>
  <c r="AF14" i="288"/>
  <c r="AF23" i="288" s="1"/>
  <c r="AL13" i="288"/>
  <c r="AL22" i="288" s="1"/>
  <c r="AK13" i="288"/>
  <c r="AK22" i="288" s="1"/>
  <c r="AJ13" i="288"/>
  <c r="AJ22" i="288" s="1"/>
  <c r="AI13" i="288"/>
  <c r="AI22" i="288" s="1"/>
  <c r="AH13" i="288"/>
  <c r="AH22" i="288" s="1"/>
  <c r="AG13" i="288"/>
  <c r="AG22" i="288" s="1"/>
  <c r="AL12" i="288"/>
  <c r="AL21" i="288" s="1"/>
  <c r="AK12" i="288"/>
  <c r="AK21" i="288" s="1"/>
  <c r="AI12" i="288"/>
  <c r="AI21" i="288" s="1"/>
  <c r="AG12" i="288"/>
  <c r="AG21" i="288" s="1"/>
  <c r="AF12" i="288"/>
  <c r="AF21" i="288" s="1"/>
  <c r="B12" i="288"/>
  <c r="AW11" i="288"/>
  <c r="AV11" i="288"/>
  <c r="AV24" i="288" s="1"/>
  <c r="AT11" i="288"/>
  <c r="AT24" i="288" s="1"/>
  <c r="AS11" i="288"/>
  <c r="AS24" i="288" s="1"/>
  <c r="AS25" i="288" s="1"/>
  <c r="AR11" i="288"/>
  <c r="AR24" i="288" s="1"/>
  <c r="AQ11" i="288"/>
  <c r="AQ24" i="288" s="1"/>
  <c r="AL11" i="288"/>
  <c r="AK11" i="288"/>
  <c r="AK20" i="288" s="1"/>
  <c r="AI11" i="288"/>
  <c r="AI20" i="288" s="1"/>
  <c r="AH11" i="288"/>
  <c r="AG11" i="288"/>
  <c r="AG20" i="288" s="1"/>
  <c r="AF11" i="288"/>
  <c r="AF20" i="288" s="1"/>
  <c r="AW10" i="288"/>
  <c r="AW23" i="288" s="1"/>
  <c r="AV10" i="288"/>
  <c r="AV23" i="288" s="1"/>
  <c r="AU10" i="288"/>
  <c r="AU23" i="288" s="1"/>
  <c r="AT10" i="288"/>
  <c r="AT23" i="288" s="1"/>
  <c r="AS10" i="288"/>
  <c r="AS23" i="288" s="1"/>
  <c r="AR10" i="288"/>
  <c r="AQ10" i="288"/>
  <c r="AQ23" i="288" s="1"/>
  <c r="AL10" i="288"/>
  <c r="AL19" i="288" s="1"/>
  <c r="AK10" i="288"/>
  <c r="AK19" i="288" s="1"/>
  <c r="AJ10" i="288"/>
  <c r="AJ19" i="288" s="1"/>
  <c r="AI10" i="288"/>
  <c r="AI19" i="288" s="1"/>
  <c r="AH10" i="288"/>
  <c r="AH19" i="288" s="1"/>
  <c r="AG10" i="288"/>
  <c r="AG19" i="288" s="1"/>
  <c r="AF10" i="288"/>
  <c r="AF19" i="288" s="1"/>
  <c r="AF9" i="288"/>
  <c r="AF18" i="288" s="1"/>
  <c r="J3" i="288"/>
  <c r="O98" i="285"/>
  <c r="N98" i="285"/>
  <c r="M98" i="285"/>
  <c r="L98" i="285"/>
  <c r="K98" i="285"/>
  <c r="J98" i="285"/>
  <c r="I98" i="285"/>
  <c r="H98" i="285"/>
  <c r="G98" i="285"/>
  <c r="N97" i="285"/>
  <c r="M97" i="285"/>
  <c r="L97" i="285"/>
  <c r="K97" i="285"/>
  <c r="J97" i="285"/>
  <c r="G97" i="285"/>
  <c r="X29" i="285"/>
  <c r="AW18" i="285"/>
  <c r="AW31" i="285" s="1"/>
  <c r="AV18" i="285"/>
  <c r="AV31" i="285" s="1"/>
  <c r="AU18" i="285"/>
  <c r="AT18" i="285"/>
  <c r="AT31" i="285" s="1"/>
  <c r="AS18" i="285"/>
  <c r="AS31" i="285" s="1"/>
  <c r="AR18" i="285"/>
  <c r="AQ18" i="285"/>
  <c r="AQ31" i="285" s="1"/>
  <c r="AW17" i="285"/>
  <c r="AW30" i="285" s="1"/>
  <c r="AV17" i="285"/>
  <c r="AV30" i="285" s="1"/>
  <c r="AU17" i="285"/>
  <c r="AU30" i="285" s="1"/>
  <c r="AT17" i="285"/>
  <c r="AT30" i="285" s="1"/>
  <c r="AS17" i="285"/>
  <c r="AR17" i="285"/>
  <c r="AQ17" i="285"/>
  <c r="AQ30" i="285" s="1"/>
  <c r="AW16" i="285"/>
  <c r="AW29" i="285" s="1"/>
  <c r="AV16" i="285"/>
  <c r="AV29" i="285" s="1"/>
  <c r="AU16" i="285"/>
  <c r="AU29" i="285" s="1"/>
  <c r="AT16" i="285"/>
  <c r="AT29" i="285" s="1"/>
  <c r="AS16" i="285"/>
  <c r="AS29" i="285" s="1"/>
  <c r="AQ16" i="285"/>
  <c r="AQ29" i="285" s="1"/>
  <c r="AV15" i="285"/>
  <c r="AU15" i="285"/>
  <c r="AU28" i="285" s="1"/>
  <c r="AT15" i="285"/>
  <c r="AT28" i="285" s="1"/>
  <c r="AS15" i="285"/>
  <c r="AS28" i="285" s="1"/>
  <c r="AR15" i="285"/>
  <c r="AR28" i="285" s="1"/>
  <c r="AQ15" i="285"/>
  <c r="AQ28" i="285" s="1"/>
  <c r="AL14" i="285"/>
  <c r="AL23" i="285" s="1"/>
  <c r="AK14" i="285"/>
  <c r="AK23" i="285" s="1"/>
  <c r="AJ14" i="285"/>
  <c r="AJ23" i="285" s="1"/>
  <c r="AI14" i="285"/>
  <c r="AI23" i="285" s="1"/>
  <c r="AH14" i="285"/>
  <c r="AG14" i="285"/>
  <c r="AG23" i="285" s="1"/>
  <c r="AF14" i="285"/>
  <c r="AF23" i="285" s="1"/>
  <c r="V26" i="285"/>
  <c r="AL13" i="285"/>
  <c r="AL22" i="285" s="1"/>
  <c r="AK13" i="285"/>
  <c r="AK22" i="285" s="1"/>
  <c r="AJ13" i="285"/>
  <c r="AJ22" i="285" s="1"/>
  <c r="AI13" i="285"/>
  <c r="AH13" i="285"/>
  <c r="AH22" i="285" s="1"/>
  <c r="AG13" i="285"/>
  <c r="AG22" i="285" s="1"/>
  <c r="AF13" i="285"/>
  <c r="AF22" i="285" s="1"/>
  <c r="AL12" i="285"/>
  <c r="AL21" i="285" s="1"/>
  <c r="AK12" i="285"/>
  <c r="AK21" i="285" s="1"/>
  <c r="AJ12" i="285"/>
  <c r="AJ21" i="285" s="1"/>
  <c r="AI12" i="285"/>
  <c r="AI21" i="285" s="1"/>
  <c r="AH12" i="285"/>
  <c r="AH21" i="285" s="1"/>
  <c r="AF12" i="285"/>
  <c r="B12" i="285"/>
  <c r="B15" i="285" s="1"/>
  <c r="B18" i="285" s="1"/>
  <c r="B21" i="285" s="1"/>
  <c r="B24" i="285" s="1"/>
  <c r="AW11" i="285"/>
  <c r="AW24" i="285" s="1"/>
  <c r="AV11" i="285"/>
  <c r="AV24" i="285" s="1"/>
  <c r="AU11" i="285"/>
  <c r="AU24" i="285" s="1"/>
  <c r="AT11" i="285"/>
  <c r="AT24" i="285" s="1"/>
  <c r="AS11" i="285"/>
  <c r="AS24" i="285" s="1"/>
  <c r="AR11" i="285"/>
  <c r="AR24" i="285" s="1"/>
  <c r="AQ11" i="285"/>
  <c r="AL11" i="285"/>
  <c r="AL20" i="285" s="1"/>
  <c r="AK11" i="285"/>
  <c r="AK20" i="285" s="1"/>
  <c r="AJ11" i="285"/>
  <c r="AJ20" i="285" s="1"/>
  <c r="AI11" i="285"/>
  <c r="AI20" i="285" s="1"/>
  <c r="AH11" i="285"/>
  <c r="AH20" i="285" s="1"/>
  <c r="AG11" i="285"/>
  <c r="AF11" i="285"/>
  <c r="AW10" i="285"/>
  <c r="AV10" i="285"/>
  <c r="AV23" i="285" s="1"/>
  <c r="AU10" i="285"/>
  <c r="AU23" i="285" s="1"/>
  <c r="AT10" i="285"/>
  <c r="AT23" i="285" s="1"/>
  <c r="AS10" i="285"/>
  <c r="AR10" i="285"/>
  <c r="AR23" i="285" s="1"/>
  <c r="AQ10" i="285"/>
  <c r="AK10" i="285"/>
  <c r="AJ10" i="285"/>
  <c r="AI10" i="285"/>
  <c r="AI19" i="285" s="1"/>
  <c r="AH10" i="285"/>
  <c r="AH19" i="285" s="1"/>
  <c r="AG10" i="285"/>
  <c r="AF10" i="285"/>
  <c r="AF19" i="285" s="1"/>
  <c r="AF9" i="285"/>
  <c r="J3" i="285"/>
  <c r="O98" i="284"/>
  <c r="N98" i="284"/>
  <c r="M98" i="284"/>
  <c r="L98" i="284"/>
  <c r="K98" i="284"/>
  <c r="J98" i="284"/>
  <c r="I98" i="284"/>
  <c r="H98" i="284"/>
  <c r="G98" i="284"/>
  <c r="N97" i="284"/>
  <c r="L97" i="284"/>
  <c r="K97" i="284"/>
  <c r="J97" i="284"/>
  <c r="G97" i="284"/>
  <c r="Y29" i="284"/>
  <c r="AX18" i="284"/>
  <c r="AX31" i="284" s="1"/>
  <c r="AW18" i="284"/>
  <c r="AW31" i="284" s="1"/>
  <c r="AV18" i="284"/>
  <c r="AV31" i="284" s="1"/>
  <c r="AU18" i="284"/>
  <c r="AT18" i="284"/>
  <c r="AT31" i="284" s="1"/>
  <c r="AS18" i="284"/>
  <c r="AS31" i="284" s="1"/>
  <c r="AR18" i="284"/>
  <c r="AR31" i="284" s="1"/>
  <c r="AX17" i="284"/>
  <c r="AX30" i="284" s="1"/>
  <c r="AW17" i="284"/>
  <c r="AV17" i="284"/>
  <c r="AV30" i="284" s="1"/>
  <c r="AU17" i="284"/>
  <c r="AT17" i="284"/>
  <c r="AT30" i="284" s="1"/>
  <c r="AS17" i="284"/>
  <c r="AS30" i="284" s="1"/>
  <c r="AR17" i="284"/>
  <c r="AX16" i="284"/>
  <c r="AW16" i="284"/>
  <c r="AW29" i="284" s="1"/>
  <c r="AV16" i="284"/>
  <c r="AV29" i="284" s="1"/>
  <c r="AU16" i="284"/>
  <c r="AU29" i="284"/>
  <c r="AS16" i="284"/>
  <c r="AS29" i="284" s="1"/>
  <c r="AR16" i="284"/>
  <c r="AX15" i="284"/>
  <c r="AX28" i="284" s="1"/>
  <c r="AW15" i="284"/>
  <c r="AW28" i="284" s="1"/>
  <c r="AV15" i="284"/>
  <c r="AV28" i="284" s="1"/>
  <c r="AU15" i="284"/>
  <c r="AS15" i="284"/>
  <c r="AR15" i="284"/>
  <c r="AR28" i="284" s="1"/>
  <c r="AM14" i="284"/>
  <c r="AM23" i="284" s="1"/>
  <c r="AL14" i="284"/>
  <c r="AL23" i="284" s="1"/>
  <c r="AK14" i="284"/>
  <c r="AK23" i="284" s="1"/>
  <c r="AJ14" i="284"/>
  <c r="AJ23" i="284" s="1"/>
  <c r="AI14" i="284"/>
  <c r="AI23" i="284" s="1"/>
  <c r="AH14" i="284"/>
  <c r="AH23" i="284" s="1"/>
  <c r="AG14" i="284"/>
  <c r="AG23" i="284" s="1"/>
  <c r="AM13" i="284"/>
  <c r="AM22" i="284" s="1"/>
  <c r="AL13" i="284"/>
  <c r="AL22" i="284" s="1"/>
  <c r="AK13" i="284"/>
  <c r="AK22" i="284" s="1"/>
  <c r="AJ13" i="284"/>
  <c r="AJ22" i="284" s="1"/>
  <c r="AI13" i="284"/>
  <c r="AI22" i="284" s="1"/>
  <c r="AH13" i="284"/>
  <c r="AH22" i="284" s="1"/>
  <c r="AG13" i="284"/>
  <c r="AM12" i="284"/>
  <c r="AM21" i="284" s="1"/>
  <c r="AL12" i="284"/>
  <c r="AL21" i="284" s="1"/>
  <c r="AK12" i="284"/>
  <c r="AJ12" i="284"/>
  <c r="AJ21" i="284" s="1"/>
  <c r="AH12" i="284"/>
  <c r="AH21" i="284" s="1"/>
  <c r="AG12" i="284"/>
  <c r="AG21" i="284" s="1"/>
  <c r="B12" i="284"/>
  <c r="B15" i="284" s="1"/>
  <c r="B18" i="284" s="1"/>
  <c r="B21" i="284" s="1"/>
  <c r="AX11" i="284"/>
  <c r="AX24" i="284" s="1"/>
  <c r="AW11" i="284"/>
  <c r="AW24" i="284" s="1"/>
  <c r="AV11" i="284"/>
  <c r="AR11" i="284"/>
  <c r="AR24" i="284" s="1"/>
  <c r="AM11" i="284"/>
  <c r="AM20" i="284" s="1"/>
  <c r="AL11" i="284"/>
  <c r="AL20" i="284" s="1"/>
  <c r="AK11" i="284"/>
  <c r="AK20" i="284" s="1"/>
  <c r="AG11" i="284"/>
  <c r="AG20" i="284" s="1"/>
  <c r="AX10" i="284"/>
  <c r="AX23" i="284" s="1"/>
  <c r="AW10" i="284"/>
  <c r="AW12" i="284" s="1"/>
  <c r="AV10" i="284"/>
  <c r="AU10" i="284"/>
  <c r="AT10" i="284"/>
  <c r="AS10" i="284"/>
  <c r="AS23" i="284" s="1"/>
  <c r="AR10" i="284"/>
  <c r="AM10" i="284"/>
  <c r="AL10" i="284"/>
  <c r="AL19" i="284" s="1"/>
  <c r="AK10" i="284"/>
  <c r="AJ10" i="284"/>
  <c r="AJ19" i="284" s="1"/>
  <c r="AH10" i="284"/>
  <c r="AG10" i="284"/>
  <c r="AG19" i="284" s="1"/>
  <c r="AG9" i="284"/>
  <c r="J3" i="284"/>
  <c r="O98" i="283"/>
  <c r="N98" i="283"/>
  <c r="M98" i="283"/>
  <c r="L98" i="283"/>
  <c r="K98" i="283"/>
  <c r="J98" i="283"/>
  <c r="I98" i="283"/>
  <c r="H98" i="283"/>
  <c r="G98" i="283"/>
  <c r="N97" i="283"/>
  <c r="M97" i="283"/>
  <c r="L97" i="283"/>
  <c r="K97" i="283"/>
  <c r="J97" i="283"/>
  <c r="G97" i="283"/>
  <c r="AW18" i="283"/>
  <c r="AW31" i="283" s="1"/>
  <c r="AV18" i="283"/>
  <c r="AV31" i="283" s="1"/>
  <c r="AU18" i="283"/>
  <c r="AT18" i="283"/>
  <c r="AT31" i="283" s="1"/>
  <c r="AS18" i="283"/>
  <c r="AS31" i="283" s="1"/>
  <c r="AR18" i="283"/>
  <c r="AQ18" i="283"/>
  <c r="AQ31" i="283" s="1"/>
  <c r="AW17" i="283"/>
  <c r="AW30" i="283" s="1"/>
  <c r="AV17" i="283"/>
  <c r="AV30" i="283" s="1"/>
  <c r="AU17" i="283"/>
  <c r="AU30" i="283" s="1"/>
  <c r="AT17" i="283"/>
  <c r="AT30" i="283" s="1"/>
  <c r="AS17" i="283"/>
  <c r="AS30" i="283" s="1"/>
  <c r="AR17" i="283"/>
  <c r="AR30" i="283" s="1"/>
  <c r="AQ17" i="283"/>
  <c r="AQ30" i="283" s="1"/>
  <c r="AW16" i="283"/>
  <c r="AW29" i="283" s="1"/>
  <c r="AV16" i="283"/>
  <c r="AV29" i="283" s="1"/>
  <c r="AU16" i="283"/>
  <c r="AU29" i="283" s="1"/>
  <c r="AT16" i="283"/>
  <c r="AT29" i="283" s="1"/>
  <c r="AS16" i="283"/>
  <c r="AR16" i="283"/>
  <c r="AR29" i="283" s="1"/>
  <c r="AU15" i="283"/>
  <c r="AT15" i="283"/>
  <c r="AT28" i="283" s="1"/>
  <c r="AS15" i="283"/>
  <c r="AS28" i="283" s="1"/>
  <c r="AR15" i="283"/>
  <c r="AQ15" i="283"/>
  <c r="AQ28" i="283" s="1"/>
  <c r="AL14" i="283"/>
  <c r="AL23" i="283" s="1"/>
  <c r="AK14" i="283"/>
  <c r="AK23" i="283" s="1"/>
  <c r="AJ14" i="283"/>
  <c r="AJ23" i="283" s="1"/>
  <c r="AI14" i="283"/>
  <c r="AI23" i="283" s="1"/>
  <c r="AH14" i="283"/>
  <c r="AG14" i="283"/>
  <c r="AG23" i="283" s="1"/>
  <c r="AF14" i="283"/>
  <c r="AF23" i="283" s="1"/>
  <c r="AL13" i="283"/>
  <c r="AL22" i="283" s="1"/>
  <c r="AK13" i="283"/>
  <c r="AK22" i="283" s="1"/>
  <c r="AJ13" i="283"/>
  <c r="AJ22" i="283" s="1"/>
  <c r="AI13" i="283"/>
  <c r="AI22" i="283" s="1"/>
  <c r="AH13" i="283"/>
  <c r="AH22" i="283" s="1"/>
  <c r="AG13" i="283"/>
  <c r="AF13" i="283"/>
  <c r="AF22" i="283" s="1"/>
  <c r="AL12" i="283"/>
  <c r="AL21" i="283" s="1"/>
  <c r="AK12" i="283"/>
  <c r="AK21" i="283" s="1"/>
  <c r="AJ12" i="283"/>
  <c r="AJ21" i="283"/>
  <c r="AI12" i="283"/>
  <c r="AI21" i="283" s="1"/>
  <c r="AH12" i="283"/>
  <c r="AH21" i="283" s="1"/>
  <c r="AG12" i="283"/>
  <c r="AG21" i="283" s="1"/>
  <c r="B12" i="283"/>
  <c r="AW11" i="283"/>
  <c r="AW24" i="283" s="1"/>
  <c r="AU11" i="283"/>
  <c r="AU24" i="283" s="1"/>
  <c r="AT11" i="283"/>
  <c r="AS11" i="283"/>
  <c r="AS24" i="283" s="1"/>
  <c r="AR11" i="283"/>
  <c r="AR24" i="283" s="1"/>
  <c r="AL11" i="283"/>
  <c r="AL20" i="283" s="1"/>
  <c r="AJ11" i="283"/>
  <c r="AJ20" i="283" s="1"/>
  <c r="AI11" i="283"/>
  <c r="AH11" i="283"/>
  <c r="AH20" i="283" s="1"/>
  <c r="AG11" i="283"/>
  <c r="AG20" i="283" s="1"/>
  <c r="AW10" i="283"/>
  <c r="AV10" i="283"/>
  <c r="AV23" i="283" s="1"/>
  <c r="AU10" i="283"/>
  <c r="AT10" i="283"/>
  <c r="AT23" i="283" s="1"/>
  <c r="AS10" i="283"/>
  <c r="AR10" i="283"/>
  <c r="AR23" i="283" s="1"/>
  <c r="AQ10" i="283"/>
  <c r="AQ23" i="283" s="1"/>
  <c r="AJ10" i="283"/>
  <c r="AJ19" i="283" s="1"/>
  <c r="AI10" i="283"/>
  <c r="AI19" i="283" s="1"/>
  <c r="AH10" i="283"/>
  <c r="AH19" i="283" s="1"/>
  <c r="AG10" i="283"/>
  <c r="AF10" i="283"/>
  <c r="AF9" i="283"/>
  <c r="J3" i="283"/>
  <c r="O98" i="282"/>
  <c r="N98" i="282"/>
  <c r="M98" i="282"/>
  <c r="L98" i="282"/>
  <c r="K98" i="282"/>
  <c r="J98" i="282"/>
  <c r="I98" i="282"/>
  <c r="H98" i="282"/>
  <c r="G98" i="282"/>
  <c r="N97" i="282"/>
  <c r="M97" i="282"/>
  <c r="L97" i="282"/>
  <c r="K97" i="282"/>
  <c r="J97" i="282"/>
  <c r="G97" i="282"/>
  <c r="X29" i="282"/>
  <c r="AW18" i="282"/>
  <c r="AW31" i="282" s="1"/>
  <c r="AV18" i="282"/>
  <c r="AV31" i="282" s="1"/>
  <c r="AU18" i="282"/>
  <c r="AU31" i="282" s="1"/>
  <c r="AT18" i="282"/>
  <c r="AT31" i="282" s="1"/>
  <c r="AS18" i="282"/>
  <c r="AS31" i="282" s="1"/>
  <c r="AR18" i="282"/>
  <c r="AR31" i="282" s="1"/>
  <c r="AQ18" i="282"/>
  <c r="AQ31" i="282" s="1"/>
  <c r="AW17" i="282"/>
  <c r="AW30" i="282" s="1"/>
  <c r="AV17" i="282"/>
  <c r="AV30" i="282" s="1"/>
  <c r="AU17" i="282"/>
  <c r="AU30" i="282" s="1"/>
  <c r="AT17" i="282"/>
  <c r="AT30" i="282" s="1"/>
  <c r="AS17" i="282"/>
  <c r="AS30" i="282" s="1"/>
  <c r="AR17" i="282"/>
  <c r="AR30" i="282" s="1"/>
  <c r="AQ17" i="282"/>
  <c r="AQ30" i="282" s="1"/>
  <c r="AW16" i="282"/>
  <c r="AW29" i="282" s="1"/>
  <c r="AV16" i="282"/>
  <c r="AV29" i="282" s="1"/>
  <c r="AU16" i="282"/>
  <c r="AU29" i="282" s="1"/>
  <c r="AS16" i="282"/>
  <c r="AS29" i="282" s="1"/>
  <c r="AR16" i="282"/>
  <c r="AR29" i="282" s="1"/>
  <c r="AQ16" i="282"/>
  <c r="AQ29" i="282" s="1"/>
  <c r="AW15" i="282"/>
  <c r="AW28" i="282" s="1"/>
  <c r="AV15" i="282"/>
  <c r="AV28" i="282" s="1"/>
  <c r="AU15" i="282"/>
  <c r="AT15" i="282"/>
  <c r="AT28" i="282" s="1"/>
  <c r="AS15" i="282"/>
  <c r="AR15" i="282"/>
  <c r="AR28" i="282" s="1"/>
  <c r="AL14" i="282"/>
  <c r="AL23" i="282" s="1"/>
  <c r="AK14" i="282"/>
  <c r="AK23" i="282" s="1"/>
  <c r="AJ14" i="282"/>
  <c r="AJ23" i="282" s="1"/>
  <c r="AI14" i="282"/>
  <c r="AI23" i="282" s="1"/>
  <c r="AH14" i="282"/>
  <c r="AH23" i="282" s="1"/>
  <c r="AG14" i="282"/>
  <c r="AG23" i="282" s="1"/>
  <c r="AF14" i="282"/>
  <c r="AL13" i="282"/>
  <c r="AL22" i="282" s="1"/>
  <c r="AK13" i="282"/>
  <c r="AJ13" i="282"/>
  <c r="AJ22" i="282" s="1"/>
  <c r="AI13" i="282"/>
  <c r="AI22" i="282" s="1"/>
  <c r="AH13" i="282"/>
  <c r="AH22" i="282" s="1"/>
  <c r="AG13" i="282"/>
  <c r="AG22" i="282" s="1"/>
  <c r="AF13" i="282"/>
  <c r="AF22" i="282" s="1"/>
  <c r="AL12" i="282"/>
  <c r="AL21" i="282" s="1"/>
  <c r="AK12" i="282"/>
  <c r="AK21" i="282" s="1"/>
  <c r="AJ12" i="282"/>
  <c r="AJ21" i="282" s="1"/>
  <c r="AH12" i="282"/>
  <c r="AH21" i="282" s="1"/>
  <c r="AG12" i="282"/>
  <c r="AG21" i="282" s="1"/>
  <c r="AF12" i="282"/>
  <c r="B12" i="282"/>
  <c r="AW11" i="282"/>
  <c r="AW24" i="282" s="1"/>
  <c r="AV11" i="282"/>
  <c r="AU11" i="282"/>
  <c r="AU24" i="282" s="1"/>
  <c r="AT11" i="282"/>
  <c r="AT24" i="282" s="1"/>
  <c r="AS11" i="282"/>
  <c r="AS24" i="282" s="1"/>
  <c r="AR11" i="282"/>
  <c r="AL11" i="282"/>
  <c r="AL20" i="282" s="1"/>
  <c r="AK11" i="282"/>
  <c r="AK20" i="282" s="1"/>
  <c r="AI11" i="282"/>
  <c r="AI20" i="282" s="1"/>
  <c r="AH11" i="282"/>
  <c r="AH20" i="282" s="1"/>
  <c r="AG11" i="282"/>
  <c r="AG20" i="282" s="1"/>
  <c r="AW10" i="282"/>
  <c r="AW23" i="282" s="1"/>
  <c r="AV10" i="282"/>
  <c r="AV23" i="282" s="1"/>
  <c r="AU10" i="282"/>
  <c r="AU23" i="282" s="1"/>
  <c r="AT10" i="282"/>
  <c r="AT23" i="282" s="1"/>
  <c r="AT25" i="282" s="1"/>
  <c r="AS10" i="282"/>
  <c r="AS23" i="282" s="1"/>
  <c r="AR10" i="282"/>
  <c r="AR23" i="282" s="1"/>
  <c r="AQ10" i="282"/>
  <c r="AQ23" i="282" s="1"/>
  <c r="AL10" i="282"/>
  <c r="AK10" i="282"/>
  <c r="AK19" i="282" s="1"/>
  <c r="AJ10" i="282"/>
  <c r="AJ19" i="282" s="1"/>
  <c r="AI10" i="282"/>
  <c r="AI19" i="282" s="1"/>
  <c r="AH10" i="282"/>
  <c r="AH19" i="282" s="1"/>
  <c r="AG10" i="282"/>
  <c r="AG19" i="282" s="1"/>
  <c r="AF9" i="282"/>
  <c r="AF18" i="282" s="1"/>
  <c r="J3" i="282"/>
  <c r="V22" i="285"/>
  <c r="U26" i="285"/>
  <c r="V24" i="284"/>
  <c r="AS28" i="284"/>
  <c r="AU28" i="283"/>
  <c r="AF9" i="308"/>
  <c r="W11" i="308"/>
  <c r="Y11" i="308" s="1"/>
  <c r="U24" i="308"/>
  <c r="W24" i="308" s="1"/>
  <c r="X14" i="308"/>
  <c r="U28" i="308"/>
  <c r="AJ11" i="289"/>
  <c r="AJ20" i="289" s="1"/>
  <c r="V26" i="289"/>
  <c r="AV11" i="283"/>
  <c r="AV24" i="283" s="1"/>
  <c r="N42" i="285"/>
  <c r="R42" i="285" s="1"/>
  <c r="AF12" i="308"/>
  <c r="AF28" i="308"/>
  <c r="I53" i="315"/>
  <c r="L53" i="315" s="1"/>
  <c r="O53" i="315" s="1"/>
  <c r="AL10" i="285"/>
  <c r="G48" i="308"/>
  <c r="G49" i="308" s="1"/>
  <c r="AG12" i="285"/>
  <c r="AG21" i="285" s="1"/>
  <c r="I77" i="315"/>
  <c r="L77" i="315" s="1"/>
  <c r="O77" i="315" s="1"/>
  <c r="J115" i="318"/>
  <c r="M115" i="318" s="1"/>
  <c r="P115" i="318" s="1"/>
  <c r="J174" i="318"/>
  <c r="M174" i="318" s="1"/>
  <c r="P174" i="318" s="1"/>
  <c r="AH14" i="308"/>
  <c r="I136" i="315"/>
  <c r="L136" i="315" s="1"/>
  <c r="O136" i="315" s="1"/>
  <c r="W16" i="308"/>
  <c r="X16" i="308" s="1"/>
  <c r="I14" i="315"/>
  <c r="L14" i="315" s="1"/>
  <c r="O14" i="315" s="1"/>
  <c r="I197" i="315"/>
  <c r="L197" i="315" s="1"/>
  <c r="O197" i="315" s="1"/>
  <c r="I198" i="315"/>
  <c r="L198" i="315" s="1"/>
  <c r="O198" i="315" s="1"/>
  <c r="I148" i="315"/>
  <c r="L148" i="315" s="1"/>
  <c r="O148" i="315" s="1"/>
  <c r="I144" i="315"/>
  <c r="L144" i="315" s="1"/>
  <c r="O144" i="315" s="1"/>
  <c r="I22" i="315"/>
  <c r="L22" i="315" s="1"/>
  <c r="O22" i="315" s="1"/>
  <c r="AS23" i="283"/>
  <c r="R47" i="308"/>
  <c r="I96" i="315"/>
  <c r="I202" i="315"/>
  <c r="L202" i="315" s="1"/>
  <c r="O202" i="315" s="1"/>
  <c r="I207" i="315"/>
  <c r="L207" i="315" s="1"/>
  <c r="O207" i="315" s="1"/>
  <c r="I21" i="315"/>
  <c r="L21" i="315" s="1"/>
  <c r="O21" i="315" s="1"/>
  <c r="J112" i="318"/>
  <c r="M112" i="318" s="1"/>
  <c r="I129" i="315"/>
  <c r="L129" i="315" s="1"/>
  <c r="O129" i="315" s="1"/>
  <c r="I118" i="315"/>
  <c r="L118" i="315" s="1"/>
  <c r="O118" i="315" s="1"/>
  <c r="I122" i="315"/>
  <c r="L122" i="315" s="1"/>
  <c r="O122" i="315" s="1"/>
  <c r="I130" i="315"/>
  <c r="L130" i="315" s="1"/>
  <c r="O130" i="315" s="1"/>
  <c r="X12" i="284"/>
  <c r="I105" i="315"/>
  <c r="O106" i="315"/>
  <c r="I176" i="315"/>
  <c r="L176" i="315" s="1"/>
  <c r="O176" i="315" s="1"/>
  <c r="I186" i="315"/>
  <c r="L186" i="315" s="1"/>
  <c r="O186" i="315" s="1"/>
  <c r="I175" i="315"/>
  <c r="L175" i="315" s="1"/>
  <c r="O175" i="315" s="1"/>
  <c r="U26" i="295"/>
  <c r="I78" i="315"/>
  <c r="L78" i="315" s="1"/>
  <c r="O78" i="315" s="1"/>
  <c r="AF18" i="308"/>
  <c r="I82" i="315"/>
  <c r="L82" i="315" s="1"/>
  <c r="J190" i="318"/>
  <c r="M190" i="318" s="1"/>
  <c r="P190" i="318" s="1"/>
  <c r="B49" i="318"/>
  <c r="J86" i="318"/>
  <c r="M86" i="318" s="1"/>
  <c r="J119" i="318"/>
  <c r="M119" i="318" s="1"/>
  <c r="P119" i="318" s="1"/>
  <c r="J161" i="318"/>
  <c r="M161" i="318" s="1"/>
  <c r="P161" i="318" s="1"/>
  <c r="J178" i="318"/>
  <c r="M178" i="318" s="1"/>
  <c r="P178" i="318" s="1"/>
  <c r="M120" i="318"/>
  <c r="P120" i="318" s="1"/>
  <c r="J62" i="318"/>
  <c r="M62" i="318" s="1"/>
  <c r="P62" i="318" s="1"/>
  <c r="J123" i="318"/>
  <c r="M123" i="318" s="1"/>
  <c r="P123" i="318" s="1"/>
  <c r="J52" i="318"/>
  <c r="J180" i="318"/>
  <c r="M180" i="318" s="1"/>
  <c r="P180" i="318" s="1"/>
  <c r="J48" i="318"/>
  <c r="M48" i="318" s="1"/>
  <c r="P48" i="318" s="1"/>
  <c r="J37" i="318"/>
  <c r="M37" i="318" s="1"/>
  <c r="P37" i="318" s="1"/>
  <c r="J15" i="318"/>
  <c r="M15" i="318" s="1"/>
  <c r="P15" i="318" s="1"/>
  <c r="I147" i="315"/>
  <c r="L147" i="315" s="1"/>
  <c r="O147" i="315" s="1"/>
  <c r="J209" i="318"/>
  <c r="M209" i="318" s="1"/>
  <c r="P209" i="318" s="1"/>
  <c r="J13" i="318"/>
  <c r="M13" i="318" s="1"/>
  <c r="P13" i="318" s="1"/>
  <c r="I167" i="315"/>
  <c r="L167" i="315" s="1"/>
  <c r="O167" i="315" s="1"/>
  <c r="J195" i="318"/>
  <c r="M195" i="318" s="1"/>
  <c r="P195" i="318" s="1"/>
  <c r="J150" i="318"/>
  <c r="M150" i="318" s="1"/>
  <c r="P150" i="318" s="1"/>
  <c r="J53" i="318"/>
  <c r="M53" i="318" s="1"/>
  <c r="P53" i="318" s="1"/>
  <c r="J45" i="318"/>
  <c r="M45" i="318" s="1"/>
  <c r="J27" i="318"/>
  <c r="M27" i="318" s="1"/>
  <c r="P27" i="318" s="1"/>
  <c r="I133" i="315"/>
  <c r="L133" i="315" s="1"/>
  <c r="O133" i="315" s="1"/>
  <c r="I199" i="315"/>
  <c r="L199" i="315" s="1"/>
  <c r="O199" i="315" s="1"/>
  <c r="J143" i="318"/>
  <c r="M143" i="318" s="1"/>
  <c r="P143" i="318" s="1"/>
  <c r="I48" i="315"/>
  <c r="L48" i="315" s="1"/>
  <c r="O48" i="315" s="1"/>
  <c r="J194" i="318"/>
  <c r="M194" i="318" s="1"/>
  <c r="P194" i="318" s="1"/>
  <c r="J141" i="318"/>
  <c r="M141" i="318" s="1"/>
  <c r="P141" i="318" s="1"/>
  <c r="J66" i="318"/>
  <c r="M66" i="318" s="1"/>
  <c r="P66" i="318" s="1"/>
  <c r="J171" i="318"/>
  <c r="M171" i="318" s="1"/>
  <c r="P171" i="318" s="1"/>
  <c r="J137" i="318"/>
  <c r="M137" i="318" s="1"/>
  <c r="P137" i="318" s="1"/>
  <c r="I119" i="315"/>
  <c r="L119" i="315" s="1"/>
  <c r="O119" i="315" s="1"/>
  <c r="I128" i="315"/>
  <c r="I173" i="315"/>
  <c r="L173" i="315" s="1"/>
  <c r="O173" i="315" s="1"/>
  <c r="J57" i="318"/>
  <c r="M57" i="318" s="1"/>
  <c r="P57" i="318" s="1"/>
  <c r="J146" i="318"/>
  <c r="M146" i="318" s="1"/>
  <c r="P146" i="318" s="1"/>
  <c r="J51" i="318"/>
  <c r="M51" i="318" s="1"/>
  <c r="I151" i="315"/>
  <c r="L151" i="315" s="1"/>
  <c r="O151" i="315" s="1"/>
  <c r="I127" i="315"/>
  <c r="L127" i="315" s="1"/>
  <c r="I160" i="315"/>
  <c r="L160" i="315" s="1"/>
  <c r="O160" i="315" s="1"/>
  <c r="J188" i="318"/>
  <c r="M188" i="318" s="1"/>
  <c r="I117" i="315"/>
  <c r="I150" i="315"/>
  <c r="L150" i="315" s="1"/>
  <c r="O150" i="315" s="1"/>
  <c r="I171" i="315"/>
  <c r="L171" i="315" s="1"/>
  <c r="O171" i="315" s="1"/>
  <c r="I16" i="315"/>
  <c r="L16" i="315" s="1"/>
  <c r="O16" i="315" s="1"/>
  <c r="J162" i="318"/>
  <c r="M162" i="318" s="1"/>
  <c r="P162" i="318" s="1"/>
  <c r="J55" i="318"/>
  <c r="M55" i="318" s="1"/>
  <c r="P55" i="318" s="1"/>
  <c r="J50" i="318"/>
  <c r="M50" i="318" s="1"/>
  <c r="P50" i="318" s="1"/>
  <c r="I83" i="315"/>
  <c r="L83" i="315" s="1"/>
  <c r="O83" i="315" s="1"/>
  <c r="I116" i="315"/>
  <c r="L116" i="315" s="1"/>
  <c r="O116" i="315" s="1"/>
  <c r="I137" i="315"/>
  <c r="L137" i="315" s="1"/>
  <c r="O137" i="315" s="1"/>
  <c r="I203" i="315"/>
  <c r="I162" i="315"/>
  <c r="L162" i="315" s="1"/>
  <c r="O162" i="315" s="1"/>
  <c r="J63" i="318"/>
  <c r="M63" i="318" s="1"/>
  <c r="P63" i="318" s="1"/>
  <c r="I115" i="315"/>
  <c r="L115" i="315" s="1"/>
  <c r="O115" i="315" s="1"/>
  <c r="I169" i="315"/>
  <c r="L169" i="315" s="1"/>
  <c r="O169" i="315" s="1"/>
  <c r="I157" i="315"/>
  <c r="L157" i="315" s="1"/>
  <c r="O157" i="315" s="1"/>
  <c r="J82" i="318"/>
  <c r="M82" i="318" s="1"/>
  <c r="P82" i="318" s="1"/>
  <c r="O78" i="318"/>
  <c r="O68" i="318"/>
  <c r="P75" i="295"/>
  <c r="V26" i="284"/>
  <c r="AF21" i="308"/>
  <c r="AT15" i="284"/>
  <c r="AT28" i="284" s="1"/>
  <c r="P44" i="284"/>
  <c r="V24" i="282"/>
  <c r="AW14" i="308"/>
  <c r="I33" i="315"/>
  <c r="L33" i="315" s="1"/>
  <c r="O33" i="315" s="1"/>
  <c r="J211" i="318"/>
  <c r="M211" i="318" s="1"/>
  <c r="P211" i="318" s="1"/>
  <c r="J206" i="318"/>
  <c r="M206" i="318" s="1"/>
  <c r="P206" i="318" s="1"/>
  <c r="J59" i="318"/>
  <c r="J34" i="318"/>
  <c r="M34" i="318" s="1"/>
  <c r="P34" i="318" s="1"/>
  <c r="J192" i="318"/>
  <c r="M192" i="318" s="1"/>
  <c r="P192" i="318" s="1"/>
  <c r="J179" i="318"/>
  <c r="M179" i="318" s="1"/>
  <c r="P179" i="318" s="1"/>
  <c r="J172" i="318"/>
  <c r="M172" i="318" s="1"/>
  <c r="P172" i="318" s="1"/>
  <c r="J145" i="318"/>
  <c r="M145" i="318" s="1"/>
  <c r="P145" i="318" s="1"/>
  <c r="J79" i="318"/>
  <c r="M79" i="318" s="1"/>
  <c r="P79" i="318" s="1"/>
  <c r="J47" i="318"/>
  <c r="AF19" i="308"/>
  <c r="I51" i="315"/>
  <c r="L51" i="315" s="1"/>
  <c r="O51" i="315" s="1"/>
  <c r="J213" i="318"/>
  <c r="M213" i="318" s="1"/>
  <c r="P213" i="318" s="1"/>
  <c r="J54" i="318"/>
  <c r="M54" i="318" s="1"/>
  <c r="P54" i="318" s="1"/>
  <c r="J36" i="318"/>
  <c r="M36" i="318" s="1"/>
  <c r="P36" i="318" s="1"/>
  <c r="J24" i="318"/>
  <c r="M24" i="318" s="1"/>
  <c r="P24" i="318" s="1"/>
  <c r="J208" i="318"/>
  <c r="M208" i="318" s="1"/>
  <c r="P208" i="318" s="1"/>
  <c r="J31" i="318"/>
  <c r="M31" i="318" s="1"/>
  <c r="P31" i="318" s="1"/>
  <c r="J189" i="318"/>
  <c r="M189" i="318" s="1"/>
  <c r="P189" i="318" s="1"/>
  <c r="J169" i="318"/>
  <c r="M169" i="318" s="1"/>
  <c r="P169" i="318" s="1"/>
  <c r="J142" i="318"/>
  <c r="M142" i="318" s="1"/>
  <c r="P142" i="318" s="1"/>
  <c r="J130" i="318"/>
  <c r="M130" i="318" s="1"/>
  <c r="J56" i="318"/>
  <c r="M56" i="318" s="1"/>
  <c r="P56" i="318" s="1"/>
  <c r="J44" i="318"/>
  <c r="M44" i="318" s="1"/>
  <c r="P44" i="318" s="1"/>
  <c r="J26" i="318"/>
  <c r="M26" i="318" s="1"/>
  <c r="P26" i="318" s="1"/>
  <c r="J14" i="318"/>
  <c r="M14" i="318" s="1"/>
  <c r="P14" i="318" s="1"/>
  <c r="J210" i="318"/>
  <c r="M210" i="318" s="1"/>
  <c r="P210" i="318" s="1"/>
  <c r="J81" i="318"/>
  <c r="M81" i="318" s="1"/>
  <c r="P81" i="318" s="1"/>
  <c r="J46" i="318"/>
  <c r="M46" i="318" s="1"/>
  <c r="P46" i="318" s="1"/>
  <c r="J41" i="318"/>
  <c r="M41" i="318" s="1"/>
  <c r="AF13" i="308"/>
  <c r="I49" i="315"/>
  <c r="L49" i="315" s="1"/>
  <c r="O49" i="315" s="1"/>
  <c r="J212" i="318"/>
  <c r="M212" i="318" s="1"/>
  <c r="P212" i="318" s="1"/>
  <c r="J65" i="318"/>
  <c r="M65" i="318" s="1"/>
  <c r="P65" i="318" s="1"/>
  <c r="J30" i="318"/>
  <c r="M30" i="318" s="1"/>
  <c r="P30" i="318" s="1"/>
  <c r="I34" i="315"/>
  <c r="L34" i="315" s="1"/>
  <c r="O34" i="315" s="1"/>
  <c r="J207" i="318"/>
  <c r="M207" i="318" s="1"/>
  <c r="P207" i="318" s="1"/>
  <c r="J173" i="318"/>
  <c r="M173" i="318" s="1"/>
  <c r="P173" i="318" s="1"/>
  <c r="P138" i="318"/>
  <c r="P118" i="318"/>
  <c r="J60" i="318"/>
  <c r="M60" i="318" s="1"/>
  <c r="P60" i="318" s="1"/>
  <c r="J182" i="318"/>
  <c r="M182" i="318" s="1"/>
  <c r="P182" i="318" s="1"/>
  <c r="J175" i="318"/>
  <c r="M175" i="318" s="1"/>
  <c r="P175" i="318" s="1"/>
  <c r="P167" i="318"/>
  <c r="H153" i="315"/>
  <c r="I11" i="315"/>
  <c r="L11" i="315" s="1"/>
  <c r="O11" i="315" s="1"/>
  <c r="H8" i="315"/>
  <c r="H186" i="318"/>
  <c r="H128" i="318"/>
  <c r="I39" i="318"/>
  <c r="H10" i="318"/>
  <c r="G182" i="315"/>
  <c r="I45" i="315"/>
  <c r="L45" i="315" s="1"/>
  <c r="O45" i="315" s="1"/>
  <c r="I62" i="315"/>
  <c r="L62" i="315" s="1"/>
  <c r="O62" i="315" s="1"/>
  <c r="I54" i="315"/>
  <c r="L54" i="315" s="1"/>
  <c r="O54" i="315" s="1"/>
  <c r="I55" i="315"/>
  <c r="L55" i="315" s="1"/>
  <c r="O55" i="315" s="1"/>
  <c r="I52" i="315"/>
  <c r="L52" i="315" s="1"/>
  <c r="O52" i="315" s="1"/>
  <c r="I40" i="315"/>
  <c r="L40" i="315" s="1"/>
  <c r="O40" i="315" s="1"/>
  <c r="O105" i="315"/>
  <c r="B47" i="315"/>
  <c r="U11" i="283"/>
  <c r="U23" i="283" s="1"/>
  <c r="AV23" i="284"/>
  <c r="X14" i="283"/>
  <c r="W23" i="284"/>
  <c r="X23" i="284" s="1"/>
  <c r="AJ11" i="284"/>
  <c r="AJ20" i="284" s="1"/>
  <c r="AF19" i="283"/>
  <c r="V28" i="289"/>
  <c r="AF10" i="295"/>
  <c r="AF19" i="295" s="1"/>
  <c r="W16" i="289"/>
  <c r="X16" i="289" s="1"/>
  <c r="U28" i="289"/>
  <c r="AR25" i="295"/>
  <c r="P46" i="284"/>
  <c r="AI29" i="308"/>
  <c r="AI23" i="308"/>
  <c r="AV28" i="285"/>
  <c r="U22" i="289"/>
  <c r="AS23" i="289"/>
  <c r="AS25" i="289" s="1"/>
  <c r="W15" i="288"/>
  <c r="Y15" i="288" s="1"/>
  <c r="AF18" i="295"/>
  <c r="AH23" i="285"/>
  <c r="AQ31" i="289"/>
  <c r="AL19" i="295"/>
  <c r="M46" i="289"/>
  <c r="AH12" i="289"/>
  <c r="AH21" i="289" s="1"/>
  <c r="AI20" i="283"/>
  <c r="P45" i="283"/>
  <c r="P97" i="283" s="1"/>
  <c r="AR12" i="295"/>
  <c r="P77" i="295"/>
  <c r="X11" i="284"/>
  <c r="X12" i="295"/>
  <c r="AF20" i="308"/>
  <c r="V25" i="283"/>
  <c r="M46" i="285"/>
  <c r="AF23" i="308"/>
  <c r="B18" i="295"/>
  <c r="AI9" i="295" s="1"/>
  <c r="AJ9" i="285"/>
  <c r="AJ18" i="285" s="1"/>
  <c r="AS12" i="288"/>
  <c r="AL23" i="288"/>
  <c r="AF15" i="308"/>
  <c r="W12" i="308"/>
  <c r="Y12" i="308" s="1"/>
  <c r="L134" i="315"/>
  <c r="X13" i="284"/>
  <c r="J93" i="318"/>
  <c r="M93" i="318" s="1"/>
  <c r="P93" i="318" s="1"/>
  <c r="H23" i="323"/>
  <c r="S59" i="323"/>
  <c r="S149" i="323"/>
  <c r="I95" i="323"/>
  <c r="S131" i="323"/>
  <c r="S113" i="323"/>
  <c r="I41" i="323"/>
  <c r="S86" i="323"/>
  <c r="S77" i="323"/>
  <c r="S122" i="323"/>
  <c r="AH15" i="295" l="1"/>
  <c r="AI17" i="308"/>
  <c r="AP26" i="308"/>
  <c r="AT23" i="289"/>
  <c r="W14" i="283"/>
  <c r="P46" i="289"/>
  <c r="Y10" i="284"/>
  <c r="X16" i="284"/>
  <c r="Y16" i="284" s="1"/>
  <c r="Y11" i="284"/>
  <c r="H124" i="315"/>
  <c r="AW23" i="284"/>
  <c r="AW25" i="284" s="1"/>
  <c r="O97" i="285"/>
  <c r="AF29" i="308"/>
  <c r="I72" i="315"/>
  <c r="L72" i="315" s="1"/>
  <c r="O72" i="315" s="1"/>
  <c r="W16" i="295"/>
  <c r="X16" i="295" s="1"/>
  <c r="Q17" i="284"/>
  <c r="X25" i="284"/>
  <c r="Z25" i="284" s="1"/>
  <c r="H39" i="318"/>
  <c r="AT16" i="295"/>
  <c r="AT29" i="295" s="1"/>
  <c r="G41" i="288"/>
  <c r="H41" i="288" s="1"/>
  <c r="J41" i="288" s="1"/>
  <c r="J42" i="288" s="1"/>
  <c r="I42" i="315"/>
  <c r="L42" i="315" s="1"/>
  <c r="O42" i="315" s="1"/>
  <c r="J16" i="318"/>
  <c r="M16" i="318" s="1"/>
  <c r="P16" i="318" s="1"/>
  <c r="W22" i="285"/>
  <c r="AW25" i="282"/>
  <c r="R42" i="295"/>
  <c r="U24" i="285"/>
  <c r="W12" i="285"/>
  <c r="N48" i="308"/>
  <c r="N61" i="308" s="1"/>
  <c r="AU23" i="295"/>
  <c r="AU12" i="295"/>
  <c r="X11" i="283"/>
  <c r="AF11" i="283"/>
  <c r="AF20" i="283" s="1"/>
  <c r="AM20" i="283" s="1"/>
  <c r="AQ11" i="283"/>
  <c r="AI11" i="284"/>
  <c r="AI20" i="284" s="1"/>
  <c r="AT11" i="284"/>
  <c r="AT24" i="284" s="1"/>
  <c r="V28" i="284"/>
  <c r="X28" i="284" s="1"/>
  <c r="AG9" i="289"/>
  <c r="AR9" i="289" s="1"/>
  <c r="B15" i="289"/>
  <c r="AH9" i="289" s="1"/>
  <c r="X10" i="282"/>
  <c r="AF10" i="282"/>
  <c r="AF19" i="282" s="1"/>
  <c r="I23" i="315"/>
  <c r="L23" i="315" s="1"/>
  <c r="O23" i="315" s="1"/>
  <c r="I20" i="315"/>
  <c r="L20" i="315" s="1"/>
  <c r="O20" i="315" s="1"/>
  <c r="M196" i="318"/>
  <c r="P196" i="318"/>
  <c r="J184" i="318"/>
  <c r="M184" i="318" s="1"/>
  <c r="P184" i="318" s="1"/>
  <c r="J181" i="318"/>
  <c r="M181" i="318" s="1"/>
  <c r="P181" i="318" s="1"/>
  <c r="J160" i="318"/>
  <c r="M160" i="318" s="1"/>
  <c r="P160" i="318" s="1"/>
  <c r="J163" i="318"/>
  <c r="M163" i="318" s="1"/>
  <c r="P163" i="318" s="1"/>
  <c r="J165" i="318"/>
  <c r="M165" i="318" s="1"/>
  <c r="P165" i="318" s="1"/>
  <c r="I128" i="318"/>
  <c r="I196" i="315"/>
  <c r="L196" i="315" s="1"/>
  <c r="O196" i="315" s="1"/>
  <c r="I193" i="315"/>
  <c r="L193" i="315" s="1"/>
  <c r="O193" i="315" s="1"/>
  <c r="I170" i="315"/>
  <c r="L170" i="315" s="1"/>
  <c r="O170" i="315" s="1"/>
  <c r="I164" i="315"/>
  <c r="L164" i="315" s="1"/>
  <c r="O164" i="315" s="1"/>
  <c r="G153" i="315"/>
  <c r="I141" i="315"/>
  <c r="L141" i="315" s="1"/>
  <c r="O141" i="315" s="1"/>
  <c r="I140" i="315"/>
  <c r="L140" i="315" s="1"/>
  <c r="O140" i="315" s="1"/>
  <c r="I135" i="315"/>
  <c r="L135" i="315" s="1"/>
  <c r="O135" i="315" s="1"/>
  <c r="H37" i="315"/>
  <c r="J155" i="318"/>
  <c r="M155" i="318" s="1"/>
  <c r="P155" i="318" s="1"/>
  <c r="J151" i="318"/>
  <c r="M151" i="318" s="1"/>
  <c r="P151" i="318" s="1"/>
  <c r="J154" i="318"/>
  <c r="M154" i="318" s="1"/>
  <c r="P154" i="318" s="1"/>
  <c r="J152" i="318"/>
  <c r="M152" i="318" s="1"/>
  <c r="P152" i="318" s="1"/>
  <c r="J153" i="318"/>
  <c r="M153" i="318" s="1"/>
  <c r="P153" i="318" s="1"/>
  <c r="J148" i="318"/>
  <c r="M148" i="318" s="1"/>
  <c r="P148" i="318" s="1"/>
  <c r="J134" i="318"/>
  <c r="M134" i="318" s="1"/>
  <c r="P134" i="318" s="1"/>
  <c r="J135" i="318"/>
  <c r="M135" i="318" s="1"/>
  <c r="P135" i="318" s="1"/>
  <c r="J136" i="318"/>
  <c r="M136" i="318" s="1"/>
  <c r="P136" i="318" s="1"/>
  <c r="J132" i="318"/>
  <c r="M132" i="318" s="1"/>
  <c r="P132" i="318" s="1"/>
  <c r="J131" i="318"/>
  <c r="M131" i="318" s="1"/>
  <c r="P131" i="318" s="1"/>
  <c r="J133" i="318"/>
  <c r="M133" i="318" s="1"/>
  <c r="P133" i="318" s="1"/>
  <c r="J80" i="318"/>
  <c r="M80" i="318" s="1"/>
  <c r="P80" i="318" s="1"/>
  <c r="J83" i="318"/>
  <c r="M83" i="318" s="1"/>
  <c r="P83" i="318" s="1"/>
  <c r="AG9" i="283"/>
  <c r="AG18" i="283" s="1"/>
  <c r="B15" i="283"/>
  <c r="U22" i="308"/>
  <c r="W22" i="308" s="1"/>
  <c r="W10" i="308"/>
  <c r="L114" i="315"/>
  <c r="O114" i="315" s="1"/>
  <c r="I35" i="315"/>
  <c r="L35" i="315" s="1"/>
  <c r="O35" i="315" s="1"/>
  <c r="I31" i="315"/>
  <c r="L31" i="315" s="1"/>
  <c r="O31" i="315" s="1"/>
  <c r="I32" i="315"/>
  <c r="L32" i="315" s="1"/>
  <c r="O32" i="315" s="1"/>
  <c r="J122" i="318"/>
  <c r="M122" i="318" s="1"/>
  <c r="P122" i="318" s="1"/>
  <c r="J126" i="318"/>
  <c r="M126" i="318" s="1"/>
  <c r="P126" i="318" s="1"/>
  <c r="J121" i="318"/>
  <c r="M121" i="318" s="1"/>
  <c r="P121" i="318" s="1"/>
  <c r="J105" i="318"/>
  <c r="M105" i="318" s="1"/>
  <c r="P105" i="318" s="1"/>
  <c r="H99" i="318"/>
  <c r="AS12" i="283"/>
  <c r="AU12" i="284"/>
  <c r="I75" i="295"/>
  <c r="R42" i="288"/>
  <c r="X15" i="284"/>
  <c r="Z15" i="284" s="1"/>
  <c r="AI11" i="308"/>
  <c r="W26" i="308"/>
  <c r="Y26" i="308" s="1"/>
  <c r="AD30" i="308"/>
  <c r="J75" i="318"/>
  <c r="M75" i="318" s="1"/>
  <c r="P75" i="318" s="1"/>
  <c r="J35" i="318"/>
  <c r="M35" i="318" s="1"/>
  <c r="P35" i="318" s="1"/>
  <c r="P112" i="318"/>
  <c r="R30" i="289"/>
  <c r="I44" i="284"/>
  <c r="I81" i="315"/>
  <c r="L81" i="315" s="1"/>
  <c r="I24" i="315"/>
  <c r="L24" i="315" s="1"/>
  <c r="O24" i="315" s="1"/>
  <c r="X11" i="288"/>
  <c r="AS12" i="282"/>
  <c r="AT25" i="288"/>
  <c r="AV32" i="282"/>
  <c r="I208" i="315"/>
  <c r="L208" i="315" s="1"/>
  <c r="O208" i="315" s="1"/>
  <c r="I206" i="315"/>
  <c r="L206" i="315" s="1"/>
  <c r="O206" i="315" s="1"/>
  <c r="I205" i="315"/>
  <c r="L205" i="315" s="1"/>
  <c r="O205" i="315" s="1"/>
  <c r="I204" i="315"/>
  <c r="L204" i="315" s="1"/>
  <c r="O204" i="315" s="1"/>
  <c r="I146" i="315"/>
  <c r="L146" i="315" s="1"/>
  <c r="O146" i="315" s="1"/>
  <c r="I145" i="315"/>
  <c r="L145" i="315" s="1"/>
  <c r="O145" i="315" s="1"/>
  <c r="I149" i="315"/>
  <c r="L149" i="315" s="1"/>
  <c r="O149" i="315" s="1"/>
  <c r="I131" i="315"/>
  <c r="L131" i="315" s="1"/>
  <c r="O131" i="315" s="1"/>
  <c r="I126" i="315"/>
  <c r="L126" i="315" s="1"/>
  <c r="O126" i="315" s="1"/>
  <c r="G124" i="315"/>
  <c r="J140" i="318"/>
  <c r="M140" i="318" s="1"/>
  <c r="P140" i="318" s="1"/>
  <c r="J144" i="318"/>
  <c r="M144" i="318" s="1"/>
  <c r="P144" i="318" s="1"/>
  <c r="P75" i="285"/>
  <c r="I50" i="315"/>
  <c r="L50" i="315" s="1"/>
  <c r="O50" i="315" s="1"/>
  <c r="J193" i="318"/>
  <c r="M193" i="318" s="1"/>
  <c r="P193" i="318" s="1"/>
  <c r="J183" i="318"/>
  <c r="M183" i="318" s="1"/>
  <c r="P183" i="318" s="1"/>
  <c r="J177" i="318"/>
  <c r="M177" i="318" s="1"/>
  <c r="P177" i="318" s="1"/>
  <c r="J164" i="318"/>
  <c r="M164" i="318" s="1"/>
  <c r="P164" i="318" s="1"/>
  <c r="I157" i="318"/>
  <c r="X12" i="285"/>
  <c r="AG9" i="295"/>
  <c r="AR9" i="295" s="1"/>
  <c r="W11" i="295"/>
  <c r="M46" i="295"/>
  <c r="P46" i="295" s="1"/>
  <c r="AW11" i="308"/>
  <c r="I76" i="288"/>
  <c r="AQ32" i="285"/>
  <c r="AR9" i="283"/>
  <c r="AR14" i="283" s="1"/>
  <c r="P77" i="282"/>
  <c r="I75" i="283"/>
  <c r="I75" i="284"/>
  <c r="X10" i="285"/>
  <c r="M44" i="285"/>
  <c r="P44" i="285" s="1"/>
  <c r="AF14" i="308"/>
  <c r="AH26" i="308"/>
  <c r="AJ26" i="308" s="1"/>
  <c r="J170" i="318"/>
  <c r="M170" i="318" s="1"/>
  <c r="P170" i="318" s="1"/>
  <c r="J168" i="318"/>
  <c r="M168" i="318" s="1"/>
  <c r="P168" i="318" s="1"/>
  <c r="J64" i="318"/>
  <c r="M64" i="318" s="1"/>
  <c r="P64" i="318" s="1"/>
  <c r="J61" i="318"/>
  <c r="M61" i="318" s="1"/>
  <c r="P61" i="318" s="1"/>
  <c r="AS25" i="282"/>
  <c r="AQ19" i="285"/>
  <c r="J103" i="318"/>
  <c r="M103" i="318" s="1"/>
  <c r="J102" i="318"/>
  <c r="M102" i="318" s="1"/>
  <c r="AH15" i="283"/>
  <c r="AS19" i="284"/>
  <c r="AX18" i="283"/>
  <c r="G66" i="315"/>
  <c r="U17" i="283"/>
  <c r="AR31" i="283"/>
  <c r="AV12" i="285"/>
  <c r="AM10" i="288"/>
  <c r="AT12" i="285"/>
  <c r="W11" i="288"/>
  <c r="Y11" i="288" s="1"/>
  <c r="J43" i="318"/>
  <c r="M43" i="318" s="1"/>
  <c r="P43" i="318" s="1"/>
  <c r="J42" i="318"/>
  <c r="M42" i="318" s="1"/>
  <c r="P42" i="318" s="1"/>
  <c r="I15" i="315"/>
  <c r="L15" i="315" s="1"/>
  <c r="O15" i="315" s="1"/>
  <c r="G8" i="315"/>
  <c r="B58" i="318"/>
  <c r="B69" i="318"/>
  <c r="B100" i="318" s="1"/>
  <c r="B118" i="318" s="1"/>
  <c r="J32" i="318"/>
  <c r="M32" i="318" s="1"/>
  <c r="P32" i="318" s="1"/>
  <c r="J33" i="318"/>
  <c r="M33" i="318" s="1"/>
  <c r="P33" i="318" s="1"/>
  <c r="AJ9" i="284"/>
  <c r="AJ18" i="284" s="1"/>
  <c r="W28" i="288"/>
  <c r="Y28" i="288" s="1"/>
  <c r="AV12" i="283"/>
  <c r="AQ9" i="282"/>
  <c r="AV12" i="288"/>
  <c r="AI9" i="285"/>
  <c r="AI18" i="285" s="1"/>
  <c r="AI9" i="284"/>
  <c r="P46" i="285"/>
  <c r="AT19" i="285"/>
  <c r="D54" i="308"/>
  <c r="W28" i="289"/>
  <c r="AB28" i="289" s="1"/>
  <c r="W12" i="283"/>
  <c r="W11" i="285"/>
  <c r="Y11" i="285" s="1"/>
  <c r="W26" i="295"/>
  <c r="Y26" i="295" s="1"/>
  <c r="W26" i="285"/>
  <c r="Y26" i="285" s="1"/>
  <c r="AH9" i="284"/>
  <c r="AH18" i="284" s="1"/>
  <c r="G41" i="289"/>
  <c r="H41" i="289" s="1"/>
  <c r="J41" i="289" s="1"/>
  <c r="J42" i="289" s="1"/>
  <c r="W28" i="285"/>
  <c r="G42" i="283"/>
  <c r="F45" i="283"/>
  <c r="I45" i="283" s="1"/>
  <c r="I97" i="283" s="1"/>
  <c r="AR12" i="285"/>
  <c r="AH12" i="288"/>
  <c r="AW12" i="282"/>
  <c r="X17" i="308"/>
  <c r="J85" i="318"/>
  <c r="M85" i="318" s="1"/>
  <c r="P85" i="318" s="1"/>
  <c r="J84" i="318"/>
  <c r="M84" i="318" s="1"/>
  <c r="P84" i="318" s="1"/>
  <c r="I10" i="318"/>
  <c r="AS12" i="289"/>
  <c r="I45" i="295"/>
  <c r="I97" i="295" s="1"/>
  <c r="I121" i="315"/>
  <c r="L121" i="315" s="1"/>
  <c r="O121" i="315" s="1"/>
  <c r="I19" i="315"/>
  <c r="L19" i="315" s="1"/>
  <c r="O19" i="315" s="1"/>
  <c r="J149" i="318"/>
  <c r="M149" i="318" s="1"/>
  <c r="P149" i="318" s="1"/>
  <c r="AG24" i="288"/>
  <c r="F45" i="282"/>
  <c r="I45" i="282" s="1"/>
  <c r="I97" i="282" s="1"/>
  <c r="X11" i="282"/>
  <c r="I120" i="315"/>
  <c r="L120" i="315" s="1"/>
  <c r="O120" i="315" s="1"/>
  <c r="N49" i="308"/>
  <c r="K58" i="308" s="1"/>
  <c r="AT12" i="288"/>
  <c r="R42" i="289"/>
  <c r="S42" i="284"/>
  <c r="AX10" i="282"/>
  <c r="AK15" i="289"/>
  <c r="AQ11" i="282"/>
  <c r="AJ12" i="289"/>
  <c r="AJ21" i="289" s="1"/>
  <c r="AU16" i="289"/>
  <c r="AU29" i="289" s="1"/>
  <c r="N41" i="288"/>
  <c r="O41" i="288" s="1"/>
  <c r="AF11" i="282"/>
  <c r="U17" i="288"/>
  <c r="AQ25" i="288"/>
  <c r="W16" i="288"/>
  <c r="X16" i="288" s="1"/>
  <c r="AR12" i="289"/>
  <c r="AU25" i="285"/>
  <c r="AF24" i="308"/>
  <c r="P78" i="295"/>
  <c r="AH15" i="282"/>
  <c r="AV32" i="285"/>
  <c r="AQ12" i="288"/>
  <c r="AR12" i="282"/>
  <c r="AH11" i="308"/>
  <c r="AU26" i="308"/>
  <c r="J107" i="318"/>
  <c r="M107" i="318" s="1"/>
  <c r="P107" i="318" s="1"/>
  <c r="AJ12" i="288"/>
  <c r="AJ21" i="288" s="1"/>
  <c r="AW12" i="285"/>
  <c r="I44" i="282"/>
  <c r="P77" i="284"/>
  <c r="AJ15" i="284"/>
  <c r="W25" i="283"/>
  <c r="Y25" i="283" s="1"/>
  <c r="R30" i="288"/>
  <c r="P77" i="285"/>
  <c r="I209" i="315"/>
  <c r="L209" i="315" s="1"/>
  <c r="O209" i="315" s="1"/>
  <c r="I132" i="315"/>
  <c r="L132" i="315" s="1"/>
  <c r="O132" i="315" s="1"/>
  <c r="I45" i="288"/>
  <c r="I97" i="288" s="1"/>
  <c r="AW25" i="295"/>
  <c r="AU28" i="282"/>
  <c r="AU32" i="282" s="1"/>
  <c r="AU19" i="282"/>
  <c r="AX31" i="282"/>
  <c r="W12" i="289"/>
  <c r="V24" i="289"/>
  <c r="W24" i="289" s="1"/>
  <c r="Y24" i="289" s="1"/>
  <c r="W26" i="284"/>
  <c r="X26" i="284" s="1"/>
  <c r="W17" i="284"/>
  <c r="AV25" i="285"/>
  <c r="AV32" i="289"/>
  <c r="X11" i="289"/>
  <c r="AU11" i="289"/>
  <c r="AU24" i="289" s="1"/>
  <c r="AU25" i="289" s="1"/>
  <c r="AT29" i="284"/>
  <c r="AT19" i="284"/>
  <c r="AG18" i="295"/>
  <c r="AL19" i="282"/>
  <c r="AL24" i="282" s="1"/>
  <c r="AL15" i="282"/>
  <c r="AR24" i="282"/>
  <c r="AR25" i="282" s="1"/>
  <c r="AR25" i="283"/>
  <c r="AW23" i="285"/>
  <c r="AW25" i="285" s="1"/>
  <c r="AX10" i="288"/>
  <c r="W15" i="289"/>
  <c r="Y15" i="289" s="1"/>
  <c r="I44" i="289"/>
  <c r="M44" i="282"/>
  <c r="P44" i="282" s="1"/>
  <c r="AQ15" i="282"/>
  <c r="AV24" i="284"/>
  <c r="AV25" i="284" s="1"/>
  <c r="AV12" i="284"/>
  <c r="R97" i="288"/>
  <c r="AF18" i="289"/>
  <c r="AQ9" i="289"/>
  <c r="AQ14" i="289" s="1"/>
  <c r="V25" i="282"/>
  <c r="W25" i="282" s="1"/>
  <c r="Y25" i="282" s="1"/>
  <c r="W13" i="282"/>
  <c r="AJ15" i="282"/>
  <c r="AU12" i="285"/>
  <c r="AV24" i="289"/>
  <c r="AV25" i="289" s="1"/>
  <c r="AV12" i="289"/>
  <c r="AR19" i="289"/>
  <c r="W15" i="285"/>
  <c r="Y15" i="285" s="1"/>
  <c r="AQ22" i="282"/>
  <c r="AQ27" i="282" s="1"/>
  <c r="AQ14" i="282"/>
  <c r="AR19" i="284"/>
  <c r="AR29" i="284"/>
  <c r="P75" i="288"/>
  <c r="AQ17" i="289"/>
  <c r="AQ30" i="289" s="1"/>
  <c r="AQ32" i="289" s="1"/>
  <c r="M45" i="289"/>
  <c r="P45" i="289" s="1"/>
  <c r="P97" i="289" s="1"/>
  <c r="AG15" i="284"/>
  <c r="AR19" i="288"/>
  <c r="AR28" i="288"/>
  <c r="AR32" i="288" s="1"/>
  <c r="AX31" i="288"/>
  <c r="AL15" i="295"/>
  <c r="AW23" i="283"/>
  <c r="AW25" i="283" s="1"/>
  <c r="AW12" i="283"/>
  <c r="AS16" i="288"/>
  <c r="AS29" i="288" s="1"/>
  <c r="W12" i="282"/>
  <c r="Y12" i="282" s="1"/>
  <c r="U24" i="282"/>
  <c r="U17" i="282"/>
  <c r="AW15" i="283"/>
  <c r="AL10" i="283"/>
  <c r="AM22" i="295"/>
  <c r="W12" i="288"/>
  <c r="AV26" i="308"/>
  <c r="AI12" i="284"/>
  <c r="AI21" i="284" s="1"/>
  <c r="W27" i="285"/>
  <c r="AB27" i="285" s="1"/>
  <c r="V24" i="288"/>
  <c r="P77" i="289"/>
  <c r="W15" i="282"/>
  <c r="Y15" i="282" s="1"/>
  <c r="AJ24" i="295"/>
  <c r="Y12" i="284"/>
  <c r="Z12" i="284" s="1"/>
  <c r="I44" i="285"/>
  <c r="Q16" i="284"/>
  <c r="AW21" i="308"/>
  <c r="AT12" i="283"/>
  <c r="W27" i="288"/>
  <c r="Y27" i="288" s="1"/>
  <c r="P77" i="288"/>
  <c r="AL15" i="285"/>
  <c r="AH24" i="282"/>
  <c r="AM11" i="285"/>
  <c r="I75" i="288"/>
  <c r="I77" i="288" s="1"/>
  <c r="P77" i="283"/>
  <c r="I76" i="285"/>
  <c r="I77" i="285" s="1"/>
  <c r="W13" i="283"/>
  <c r="H95" i="315"/>
  <c r="J197" i="318"/>
  <c r="M197" i="318" s="1"/>
  <c r="P197" i="318" s="1"/>
  <c r="H87" i="318"/>
  <c r="H68" i="318" s="1"/>
  <c r="W14" i="308"/>
  <c r="AH23" i="308"/>
  <c r="AJ23" i="308" s="1"/>
  <c r="J96" i="318"/>
  <c r="M96" i="318" s="1"/>
  <c r="P96" i="318" s="1"/>
  <c r="O99" i="318"/>
  <c r="G31" i="349"/>
  <c r="H31" i="349" s="1"/>
  <c r="I31" i="349" s="1"/>
  <c r="J31" i="349" s="1"/>
  <c r="K31" i="349" s="1"/>
  <c r="L31" i="349" s="1"/>
  <c r="M31" i="349" s="1"/>
  <c r="N31" i="349" s="1"/>
  <c r="O31" i="349" s="1"/>
  <c r="P31" i="349" s="1"/>
  <c r="Q31" i="349" s="1"/>
  <c r="R31" i="349" s="1"/>
  <c r="S31" i="349" s="1"/>
  <c r="T31" i="349" s="1"/>
  <c r="U31" i="349" s="1"/>
  <c r="V31" i="349" s="1"/>
  <c r="W31" i="349" s="1"/>
  <c r="X31" i="349" s="1"/>
  <c r="Y31" i="349" s="1"/>
  <c r="Z31" i="349" s="1"/>
  <c r="AA31" i="349" s="1"/>
  <c r="AB31" i="349" s="1"/>
  <c r="AC31" i="349" s="1"/>
  <c r="I59" i="315"/>
  <c r="L59" i="315" s="1"/>
  <c r="O59" i="315" s="1"/>
  <c r="G32" i="348"/>
  <c r="H32" i="348" s="1"/>
  <c r="I32" i="348" s="1"/>
  <c r="J32" i="348" s="1"/>
  <c r="K32" i="348" s="1"/>
  <c r="L32" i="348" s="1"/>
  <c r="M32" i="348" s="1"/>
  <c r="N32" i="348" s="1"/>
  <c r="O32" i="348" s="1"/>
  <c r="P32" i="348" s="1"/>
  <c r="Q32" i="348" s="1"/>
  <c r="R32" i="348" s="1"/>
  <c r="S32" i="348" s="1"/>
  <c r="T32" i="348" s="1"/>
  <c r="U32" i="348" s="1"/>
  <c r="V32" i="348" s="1"/>
  <c r="W32" i="348" s="1"/>
  <c r="X32" i="348" s="1"/>
  <c r="Y32" i="348" s="1"/>
  <c r="Z32" i="348" s="1"/>
  <c r="AA32" i="348" s="1"/>
  <c r="AB32" i="348" s="1"/>
  <c r="AC32" i="348" s="1"/>
  <c r="W15" i="308"/>
  <c r="Y15" i="308" s="1"/>
  <c r="G32" i="349"/>
  <c r="H32" i="349" s="1"/>
  <c r="I32" i="349" s="1"/>
  <c r="J32" i="349" s="1"/>
  <c r="K32" i="349" s="1"/>
  <c r="L32" i="349" s="1"/>
  <c r="M32" i="349" s="1"/>
  <c r="N32" i="349" s="1"/>
  <c r="O32" i="349" s="1"/>
  <c r="P32" i="349" s="1"/>
  <c r="Q32" i="349" s="1"/>
  <c r="G33" i="348"/>
  <c r="H33" i="348" s="1"/>
  <c r="I33" i="348" s="1"/>
  <c r="J33" i="348" s="1"/>
  <c r="K33" i="348" s="1"/>
  <c r="L33" i="348" s="1"/>
  <c r="M33" i="348" s="1"/>
  <c r="N33" i="348" s="1"/>
  <c r="O33" i="348" s="1"/>
  <c r="P33" i="348" s="1"/>
  <c r="Q33" i="348" s="1"/>
  <c r="R33" i="348" s="1"/>
  <c r="S33" i="348" s="1"/>
  <c r="T33" i="348" s="1"/>
  <c r="U33" i="348" s="1"/>
  <c r="V33" i="348" s="1"/>
  <c r="Z28" i="284"/>
  <c r="AC28" i="284"/>
  <c r="AB26" i="308"/>
  <c r="Y24" i="308"/>
  <c r="AQ9" i="283"/>
  <c r="AF18" i="283"/>
  <c r="AH24" i="285"/>
  <c r="AV19" i="289"/>
  <c r="AM19" i="295"/>
  <c r="AU23" i="284"/>
  <c r="AU25" i="284" s="1"/>
  <c r="D51" i="308"/>
  <c r="AX25" i="284"/>
  <c r="W10" i="282"/>
  <c r="Y10" i="282" s="1"/>
  <c r="I143" i="315"/>
  <c r="W28" i="282"/>
  <c r="Y28" i="282" s="1"/>
  <c r="W26" i="283"/>
  <c r="Y26" i="283" s="1"/>
  <c r="H98" i="308"/>
  <c r="R98" i="308" s="1"/>
  <c r="H48" i="308"/>
  <c r="E51" i="308" s="1"/>
  <c r="AX12" i="284"/>
  <c r="AW19" i="282"/>
  <c r="AY18" i="284"/>
  <c r="AU31" i="284"/>
  <c r="AM10" i="289"/>
  <c r="AU31" i="295"/>
  <c r="AX31" i="295" s="1"/>
  <c r="AX18" i="295"/>
  <c r="AU9" i="285"/>
  <c r="AU14" i="285" s="1"/>
  <c r="B18" i="289"/>
  <c r="AT9" i="285"/>
  <c r="AT22" i="285" s="1"/>
  <c r="AT27" i="285" s="1"/>
  <c r="AQ22" i="289"/>
  <c r="AQ27" i="289" s="1"/>
  <c r="AK15" i="288"/>
  <c r="AQ9" i="288"/>
  <c r="AG9" i="285"/>
  <c r="AX15" i="288"/>
  <c r="Z11" i="284"/>
  <c r="P47" i="285"/>
  <c r="P98" i="285" s="1"/>
  <c r="R98" i="285" s="1"/>
  <c r="M97" i="289"/>
  <c r="AJ24" i="282"/>
  <c r="AG20" i="285"/>
  <c r="AK24" i="289"/>
  <c r="AL24" i="295"/>
  <c r="AQ22" i="295"/>
  <c r="AQ27" i="295" s="1"/>
  <c r="AH9" i="285"/>
  <c r="AH18" i="285" s="1"/>
  <c r="AX18" i="288"/>
  <c r="AT25" i="289"/>
  <c r="U27" i="282"/>
  <c r="W27" i="282" s="1"/>
  <c r="U23" i="282"/>
  <c r="W23" i="282" s="1"/>
  <c r="Y23" i="282" s="1"/>
  <c r="W11" i="282"/>
  <c r="AR12" i="284"/>
  <c r="AR23" i="284"/>
  <c r="AR25" i="284" s="1"/>
  <c r="AU11" i="288"/>
  <c r="AX11" i="288" s="1"/>
  <c r="R97" i="282"/>
  <c r="W22" i="282"/>
  <c r="Y22" i="282" s="1"/>
  <c r="AX17" i="282"/>
  <c r="AS25" i="283"/>
  <c r="AR25" i="289"/>
  <c r="I75" i="289"/>
  <c r="AH24" i="295"/>
  <c r="I13" i="315"/>
  <c r="L13" i="315" s="1"/>
  <c r="O13" i="315" s="1"/>
  <c r="I17" i="315"/>
  <c r="L17" i="315" s="1"/>
  <c r="O17" i="315" s="1"/>
  <c r="W23" i="288"/>
  <c r="Y23" i="288" s="1"/>
  <c r="AV19" i="282"/>
  <c r="W24" i="285"/>
  <c r="I131" i="323"/>
  <c r="AW32" i="288"/>
  <c r="P75" i="289"/>
  <c r="P78" i="289" s="1"/>
  <c r="AT23" i="295"/>
  <c r="AV12" i="295"/>
  <c r="W15" i="283"/>
  <c r="Y15" i="283" s="1"/>
  <c r="AW15" i="308"/>
  <c r="O82" i="315"/>
  <c r="P78" i="285"/>
  <c r="AS12" i="285"/>
  <c r="AH15" i="285"/>
  <c r="AJ24" i="289"/>
  <c r="Y77" i="295"/>
  <c r="P75" i="284"/>
  <c r="P78" i="284" s="1"/>
  <c r="L163" i="315"/>
  <c r="O163" i="315" s="1"/>
  <c r="I25" i="315"/>
  <c r="L25" i="315" s="1"/>
  <c r="O25" i="315" s="1"/>
  <c r="J70" i="318"/>
  <c r="M70" i="318" s="1"/>
  <c r="J22" i="318"/>
  <c r="M22" i="318" s="1"/>
  <c r="P22" i="318" s="1"/>
  <c r="AN10" i="284"/>
  <c r="Y77" i="288"/>
  <c r="W14" i="285"/>
  <c r="W23" i="308"/>
  <c r="U17" i="308"/>
  <c r="I99" i="318"/>
  <c r="D79" i="315"/>
  <c r="N79" i="315" s="1"/>
  <c r="J95" i="318"/>
  <c r="M95" i="318" s="1"/>
  <c r="P95" i="318" s="1"/>
  <c r="AW32" i="295"/>
  <c r="W11" i="283"/>
  <c r="Y11" i="283" s="1"/>
  <c r="W28" i="308"/>
  <c r="Y28" i="308" s="1"/>
  <c r="AI26" i="308"/>
  <c r="AR32" i="282"/>
  <c r="AM23" i="285"/>
  <c r="P75" i="282"/>
  <c r="P78" i="282" s="1"/>
  <c r="AW19" i="295"/>
  <c r="I76" i="284"/>
  <c r="W24" i="283"/>
  <c r="AS26" i="308"/>
  <c r="AW13" i="308"/>
  <c r="AI14" i="308"/>
  <c r="AH17" i="308"/>
  <c r="AJ17" i="308" s="1"/>
  <c r="J92" i="318"/>
  <c r="M92" i="318" s="1"/>
  <c r="P92" i="318" s="1"/>
  <c r="I87" i="318"/>
  <c r="I68" i="318" s="1"/>
  <c r="AC21" i="323"/>
  <c r="AE21" i="323" s="1"/>
  <c r="U26" i="282"/>
  <c r="AM13" i="282"/>
  <c r="W16" i="282"/>
  <c r="X16" i="282" s="1"/>
  <c r="AW12" i="295"/>
  <c r="W14" i="295"/>
  <c r="AT26" i="308"/>
  <c r="AV25" i="288"/>
  <c r="AU19" i="288"/>
  <c r="AM23" i="289"/>
  <c r="Y77" i="289"/>
  <c r="AH29" i="308"/>
  <c r="P48" i="308"/>
  <c r="P49" i="308" s="1"/>
  <c r="I32" i="323"/>
  <c r="AT12" i="282"/>
  <c r="AT32" i="283"/>
  <c r="AL15" i="284"/>
  <c r="AM13" i="295"/>
  <c r="AH20" i="308"/>
  <c r="AJ20" i="308" s="1"/>
  <c r="AF22" i="308"/>
  <c r="AF27" i="308"/>
  <c r="J191" i="318"/>
  <c r="M191" i="318" s="1"/>
  <c r="P191" i="318" s="1"/>
  <c r="I45" i="289"/>
  <c r="I97" i="289" s="1"/>
  <c r="I76" i="282"/>
  <c r="R97" i="295"/>
  <c r="I45" i="285"/>
  <c r="I97" i="285" s="1"/>
  <c r="J139" i="318"/>
  <c r="M139" i="318" s="1"/>
  <c r="P139" i="318" s="1"/>
  <c r="I68" i="323"/>
  <c r="S194" i="323"/>
  <c r="I194" i="323"/>
  <c r="S140" i="323"/>
  <c r="I113" i="323"/>
  <c r="AC8" i="323"/>
  <c r="AE8" i="323" s="1"/>
  <c r="I70" i="315"/>
  <c r="L70" i="315" s="1"/>
  <c r="O70" i="315" s="1"/>
  <c r="S158" i="323"/>
  <c r="I149" i="323"/>
  <c r="I140" i="323"/>
  <c r="I167" i="323"/>
  <c r="S14" i="323"/>
  <c r="V17" i="308"/>
  <c r="AS9" i="289"/>
  <c r="AH18" i="289"/>
  <c r="AQ24" i="285"/>
  <c r="AX24" i="285" s="1"/>
  <c r="AX11" i="285"/>
  <c r="D58" i="308"/>
  <c r="AI20" i="289"/>
  <c r="AI24" i="289" s="1"/>
  <c r="AI15" i="289"/>
  <c r="Y22" i="285"/>
  <c r="AH24" i="289"/>
  <c r="Z23" i="284"/>
  <c r="W22" i="289"/>
  <c r="P45" i="318"/>
  <c r="AL19" i="283"/>
  <c r="AL24" i="283" s="1"/>
  <c r="AL15" i="283"/>
  <c r="AI15" i="283"/>
  <c r="I86" i="315"/>
  <c r="I87" i="315"/>
  <c r="L87" i="315" s="1"/>
  <c r="O87" i="315" s="1"/>
  <c r="I89" i="315"/>
  <c r="L89" i="315" s="1"/>
  <c r="O89" i="315" s="1"/>
  <c r="I92" i="315"/>
  <c r="L92" i="315" s="1"/>
  <c r="O92" i="315" s="1"/>
  <c r="I88" i="315"/>
  <c r="L88" i="315" s="1"/>
  <c r="O88" i="315" s="1"/>
  <c r="I90" i="315"/>
  <c r="L90" i="315" s="1"/>
  <c r="O90" i="315" s="1"/>
  <c r="I91" i="315"/>
  <c r="L91" i="315" s="1"/>
  <c r="O91" i="315" s="1"/>
  <c r="I93" i="315"/>
  <c r="L93" i="315" s="1"/>
  <c r="O93" i="315" s="1"/>
  <c r="AK22" i="282"/>
  <c r="AK15" i="282"/>
  <c r="W23" i="295"/>
  <c r="P130" i="318"/>
  <c r="AS9" i="285"/>
  <c r="L117" i="315"/>
  <c r="O117" i="315" s="1"/>
  <c r="AR23" i="288"/>
  <c r="AR12" i="288"/>
  <c r="AM10" i="295"/>
  <c r="AV28" i="295"/>
  <c r="AV32" i="295" s="1"/>
  <c r="AV19" i="295"/>
  <c r="AU19" i="285"/>
  <c r="AU31" i="285"/>
  <c r="W12" i="295"/>
  <c r="Y12" i="295" s="1"/>
  <c r="V24" i="295"/>
  <c r="W24" i="295" s="1"/>
  <c r="V25" i="295"/>
  <c r="W25" i="295" s="1"/>
  <c r="Y25" i="295" s="1"/>
  <c r="W13" i="295"/>
  <c r="AQ24" i="283"/>
  <c r="AX11" i="283"/>
  <c r="AQ12" i="283"/>
  <c r="Y28" i="285"/>
  <c r="AB28" i="285"/>
  <c r="AM12" i="285"/>
  <c r="AF21" i="285"/>
  <c r="AI22" i="285"/>
  <c r="AI15" i="285"/>
  <c r="AM13" i="285"/>
  <c r="AR30" i="285"/>
  <c r="AX17" i="285"/>
  <c r="L47" i="315"/>
  <c r="O47" i="315" s="1"/>
  <c r="AS32" i="284"/>
  <c r="AU30" i="289"/>
  <c r="M44" i="295"/>
  <c r="P44" i="295" s="1"/>
  <c r="X10" i="295"/>
  <c r="AQ15" i="295"/>
  <c r="W29" i="284"/>
  <c r="X24" i="284"/>
  <c r="AX23" i="282"/>
  <c r="M52" i="318"/>
  <c r="J49" i="318"/>
  <c r="AG24" i="282"/>
  <c r="AU30" i="284"/>
  <c r="AU19" i="284"/>
  <c r="AJ24" i="288"/>
  <c r="AW12" i="289"/>
  <c r="AW24" i="289"/>
  <c r="AW25" i="289" s="1"/>
  <c r="AW20" i="308"/>
  <c r="AI18" i="284"/>
  <c r="AT9" i="284"/>
  <c r="Y27" i="289"/>
  <c r="AB27" i="289"/>
  <c r="AT32" i="284"/>
  <c r="AJ24" i="283"/>
  <c r="AS29" i="283"/>
  <c r="AS32" i="283" s="1"/>
  <c r="AS19" i="283"/>
  <c r="P70" i="318"/>
  <c r="AW24" i="288"/>
  <c r="AW25" i="288" s="1"/>
  <c r="AW12" i="288"/>
  <c r="AF13" i="288"/>
  <c r="M45" i="288"/>
  <c r="AQ17" i="288"/>
  <c r="V10" i="283"/>
  <c r="M75" i="283"/>
  <c r="P75" i="283" s="1"/>
  <c r="P78" i="283" s="1"/>
  <c r="AK10" i="283"/>
  <c r="J48" i="308"/>
  <c r="J97" i="308"/>
  <c r="R45" i="308"/>
  <c r="Y27" i="285"/>
  <c r="AW32" i="282"/>
  <c r="AY31" i="284"/>
  <c r="B15" i="288"/>
  <c r="AG9" i="288"/>
  <c r="Z77" i="284"/>
  <c r="I46" i="283"/>
  <c r="AT14" i="285"/>
  <c r="AX29" i="295"/>
  <c r="AB26" i="283"/>
  <c r="Y24" i="283"/>
  <c r="AI24" i="284"/>
  <c r="J198" i="318"/>
  <c r="M198" i="318" s="1"/>
  <c r="P198" i="318" s="1"/>
  <c r="J202" i="318"/>
  <c r="M202" i="318" s="1"/>
  <c r="P202" i="318" s="1"/>
  <c r="J203" i="318"/>
  <c r="M203" i="318" s="1"/>
  <c r="P203" i="318" s="1"/>
  <c r="I186" i="318"/>
  <c r="AX15" i="282"/>
  <c r="J204" i="318"/>
  <c r="M204" i="318" s="1"/>
  <c r="P204" i="318" s="1"/>
  <c r="M44" i="283"/>
  <c r="P44" i="283" s="1"/>
  <c r="R97" i="285"/>
  <c r="AR19" i="285"/>
  <c r="AR29" i="285"/>
  <c r="AX16" i="285"/>
  <c r="I23" i="323"/>
  <c r="AC7" i="323"/>
  <c r="AA20" i="323"/>
  <c r="AI15" i="284"/>
  <c r="AM19" i="288"/>
  <c r="AQ11" i="295"/>
  <c r="AR19" i="282"/>
  <c r="M47" i="318"/>
  <c r="P47" i="318" s="1"/>
  <c r="J40" i="318"/>
  <c r="AV19" i="284"/>
  <c r="L128" i="315"/>
  <c r="L125" i="315" s="1"/>
  <c r="O125" i="315" s="1"/>
  <c r="AX30" i="282"/>
  <c r="AG18" i="284"/>
  <c r="AR9" i="284"/>
  <c r="AK19" i="285"/>
  <c r="AK24" i="285" s="1"/>
  <c r="AK15" i="285"/>
  <c r="U28" i="283"/>
  <c r="W16" i="283"/>
  <c r="X16" i="283" s="1"/>
  <c r="AR26" i="308"/>
  <c r="AW19" i="308"/>
  <c r="AF11" i="308"/>
  <c r="AE30" i="308"/>
  <c r="AF30" i="308" s="1"/>
  <c r="AG18" i="289"/>
  <c r="AU9" i="284"/>
  <c r="AB27" i="288"/>
  <c r="AJ15" i="295"/>
  <c r="J76" i="318"/>
  <c r="M76" i="318" s="1"/>
  <c r="P76" i="318" s="1"/>
  <c r="P51" i="318"/>
  <c r="AF16" i="308"/>
  <c r="N42" i="283"/>
  <c r="R42" i="283" s="1"/>
  <c r="P45" i="284"/>
  <c r="P97" i="284" s="1"/>
  <c r="AX18" i="282"/>
  <c r="AR19" i="283"/>
  <c r="AR28" i="283"/>
  <c r="W14" i="288"/>
  <c r="U26" i="288"/>
  <c r="W26" i="288" s="1"/>
  <c r="V27" i="295"/>
  <c r="W27" i="295" s="1"/>
  <c r="W15" i="295"/>
  <c r="Y15" i="295" s="1"/>
  <c r="V28" i="283"/>
  <c r="O109" i="318"/>
  <c r="Y28" i="289"/>
  <c r="AM11" i="282"/>
  <c r="AF20" i="282"/>
  <c r="AH15" i="289"/>
  <c r="AX15" i="289"/>
  <c r="AW28" i="283"/>
  <c r="AW32" i="283" s="1"/>
  <c r="AW19" i="283"/>
  <c r="I71" i="315"/>
  <c r="L71" i="315" s="1"/>
  <c r="O71" i="315" s="1"/>
  <c r="I69" i="315"/>
  <c r="L69" i="315" s="1"/>
  <c r="O69" i="315" s="1"/>
  <c r="H66" i="315"/>
  <c r="I63" i="315"/>
  <c r="L63" i="315" s="1"/>
  <c r="O63" i="315" s="1"/>
  <c r="I58" i="315"/>
  <c r="L58" i="315" s="1"/>
  <c r="O58" i="315" s="1"/>
  <c r="I61" i="315"/>
  <c r="L61" i="315" s="1"/>
  <c r="O61" i="315" s="1"/>
  <c r="I64" i="315"/>
  <c r="L64" i="315" s="1"/>
  <c r="O64" i="315" s="1"/>
  <c r="I60" i="315"/>
  <c r="L60" i="315" s="1"/>
  <c r="O60" i="315" s="1"/>
  <c r="G37" i="315"/>
  <c r="AF22" i="289"/>
  <c r="AM13" i="289"/>
  <c r="AF15" i="289"/>
  <c r="AJ15" i="285"/>
  <c r="AM10" i="285"/>
  <c r="AJ19" i="285"/>
  <c r="AJ24" i="285" s="1"/>
  <c r="AI24" i="288"/>
  <c r="AT28" i="289"/>
  <c r="AT19" i="289"/>
  <c r="R97" i="283"/>
  <c r="I57" i="315"/>
  <c r="AF21" i="282"/>
  <c r="AV25" i="283"/>
  <c r="AH19" i="284"/>
  <c r="AU12" i="288"/>
  <c r="AL15" i="288"/>
  <c r="AL20" i="288"/>
  <c r="AL24" i="288" s="1"/>
  <c r="AT29" i="288"/>
  <c r="AT32" i="288" s="1"/>
  <c r="AT19" i="288"/>
  <c r="AJ15" i="288"/>
  <c r="AJ15" i="289"/>
  <c r="X12" i="283"/>
  <c r="Y12" i="283" s="1"/>
  <c r="AQ16" i="283"/>
  <c r="AF12" i="283"/>
  <c r="X10" i="284"/>
  <c r="V22" i="284"/>
  <c r="V17" i="284"/>
  <c r="AK9" i="285"/>
  <c r="B27" i="285"/>
  <c r="AU24" i="288"/>
  <c r="AU25" i="288" s="1"/>
  <c r="AT9" i="295"/>
  <c r="AI18" i="295"/>
  <c r="AN13" i="284"/>
  <c r="AG22" i="284"/>
  <c r="AN23" i="284"/>
  <c r="AV32" i="284"/>
  <c r="U23" i="289"/>
  <c r="W23" i="289" s="1"/>
  <c r="U17" i="289"/>
  <c r="W11" i="289"/>
  <c r="AK21" i="295"/>
  <c r="AK24" i="295" s="1"/>
  <c r="AK15" i="295"/>
  <c r="O134" i="315"/>
  <c r="B67" i="315"/>
  <c r="B37" i="315"/>
  <c r="J114" i="318"/>
  <c r="M114" i="318" s="1"/>
  <c r="P114" i="318" s="1"/>
  <c r="J110" i="318"/>
  <c r="M110" i="318" s="1"/>
  <c r="P110" i="318" s="1"/>
  <c r="J113" i="318"/>
  <c r="M113" i="318" s="1"/>
  <c r="P113" i="318" s="1"/>
  <c r="J116" i="318"/>
  <c r="M116" i="318" s="1"/>
  <c r="P116" i="318" s="1"/>
  <c r="J111" i="318"/>
  <c r="M111" i="318" s="1"/>
  <c r="P111" i="318" s="1"/>
  <c r="N76" i="315"/>
  <c r="N66" i="315"/>
  <c r="AB28" i="308"/>
  <c r="J117" i="318"/>
  <c r="M117" i="318" s="1"/>
  <c r="P117" i="318" s="1"/>
  <c r="AU32" i="288"/>
  <c r="AQ24" i="289"/>
  <c r="AU19" i="283"/>
  <c r="AU31" i="283"/>
  <c r="AK19" i="284"/>
  <c r="AK15" i="284"/>
  <c r="AN14" i="284"/>
  <c r="AT25" i="285"/>
  <c r="AT32" i="285"/>
  <c r="AK24" i="288"/>
  <c r="AQ28" i="288"/>
  <c r="V29" i="288"/>
  <c r="AL19" i="289"/>
  <c r="AL15" i="289"/>
  <c r="AI20" i="295"/>
  <c r="AI15" i="295"/>
  <c r="AX17" i="295"/>
  <c r="AT30" i="295"/>
  <c r="AT32" i="295" s="1"/>
  <c r="I189" i="315"/>
  <c r="L189" i="315" s="1"/>
  <c r="O189" i="315" s="1"/>
  <c r="I184" i="315"/>
  <c r="I185" i="315"/>
  <c r="L185" i="315" s="1"/>
  <c r="O185" i="315" s="1"/>
  <c r="I187" i="315"/>
  <c r="L187" i="315" s="1"/>
  <c r="O187" i="315" s="1"/>
  <c r="I191" i="315"/>
  <c r="L191" i="315" s="1"/>
  <c r="O191" i="315" s="1"/>
  <c r="H182" i="315"/>
  <c r="I188" i="315"/>
  <c r="L188" i="315" s="1"/>
  <c r="O188" i="315" s="1"/>
  <c r="I190" i="315"/>
  <c r="L190" i="315" s="1"/>
  <c r="O190" i="315" s="1"/>
  <c r="B21" i="295"/>
  <c r="AB28" i="295"/>
  <c r="Y28" i="295"/>
  <c r="AT24" i="283"/>
  <c r="AT25" i="283" s="1"/>
  <c r="AW10" i="308"/>
  <c r="M46" i="283"/>
  <c r="P46" i="283" s="1"/>
  <c r="L203" i="315"/>
  <c r="O203" i="315" s="1"/>
  <c r="I74" i="315"/>
  <c r="L74" i="315" s="1"/>
  <c r="O74" i="315" s="1"/>
  <c r="AX30" i="283"/>
  <c r="AL24" i="284"/>
  <c r="AK9" i="284"/>
  <c r="B24" i="284"/>
  <c r="AF18" i="285"/>
  <c r="AQ9" i="285"/>
  <c r="V17" i="288"/>
  <c r="W10" i="289"/>
  <c r="V17" i="289"/>
  <c r="AQ23" i="289"/>
  <c r="AX10" i="289"/>
  <c r="AQ12" i="289"/>
  <c r="O97" i="295"/>
  <c r="P45" i="295"/>
  <c r="P97" i="295" s="1"/>
  <c r="Y77" i="285"/>
  <c r="I185" i="323"/>
  <c r="R41" i="323"/>
  <c r="B109" i="318"/>
  <c r="B99" i="318"/>
  <c r="B129" i="318"/>
  <c r="AK21" i="284"/>
  <c r="AN21" i="284" s="1"/>
  <c r="AN12" i="284"/>
  <c r="M97" i="308"/>
  <c r="M48" i="308"/>
  <c r="M49" i="308" s="1"/>
  <c r="J58" i="308" s="1"/>
  <c r="I47" i="315"/>
  <c r="B18" i="283"/>
  <c r="AH9" i="283"/>
  <c r="AT23" i="284"/>
  <c r="AT12" i="284"/>
  <c r="AY10" i="284"/>
  <c r="U25" i="288"/>
  <c r="W25" i="288" s="1"/>
  <c r="Y25" i="288" s="1"/>
  <c r="W13" i="288"/>
  <c r="X11" i="295"/>
  <c r="Y11" i="295" s="1"/>
  <c r="AF11" i="295"/>
  <c r="AF15" i="295" s="1"/>
  <c r="U17" i="295"/>
  <c r="AS24" i="295"/>
  <c r="AS25" i="295" s="1"/>
  <c r="AS12" i="295"/>
  <c r="N31" i="283"/>
  <c r="V26" i="282"/>
  <c r="W14" i="282"/>
  <c r="J74" i="318"/>
  <c r="M74" i="318" s="1"/>
  <c r="P74" i="318" s="1"/>
  <c r="J73" i="318"/>
  <c r="M73" i="318" s="1"/>
  <c r="P73" i="318" s="1"/>
  <c r="J77" i="318"/>
  <c r="M77" i="318" s="1"/>
  <c r="P77" i="318" s="1"/>
  <c r="J71" i="318"/>
  <c r="M71" i="318" s="1"/>
  <c r="J72" i="318"/>
  <c r="M72" i="318" s="1"/>
  <c r="P72" i="318" s="1"/>
  <c r="J21" i="318"/>
  <c r="J25" i="318"/>
  <c r="M25" i="318" s="1"/>
  <c r="P25" i="318" s="1"/>
  <c r="J28" i="318"/>
  <c r="M28" i="318" s="1"/>
  <c r="P28" i="318" s="1"/>
  <c r="O81" i="315"/>
  <c r="AR30" i="289"/>
  <c r="J199" i="318"/>
  <c r="M199" i="318" s="1"/>
  <c r="AG19" i="283"/>
  <c r="AG15" i="283"/>
  <c r="AX18" i="285"/>
  <c r="AR31" i="285"/>
  <c r="AW28" i="289"/>
  <c r="AW32" i="289" s="1"/>
  <c r="AW19" i="289"/>
  <c r="V17" i="282"/>
  <c r="AU25" i="282"/>
  <c r="AL19" i="285"/>
  <c r="AL24" i="285" s="1"/>
  <c r="AI15" i="288"/>
  <c r="AS9" i="295"/>
  <c r="W23" i="283"/>
  <c r="AM12" i="295"/>
  <c r="AM12" i="288"/>
  <c r="AH21" i="288"/>
  <c r="AM21" i="288" s="1"/>
  <c r="AS9" i="284"/>
  <c r="V29" i="289"/>
  <c r="AW19" i="288"/>
  <c r="B56" i="315"/>
  <c r="B68" i="318"/>
  <c r="B87" i="318"/>
  <c r="B78" i="318"/>
  <c r="AJ14" i="308"/>
  <c r="AU32" i="285"/>
  <c r="AG15" i="282"/>
  <c r="AU12" i="282"/>
  <c r="AM14" i="288"/>
  <c r="AS28" i="288"/>
  <c r="AS32" i="288" s="1"/>
  <c r="AS19" i="288"/>
  <c r="W13" i="289"/>
  <c r="U25" i="289"/>
  <c r="Y77" i="282"/>
  <c r="AT19" i="295"/>
  <c r="AX16" i="295"/>
  <c r="AS19" i="295"/>
  <c r="AJ11" i="308"/>
  <c r="W13" i="308"/>
  <c r="V25" i="308"/>
  <c r="F58" i="308"/>
  <c r="O99" i="315"/>
  <c r="L96" i="315"/>
  <c r="O96" i="315" s="1"/>
  <c r="P41" i="318"/>
  <c r="AJ24" i="284"/>
  <c r="AY15" i="284"/>
  <c r="AU28" i="284"/>
  <c r="AU32" i="284" s="1"/>
  <c r="AF15" i="285"/>
  <c r="AF20" i="285"/>
  <c r="AM20" i="285" s="1"/>
  <c r="AS30" i="285"/>
  <c r="AS32" i="285" s="1"/>
  <c r="AS19" i="285"/>
  <c r="AV29" i="288"/>
  <c r="AV32" i="288" s="1"/>
  <c r="AV19" i="288"/>
  <c r="U22" i="288"/>
  <c r="W10" i="288"/>
  <c r="AG21" i="289"/>
  <c r="AM21" i="289" s="1"/>
  <c r="AM12" i="289"/>
  <c r="R97" i="289"/>
  <c r="AU28" i="295"/>
  <c r="AU19" i="295"/>
  <c r="W23" i="285"/>
  <c r="V29" i="285"/>
  <c r="AS19" i="282"/>
  <c r="AS28" i="282"/>
  <c r="AS32" i="282" s="1"/>
  <c r="AM19" i="284"/>
  <c r="AM24" i="284" s="1"/>
  <c r="AM15" i="284"/>
  <c r="AX29" i="284"/>
  <c r="AX19" i="284"/>
  <c r="AR25" i="285"/>
  <c r="AH20" i="288"/>
  <c r="AH15" i="288"/>
  <c r="AG15" i="288"/>
  <c r="AU31" i="289"/>
  <c r="AX31" i="289" s="1"/>
  <c r="AX18" i="289"/>
  <c r="U22" i="295"/>
  <c r="W10" i="295"/>
  <c r="AX10" i="295"/>
  <c r="V17" i="295"/>
  <c r="AG21" i="295"/>
  <c r="AG24" i="295" s="1"/>
  <c r="AG15" i="295"/>
  <c r="U27" i="283"/>
  <c r="W27" i="283" s="1"/>
  <c r="W13" i="285"/>
  <c r="U25" i="285"/>
  <c r="W25" i="285" s="1"/>
  <c r="Y25" i="285" s="1"/>
  <c r="U17" i="285"/>
  <c r="S95" i="323"/>
  <c r="I59" i="323"/>
  <c r="I50" i="323"/>
  <c r="S23" i="323"/>
  <c r="AB15" i="323"/>
  <c r="AB22" i="323"/>
  <c r="AB27" i="323" s="1"/>
  <c r="AM23" i="288"/>
  <c r="M59" i="318"/>
  <c r="P59" i="318" s="1"/>
  <c r="O127" i="315"/>
  <c r="Y10" i="308"/>
  <c r="AG9" i="282"/>
  <c r="B15" i="282"/>
  <c r="AR12" i="283"/>
  <c r="AX10" i="283"/>
  <c r="AX12" i="283" s="1"/>
  <c r="AM14" i="285"/>
  <c r="AG20" i="289"/>
  <c r="AM11" i="289"/>
  <c r="P45" i="282"/>
  <c r="P97" i="282" s="1"/>
  <c r="O97" i="282"/>
  <c r="I45" i="284"/>
  <c r="AV15" i="283"/>
  <c r="X10" i="283"/>
  <c r="S104" i="323"/>
  <c r="E54" i="308"/>
  <c r="H61" i="308"/>
  <c r="AU23" i="283"/>
  <c r="AU25" i="283" s="1"/>
  <c r="AU12" i="283"/>
  <c r="AY16" i="284"/>
  <c r="AR30" i="284"/>
  <c r="AR32" i="284" s="1"/>
  <c r="AY17" i="284"/>
  <c r="AX10" i="285"/>
  <c r="AX12" i="285" s="1"/>
  <c r="AQ23" i="285"/>
  <c r="AQ12" i="285"/>
  <c r="Y77" i="283"/>
  <c r="X14" i="284"/>
  <c r="Y14" i="284"/>
  <c r="Y17" i="284" s="1"/>
  <c r="AF25" i="308"/>
  <c r="I156" i="315"/>
  <c r="L156" i="315" s="1"/>
  <c r="O156" i="315" s="1"/>
  <c r="I155" i="315"/>
  <c r="I158" i="315"/>
  <c r="L158" i="315" s="1"/>
  <c r="O158" i="315" s="1"/>
  <c r="I161" i="315"/>
  <c r="L161" i="315" s="1"/>
  <c r="O161" i="315" s="1"/>
  <c r="I159" i="315"/>
  <c r="L159" i="315" s="1"/>
  <c r="O159" i="315" s="1"/>
  <c r="I86" i="323"/>
  <c r="G61" i="308"/>
  <c r="H49" i="308"/>
  <c r="E58" i="308" s="1"/>
  <c r="AJ15" i="283"/>
  <c r="W24" i="288"/>
  <c r="AV24" i="282"/>
  <c r="AV25" i="282" s="1"/>
  <c r="AV12" i="282"/>
  <c r="AI24" i="283"/>
  <c r="AM14" i="283"/>
  <c r="AH23" i="283"/>
  <c r="AM23" i="283" s="1"/>
  <c r="AI12" i="282"/>
  <c r="AT16" i="282"/>
  <c r="M46" i="282"/>
  <c r="P46" i="282" s="1"/>
  <c r="I44" i="295"/>
  <c r="I46" i="295" s="1"/>
  <c r="I165" i="315"/>
  <c r="I166" i="315"/>
  <c r="L166" i="315" s="1"/>
  <c r="O166" i="315" s="1"/>
  <c r="I168" i="315"/>
  <c r="L168" i="315" s="1"/>
  <c r="O168" i="315" s="1"/>
  <c r="I41" i="315"/>
  <c r="L41" i="315" s="1"/>
  <c r="O41" i="315" s="1"/>
  <c r="I39" i="315"/>
  <c r="I46" i="315"/>
  <c r="L46" i="315" s="1"/>
  <c r="O46" i="315" s="1"/>
  <c r="S176" i="323"/>
  <c r="AS32" i="295"/>
  <c r="I77" i="295"/>
  <c r="R78" i="295" s="1"/>
  <c r="AX11" i="282"/>
  <c r="AX12" i="282" s="1"/>
  <c r="P188" i="318"/>
  <c r="AM14" i="282"/>
  <c r="AF23" i="282"/>
  <c r="AM23" i="282" s="1"/>
  <c r="AM13" i="283"/>
  <c r="AG22" i="283"/>
  <c r="AM22" i="283" s="1"/>
  <c r="AT19" i="283"/>
  <c r="AW19" i="284"/>
  <c r="AW30" i="284"/>
  <c r="AW32" i="284" s="1"/>
  <c r="AG15" i="285"/>
  <c r="AG19" i="285"/>
  <c r="AM11" i="288"/>
  <c r="P44" i="288"/>
  <c r="AG15" i="289"/>
  <c r="X12" i="289"/>
  <c r="AS16" i="289"/>
  <c r="AS19" i="289" s="1"/>
  <c r="N41" i="289"/>
  <c r="O41" i="289" s="1"/>
  <c r="AI23" i="295"/>
  <c r="AM14" i="295"/>
  <c r="AQ25" i="308"/>
  <c r="AQ26" i="308" s="1"/>
  <c r="AW16" i="308"/>
  <c r="O172" i="315"/>
  <c r="X12" i="288"/>
  <c r="I122" i="323"/>
  <c r="AS23" i="285"/>
  <c r="AS25" i="285" s="1"/>
  <c r="AV19" i="285"/>
  <c r="AU25" i="295"/>
  <c r="W10" i="285"/>
  <c r="V17" i="285"/>
  <c r="H157" i="318"/>
  <c r="J166" i="318"/>
  <c r="M166" i="318" s="1"/>
  <c r="P166" i="318" s="1"/>
  <c r="J159" i="318"/>
  <c r="M159" i="318" s="1"/>
  <c r="AM10" i="282"/>
  <c r="AM14" i="289"/>
  <c r="AR19" i="295"/>
  <c r="AR28" i="295"/>
  <c r="AR32" i="295" s="1"/>
  <c r="AS11" i="284"/>
  <c r="AH11" i="284"/>
  <c r="AJ29" i="308"/>
  <c r="I178" i="315"/>
  <c r="L178" i="315" s="1"/>
  <c r="O178" i="315" s="1"/>
  <c r="I179" i="315"/>
  <c r="L179" i="315" s="1"/>
  <c r="O179" i="315" s="1"/>
  <c r="I177" i="315"/>
  <c r="L177" i="315" s="1"/>
  <c r="O177" i="315" s="1"/>
  <c r="I180" i="315"/>
  <c r="L180" i="315" s="1"/>
  <c r="O180" i="315" s="1"/>
  <c r="I174" i="315"/>
  <c r="J101" i="318"/>
  <c r="M101" i="318" s="1"/>
  <c r="J106" i="318"/>
  <c r="M106" i="318" s="1"/>
  <c r="P106" i="318" s="1"/>
  <c r="J104" i="318"/>
  <c r="M104" i="318" s="1"/>
  <c r="P104" i="318" s="1"/>
  <c r="J108" i="318"/>
  <c r="M108" i="318" s="1"/>
  <c r="P108" i="318" s="1"/>
  <c r="I80" i="315"/>
  <c r="L80" i="315" s="1"/>
  <c r="O80" i="315" s="1"/>
  <c r="I84" i="315"/>
  <c r="L84" i="315" s="1"/>
  <c r="O84" i="315" s="1"/>
  <c r="I79" i="315"/>
  <c r="K48" i="308"/>
  <c r="K49" i="308" s="1"/>
  <c r="I176" i="323"/>
  <c r="I104" i="323"/>
  <c r="X27" i="284"/>
  <c r="U26" i="289"/>
  <c r="W26" i="289" s="1"/>
  <c r="Y26" i="289" s="1"/>
  <c r="X14" i="289"/>
  <c r="W14" i="289"/>
  <c r="P44" i="289"/>
  <c r="P47" i="289" s="1"/>
  <c r="I76" i="283"/>
  <c r="I77" i="283" s="1"/>
  <c r="I68" i="315"/>
  <c r="I75" i="315"/>
  <c r="L75" i="315" s="1"/>
  <c r="O75" i="315" s="1"/>
  <c r="I73" i="315"/>
  <c r="L73" i="315" s="1"/>
  <c r="O73" i="315" s="1"/>
  <c r="W16" i="285"/>
  <c r="X16" i="285" s="1"/>
  <c r="AW12" i="308"/>
  <c r="G95" i="315"/>
  <c r="J17" i="318"/>
  <c r="M17" i="318" s="1"/>
  <c r="P17" i="318" s="1"/>
  <c r="J19" i="318"/>
  <c r="M19" i="318" s="1"/>
  <c r="P19" i="318" s="1"/>
  <c r="J12" i="318"/>
  <c r="J18" i="318"/>
  <c r="M18" i="318" s="1"/>
  <c r="P18" i="318" s="1"/>
  <c r="S167" i="323"/>
  <c r="S50" i="323"/>
  <c r="I14" i="323"/>
  <c r="W27" i="308"/>
  <c r="I76" i="289"/>
  <c r="I75" i="282"/>
  <c r="O201" i="315"/>
  <c r="I200" i="315"/>
  <c r="L200" i="315" s="1"/>
  <c r="O200" i="315" s="1"/>
  <c r="I194" i="315"/>
  <c r="I195" i="315"/>
  <c r="L195" i="315" s="1"/>
  <c r="O195" i="315" s="1"/>
  <c r="I142" i="315"/>
  <c r="L142" i="315" s="1"/>
  <c r="O142" i="315" s="1"/>
  <c r="I139" i="315"/>
  <c r="L139" i="315" s="1"/>
  <c r="O139" i="315" s="1"/>
  <c r="I138" i="315"/>
  <c r="I43" i="315"/>
  <c r="L43" i="315" s="1"/>
  <c r="O43" i="315" s="1"/>
  <c r="I44" i="315"/>
  <c r="L44" i="315" s="1"/>
  <c r="O44" i="315" s="1"/>
  <c r="I12" i="315"/>
  <c r="L12" i="315" s="1"/>
  <c r="O12" i="315" s="1"/>
  <c r="I10" i="315"/>
  <c r="B39" i="318"/>
  <c r="P86" i="318"/>
  <c r="J94" i="318"/>
  <c r="M94" i="318" s="1"/>
  <c r="P94" i="318" s="1"/>
  <c r="J91" i="318"/>
  <c r="H41" i="323"/>
  <c r="AV25" i="295"/>
  <c r="AX17" i="283"/>
  <c r="O143" i="315"/>
  <c r="I28" i="315"/>
  <c r="I30" i="315"/>
  <c r="L30" i="315" s="1"/>
  <c r="O30" i="315" s="1"/>
  <c r="I26" i="315"/>
  <c r="L26" i="315" s="1"/>
  <c r="O26" i="315" s="1"/>
  <c r="J124" i="318"/>
  <c r="M124" i="318" s="1"/>
  <c r="P124" i="318" s="1"/>
  <c r="J125" i="318"/>
  <c r="M125" i="318" s="1"/>
  <c r="P125" i="318" s="1"/>
  <c r="S41" i="323"/>
  <c r="S32" i="323"/>
  <c r="AW15" i="285"/>
  <c r="I29" i="315"/>
  <c r="L29" i="315" s="1"/>
  <c r="O29" i="315" s="1"/>
  <c r="J200" i="318"/>
  <c r="M200" i="318" s="1"/>
  <c r="P200" i="318" s="1"/>
  <c r="J201" i="318"/>
  <c r="M201" i="318" s="1"/>
  <c r="P201" i="318" s="1"/>
  <c r="I158" i="323"/>
  <c r="I77" i="323"/>
  <c r="S185" i="323"/>
  <c r="S68" i="323"/>
  <c r="Y12" i="285" l="1"/>
  <c r="Y12" i="289"/>
  <c r="AB28" i="282"/>
  <c r="AR22" i="283"/>
  <c r="AR27" i="283" s="1"/>
  <c r="U29" i="308"/>
  <c r="J58" i="318"/>
  <c r="Y11" i="289"/>
  <c r="I77" i="289"/>
  <c r="R78" i="289" s="1"/>
  <c r="AX11" i="289"/>
  <c r="AX12" i="289" s="1"/>
  <c r="AX12" i="288"/>
  <c r="I77" i="282"/>
  <c r="M29" i="318"/>
  <c r="P29" i="318" s="1"/>
  <c r="I201" i="315"/>
  <c r="M78" i="318"/>
  <c r="P78" i="318" s="1"/>
  <c r="M129" i="318"/>
  <c r="P129" i="318" s="1"/>
  <c r="AB28" i="288"/>
  <c r="L95" i="315"/>
  <c r="O95" i="315" s="1"/>
  <c r="J29" i="318"/>
  <c r="AF15" i="282"/>
  <c r="AR22" i="289"/>
  <c r="AR27" i="289" s="1"/>
  <c r="AR14" i="289"/>
  <c r="X17" i="285"/>
  <c r="AM20" i="288"/>
  <c r="AM11" i="283"/>
  <c r="AU12" i="289"/>
  <c r="I125" i="315"/>
  <c r="W33" i="348"/>
  <c r="X33" i="348" s="1"/>
  <c r="Y33" i="348" s="1"/>
  <c r="Z33" i="348" s="1"/>
  <c r="AA33" i="348" s="1"/>
  <c r="AB33" i="348" s="1"/>
  <c r="AC33" i="348" s="1"/>
  <c r="Q4" i="348" s="1"/>
  <c r="Q3" i="348" s="1"/>
  <c r="O60" i="285"/>
  <c r="M128" i="318"/>
  <c r="P128" i="318" s="1"/>
  <c r="AI30" i="308"/>
  <c r="I77" i="284"/>
  <c r="S78" i="284" s="1"/>
  <c r="Y11" i="282"/>
  <c r="AR14" i="295"/>
  <c r="AR22" i="295"/>
  <c r="AR27" i="295" s="1"/>
  <c r="W17" i="282"/>
  <c r="X17" i="282"/>
  <c r="W26" i="282"/>
  <c r="AB25" i="282" s="1"/>
  <c r="I114" i="315"/>
  <c r="I95" i="315" s="1"/>
  <c r="AU32" i="295"/>
  <c r="AB24" i="282"/>
  <c r="Z26" i="284"/>
  <c r="AC25" i="284"/>
  <c r="U29" i="282"/>
  <c r="AX30" i="289"/>
  <c r="AB26" i="289"/>
  <c r="I46" i="288"/>
  <c r="G60" i="288" s="1"/>
  <c r="AQ19" i="289"/>
  <c r="M187" i="318"/>
  <c r="P187" i="318" s="1"/>
  <c r="W24" i="282"/>
  <c r="AQ24" i="282"/>
  <c r="AQ25" i="282" s="1"/>
  <c r="AQ12" i="282"/>
  <c r="J90" i="318"/>
  <c r="M91" i="318" s="1"/>
  <c r="P91" i="318" s="1"/>
  <c r="AL29" i="323"/>
  <c r="AS29" i="323" s="1"/>
  <c r="AM19" i="282"/>
  <c r="AU22" i="285"/>
  <c r="AU27" i="285" s="1"/>
  <c r="AU19" i="289"/>
  <c r="AX17" i="289"/>
  <c r="I46" i="282"/>
  <c r="G60" i="282" s="1"/>
  <c r="W17" i="308"/>
  <c r="Y17" i="308"/>
  <c r="R78" i="282"/>
  <c r="I46" i="285"/>
  <c r="R47" i="285" s="1"/>
  <c r="R60" i="285" s="1"/>
  <c r="W28" i="283"/>
  <c r="R78" i="285"/>
  <c r="P78" i="288"/>
  <c r="R78" i="288" s="1"/>
  <c r="AQ19" i="282"/>
  <c r="AQ28" i="282"/>
  <c r="AQ32" i="282" s="1"/>
  <c r="V29" i="282"/>
  <c r="U29" i="285"/>
  <c r="W29" i="285"/>
  <c r="AH30" i="308"/>
  <c r="AJ30" i="308" s="1"/>
  <c r="AX16" i="288"/>
  <c r="U29" i="283"/>
  <c r="Y23" i="308"/>
  <c r="AB25" i="308"/>
  <c r="Y27" i="282"/>
  <c r="AB27" i="282"/>
  <c r="AX28" i="282"/>
  <c r="Y17" i="282"/>
  <c r="X17" i="289"/>
  <c r="AW25" i="308"/>
  <c r="AX29" i="288"/>
  <c r="P47" i="282"/>
  <c r="P98" i="282" s="1"/>
  <c r="R98" i="282" s="1"/>
  <c r="R99" i="282" s="1"/>
  <c r="AY28" i="284"/>
  <c r="AB24" i="285"/>
  <c r="I46" i="289"/>
  <c r="G60" i="289" s="1"/>
  <c r="AI9" i="289"/>
  <c r="B21" i="289"/>
  <c r="P47" i="284"/>
  <c r="AR9" i="285"/>
  <c r="AG18" i="285"/>
  <c r="AQ22" i="283"/>
  <c r="AQ27" i="283" s="1"/>
  <c r="AQ14" i="283"/>
  <c r="M40" i="318"/>
  <c r="P40" i="318" s="1"/>
  <c r="M69" i="318"/>
  <c r="P69" i="318" s="1"/>
  <c r="M58" i="318"/>
  <c r="P58" i="318" s="1"/>
  <c r="AQ14" i="288"/>
  <c r="AQ22" i="288"/>
  <c r="AQ27" i="288" s="1"/>
  <c r="AA12" i="323"/>
  <c r="AA25" i="323" s="1"/>
  <c r="AC25" i="323" s="1"/>
  <c r="AG24" i="289"/>
  <c r="AH24" i="283"/>
  <c r="R97" i="308"/>
  <c r="R99" i="308" s="1"/>
  <c r="AA9" i="323"/>
  <c r="AA22" i="323" s="1"/>
  <c r="AC22" i="323" s="1"/>
  <c r="AA11" i="323"/>
  <c r="AC11" i="323" s="1"/>
  <c r="AT25" i="295"/>
  <c r="AX23" i="295"/>
  <c r="L18" i="315"/>
  <c r="O18" i="315" s="1"/>
  <c r="AA13" i="323"/>
  <c r="AC13" i="323" s="1"/>
  <c r="AD13" i="323" s="1"/>
  <c r="Y24" i="285"/>
  <c r="AB26" i="285"/>
  <c r="L68" i="315"/>
  <c r="I67" i="315"/>
  <c r="U29" i="295"/>
  <c r="W22" i="295"/>
  <c r="AX32" i="284"/>
  <c r="AY29" i="284"/>
  <c r="I9" i="315"/>
  <c r="L10" i="315"/>
  <c r="X17" i="288"/>
  <c r="Y12" i="288"/>
  <c r="AM23" i="295"/>
  <c r="AI24" i="295"/>
  <c r="AR9" i="282"/>
  <c r="AG18" i="282"/>
  <c r="AM20" i="282"/>
  <c r="AF24" i="282"/>
  <c r="AW28" i="285"/>
  <c r="AW19" i="285"/>
  <c r="AX15" i="285"/>
  <c r="AX19" i="285" s="1"/>
  <c r="AS14" i="289"/>
  <c r="AS22" i="289"/>
  <c r="AS27" i="289" s="1"/>
  <c r="L155" i="315"/>
  <c r="I154" i="315"/>
  <c r="O60" i="282"/>
  <c r="AG24" i="285"/>
  <c r="AM19" i="285"/>
  <c r="AM21" i="285"/>
  <c r="AF24" i="285"/>
  <c r="AQ24" i="295"/>
  <c r="AX11" i="295"/>
  <c r="AQ12" i="295"/>
  <c r="M97" i="288"/>
  <c r="P45" i="288"/>
  <c r="P97" i="288" s="1"/>
  <c r="Y22" i="289"/>
  <c r="I97" i="284"/>
  <c r="S97" i="284" s="1"/>
  <c r="I46" i="284"/>
  <c r="Y10" i="288"/>
  <c r="W17" i="288"/>
  <c r="B147" i="318"/>
  <c r="B138" i="318"/>
  <c r="B128" i="318"/>
  <c r="B158" i="318"/>
  <c r="Y27" i="295"/>
  <c r="AB27" i="295"/>
  <c r="W22" i="288"/>
  <c r="U29" i="288"/>
  <c r="AT25" i="284"/>
  <c r="AY23" i="284"/>
  <c r="AN11" i="284"/>
  <c r="AN15" i="284" s="1"/>
  <c r="AH20" i="284"/>
  <c r="AN20" i="284" s="1"/>
  <c r="AH15" i="284"/>
  <c r="L39" i="315"/>
  <c r="I38" i="315"/>
  <c r="Y24" i="288"/>
  <c r="AB26" i="288"/>
  <c r="AL24" i="289"/>
  <c r="AM19" i="289"/>
  <c r="AU32" i="283"/>
  <c r="AX31" i="283"/>
  <c r="AM12" i="283"/>
  <c r="AF21" i="283"/>
  <c r="AF15" i="283"/>
  <c r="AR32" i="285"/>
  <c r="AX29" i="285"/>
  <c r="G60" i="295"/>
  <c r="L79" i="315"/>
  <c r="O79" i="315" s="1"/>
  <c r="I76" i="315"/>
  <c r="AS24" i="284"/>
  <c r="AS12" i="284"/>
  <c r="AY11" i="284"/>
  <c r="AY12" i="284" s="1"/>
  <c r="AX16" i="282"/>
  <c r="AX19" i="282" s="1"/>
  <c r="AT29" i="282"/>
  <c r="AT19" i="282"/>
  <c r="AS22" i="284"/>
  <c r="AS27" i="284" s="1"/>
  <c r="AS14" i="284"/>
  <c r="P52" i="318"/>
  <c r="M39" i="318"/>
  <c r="P39" i="318" s="1"/>
  <c r="W25" i="289"/>
  <c r="Y25" i="289" s="1"/>
  <c r="U29" i="289"/>
  <c r="AI24" i="285"/>
  <c r="AM22" i="285"/>
  <c r="P199" i="318"/>
  <c r="M186" i="318"/>
  <c r="P186" i="318" s="1"/>
  <c r="AQ30" i="288"/>
  <c r="AX30" i="288" s="1"/>
  <c r="AX17" i="288"/>
  <c r="AX19" i="288" s="1"/>
  <c r="AQ19" i="288"/>
  <c r="L57" i="315"/>
  <c r="I56" i="315"/>
  <c r="AM22" i="289"/>
  <c r="AF24" i="289"/>
  <c r="AF22" i="288"/>
  <c r="AM13" i="288"/>
  <c r="AM15" i="288" s="1"/>
  <c r="AF15" i="288"/>
  <c r="AT14" i="284"/>
  <c r="AT22" i="284"/>
  <c r="AT27" i="284" s="1"/>
  <c r="Y26" i="282"/>
  <c r="W29" i="282"/>
  <c r="AK24" i="284"/>
  <c r="AN19" i="284"/>
  <c r="AQ25" i="285"/>
  <c r="AX23" i="285"/>
  <c r="AX25" i="285" s="1"/>
  <c r="Y22" i="308"/>
  <c r="AI15" i="282"/>
  <c r="AI21" i="282"/>
  <c r="AI24" i="282" s="1"/>
  <c r="AM12" i="282"/>
  <c r="AM15" i="282" s="1"/>
  <c r="AM15" i="289"/>
  <c r="AX28" i="288"/>
  <c r="AU22" i="284"/>
  <c r="AU27" i="284" s="1"/>
  <c r="AU14" i="284"/>
  <c r="M49" i="318"/>
  <c r="P49" i="318" s="1"/>
  <c r="AJ9" i="295"/>
  <c r="B24" i="295"/>
  <c r="P159" i="318"/>
  <c r="M158" i="318"/>
  <c r="P158" i="318" s="1"/>
  <c r="M157" i="318"/>
  <c r="P157" i="318" s="1"/>
  <c r="AB25" i="283"/>
  <c r="Y23" i="283"/>
  <c r="AM11" i="295"/>
  <c r="AM15" i="295" s="1"/>
  <c r="AF20" i="295"/>
  <c r="L184" i="315"/>
  <c r="I183" i="315"/>
  <c r="AT32" i="289"/>
  <c r="AX28" i="289"/>
  <c r="AX30" i="295"/>
  <c r="Y28" i="283"/>
  <c r="AB28" i="283"/>
  <c r="O128" i="315"/>
  <c r="AR9" i="288"/>
  <c r="AG18" i="288"/>
  <c r="I85" i="315"/>
  <c r="L86" i="315"/>
  <c r="AL30" i="323"/>
  <c r="AS30" i="323" s="1"/>
  <c r="Y10" i="285"/>
  <c r="Y17" i="285" s="1"/>
  <c r="W17" i="285"/>
  <c r="AX23" i="283"/>
  <c r="X17" i="283"/>
  <c r="AB27" i="283"/>
  <c r="Y27" i="283"/>
  <c r="AH24" i="288"/>
  <c r="AS22" i="295"/>
  <c r="AS27" i="295" s="1"/>
  <c r="AS14" i="295"/>
  <c r="AH18" i="283"/>
  <c r="AS9" i="283"/>
  <c r="B66" i="315"/>
  <c r="B85" i="315"/>
  <c r="B76" i="315"/>
  <c r="B96" i="315"/>
  <c r="V29" i="284"/>
  <c r="X22" i="284"/>
  <c r="AH9" i="288"/>
  <c r="B18" i="288"/>
  <c r="AS14" i="285"/>
  <c r="AS22" i="285"/>
  <c r="AS27" i="285" s="1"/>
  <c r="AM22" i="282"/>
  <c r="AK24" i="282"/>
  <c r="AW30" i="323"/>
  <c r="BD30" i="323" s="1"/>
  <c r="AQ29" i="283"/>
  <c r="AQ19" i="283"/>
  <c r="AX16" i="283"/>
  <c r="AC20" i="323"/>
  <c r="R48" i="308"/>
  <c r="J49" i="308"/>
  <c r="R49" i="308" s="1"/>
  <c r="R61" i="308" s="1"/>
  <c r="G51" i="308"/>
  <c r="AC26" i="284"/>
  <c r="Z24" i="284"/>
  <c r="L138" i="315"/>
  <c r="O138" i="315" s="1"/>
  <c r="I134" i="315"/>
  <c r="I124" i="315" s="1"/>
  <c r="AS29" i="289"/>
  <c r="AX16" i="289"/>
  <c r="AX19" i="289" s="1"/>
  <c r="L165" i="315"/>
  <c r="O165" i="315" s="1"/>
  <c r="I163" i="315"/>
  <c r="M99" i="318"/>
  <c r="P99" i="318" s="1"/>
  <c r="M100" i="318"/>
  <c r="P100" i="318" s="1"/>
  <c r="AX31" i="285"/>
  <c r="B21" i="283"/>
  <c r="AI9" i="283"/>
  <c r="AQ14" i="285"/>
  <c r="AQ22" i="285"/>
  <c r="AQ27" i="285" s="1"/>
  <c r="M109" i="318"/>
  <c r="P109" i="318" s="1"/>
  <c r="AW26" i="308"/>
  <c r="AR25" i="288"/>
  <c r="AX23" i="288"/>
  <c r="P47" i="288"/>
  <c r="AX24" i="289"/>
  <c r="AX24" i="288"/>
  <c r="AB25" i="288"/>
  <c r="Y26" i="288"/>
  <c r="I18" i="315"/>
  <c r="AM21" i="295"/>
  <c r="AB26" i="295"/>
  <c r="Y24" i="295"/>
  <c r="O60" i="284"/>
  <c r="P98" i="284"/>
  <c r="S98" i="284" s="1"/>
  <c r="G60" i="285"/>
  <c r="AN22" i="284"/>
  <c r="AG24" i="284"/>
  <c r="X17" i="284"/>
  <c r="Z10" i="284"/>
  <c r="Z17" i="284" s="1"/>
  <c r="J39" i="318"/>
  <c r="AA10" i="323"/>
  <c r="L194" i="315"/>
  <c r="O194" i="315" s="1"/>
  <c r="I192" i="315"/>
  <c r="I172" i="315"/>
  <c r="L174" i="315"/>
  <c r="O174" i="315" s="1"/>
  <c r="AR32" i="289"/>
  <c r="AQ25" i="289"/>
  <c r="AX23" i="289"/>
  <c r="AL9" i="284"/>
  <c r="B27" i="284"/>
  <c r="AW17" i="308"/>
  <c r="AM21" i="282"/>
  <c r="R99" i="285"/>
  <c r="AK15" i="283"/>
  <c r="AM10" i="283"/>
  <c r="AK19" i="283"/>
  <c r="AK24" i="283" s="1"/>
  <c r="AQ19" i="295"/>
  <c r="AQ28" i="295"/>
  <c r="AX15" i="295"/>
  <c r="AX19" i="295" s="1"/>
  <c r="AX30" i="285"/>
  <c r="AB25" i="285"/>
  <c r="Y23" i="285"/>
  <c r="Y29" i="285" s="1"/>
  <c r="Y23" i="289"/>
  <c r="AB25" i="289"/>
  <c r="AV19" i="283"/>
  <c r="AV28" i="283"/>
  <c r="AV32" i="283" s="1"/>
  <c r="AX15" i="283"/>
  <c r="AT14" i="295"/>
  <c r="AT22" i="295"/>
  <c r="AT27" i="295" s="1"/>
  <c r="G60" i="283"/>
  <c r="I27" i="315"/>
  <c r="L28" i="315"/>
  <c r="O60" i="289"/>
  <c r="R47" i="289"/>
  <c r="R60" i="289" s="1"/>
  <c r="P98" i="289"/>
  <c r="R98" i="289" s="1"/>
  <c r="R99" i="289" s="1"/>
  <c r="AX12" i="295"/>
  <c r="AG24" i="283"/>
  <c r="AK18" i="284"/>
  <c r="AV9" i="284"/>
  <c r="AL9" i="285"/>
  <c r="J5" i="285"/>
  <c r="AM15" i="285"/>
  <c r="P47" i="283"/>
  <c r="R78" i="283"/>
  <c r="X17" i="295"/>
  <c r="AX24" i="283"/>
  <c r="AQ25" i="283"/>
  <c r="Y23" i="295"/>
  <c r="AB25" i="295"/>
  <c r="AU32" i="289"/>
  <c r="J11" i="318"/>
  <c r="M12" i="318"/>
  <c r="AC27" i="284"/>
  <c r="Z27" i="284"/>
  <c r="AE7" i="323"/>
  <c r="AW29" i="323"/>
  <c r="BD29" i="323" s="1"/>
  <c r="AB27" i="308"/>
  <c r="Y27" i="308"/>
  <c r="AY30" i="284"/>
  <c r="AY32" i="284" s="1"/>
  <c r="W25" i="308"/>
  <c r="V29" i="308"/>
  <c r="V31" i="308" s="1"/>
  <c r="V41" i="308" s="1"/>
  <c r="M21" i="318"/>
  <c r="J20" i="318"/>
  <c r="J10" i="318" s="1"/>
  <c r="M87" i="318"/>
  <c r="P87" i="318" s="1"/>
  <c r="AM20" i="289"/>
  <c r="P71" i="318"/>
  <c r="M68" i="318"/>
  <c r="P68" i="318" s="1"/>
  <c r="AH9" i="282"/>
  <c r="B18" i="282"/>
  <c r="W17" i="295"/>
  <c r="Y10" i="295"/>
  <c r="Y17" i="295" s="1"/>
  <c r="AY19" i="284"/>
  <c r="W17" i="289"/>
  <c r="Y10" i="289"/>
  <c r="Y17" i="289" s="1"/>
  <c r="AK18" i="285"/>
  <c r="AV9" i="285"/>
  <c r="AR32" i="283"/>
  <c r="AR14" i="284"/>
  <c r="AR22" i="284"/>
  <c r="AR27" i="284" s="1"/>
  <c r="V22" i="283"/>
  <c r="W10" i="283"/>
  <c r="V17" i="283"/>
  <c r="P47" i="295"/>
  <c r="V29" i="295"/>
  <c r="R47" i="282" l="1"/>
  <c r="R60" i="282" s="1"/>
  <c r="AM15" i="283"/>
  <c r="AC12" i="323"/>
  <c r="AE12" i="323" s="1"/>
  <c r="AA26" i="323"/>
  <c r="AC26" i="323" s="1"/>
  <c r="AX24" i="282"/>
  <c r="AX25" i="282" s="1"/>
  <c r="AA15" i="323"/>
  <c r="AB29" i="285"/>
  <c r="AN24" i="284"/>
  <c r="AB26" i="282"/>
  <c r="AB29" i="282" s="1"/>
  <c r="Y24" i="282"/>
  <c r="Y29" i="282" s="1"/>
  <c r="AB24" i="289"/>
  <c r="AB29" i="289" s="1"/>
  <c r="I8" i="315"/>
  <c r="AM24" i="282"/>
  <c r="AX32" i="288"/>
  <c r="AD11" i="323"/>
  <c r="AD15" i="323" s="1"/>
  <c r="W29" i="289"/>
  <c r="AA24" i="323"/>
  <c r="AC24" i="323" s="1"/>
  <c r="AH23" i="323" s="1"/>
  <c r="AR14" i="285"/>
  <c r="AR22" i="285"/>
  <c r="AR27" i="285" s="1"/>
  <c r="AX19" i="283"/>
  <c r="AC9" i="323"/>
  <c r="AE9" i="323" s="1"/>
  <c r="Y29" i="289"/>
  <c r="B24" i="289"/>
  <c r="AJ9" i="289"/>
  <c r="AI18" i="289"/>
  <c r="AT9" i="289"/>
  <c r="AX28" i="283"/>
  <c r="M10" i="318"/>
  <c r="P10" i="318" s="1"/>
  <c r="M11" i="318"/>
  <c r="P11" i="318" s="1"/>
  <c r="P12" i="318"/>
  <c r="B21" i="288"/>
  <c r="AI9" i="288"/>
  <c r="AS22" i="283"/>
  <c r="AS27" i="283" s="1"/>
  <c r="AS14" i="283"/>
  <c r="AX29" i="282"/>
  <c r="AX32" i="282" s="1"/>
  <c r="AT32" i="282"/>
  <c r="G60" i="284"/>
  <c r="P98" i="283"/>
  <c r="R98" i="283" s="1"/>
  <c r="R99" i="283" s="1"/>
  <c r="O60" i="283"/>
  <c r="R47" i="283"/>
  <c r="R60" i="283" s="1"/>
  <c r="AX29" i="289"/>
  <c r="AX32" i="289" s="1"/>
  <c r="AS32" i="289"/>
  <c r="AH24" i="284"/>
  <c r="AM20" i="295"/>
  <c r="AM24" i="295" s="1"/>
  <c r="AF24" i="295"/>
  <c r="AU9" i="295"/>
  <c r="AJ18" i="295"/>
  <c r="S99" i="284"/>
  <c r="AH26" i="323"/>
  <c r="AE26" i="323"/>
  <c r="AQ32" i="295"/>
  <c r="AX28" i="295"/>
  <c r="AX32" i="295" s="1"/>
  <c r="Z22" i="284"/>
  <c r="Z29" i="284" s="1"/>
  <c r="AC24" i="284"/>
  <c r="AC29" i="284" s="1"/>
  <c r="X29" i="284"/>
  <c r="AR14" i="288"/>
  <c r="AR22" i="288"/>
  <c r="AR27" i="288" s="1"/>
  <c r="I182" i="315"/>
  <c r="W29" i="288"/>
  <c r="AB24" i="288"/>
  <c r="AB29" i="288" s="1"/>
  <c r="Y22" i="288"/>
  <c r="Y29" i="288" s="1"/>
  <c r="AB24" i="295"/>
  <c r="AB29" i="295" s="1"/>
  <c r="Y22" i="295"/>
  <c r="Y29" i="295" s="1"/>
  <c r="W29" i="295"/>
  <c r="Y10" i="283"/>
  <c r="Y17" i="283" s="1"/>
  <c r="W17" i="283"/>
  <c r="P98" i="288"/>
  <c r="R98" i="288" s="1"/>
  <c r="R99" i="288" s="1"/>
  <c r="O60" i="288"/>
  <c r="R47" i="288"/>
  <c r="R60" i="288" s="1"/>
  <c r="B21" i="282"/>
  <c r="AI9" i="282"/>
  <c r="AS9" i="282"/>
  <c r="AH18" i="282"/>
  <c r="B27" i="295"/>
  <c r="AK9" i="295"/>
  <c r="AM9" i="284"/>
  <c r="J5" i="284"/>
  <c r="AM24" i="289"/>
  <c r="AV14" i="285"/>
  <c r="AV22" i="285"/>
  <c r="AV27" i="285" s="1"/>
  <c r="AL18" i="285"/>
  <c r="AW9" i="285"/>
  <c r="AL18" i="284"/>
  <c r="AW9" i="284"/>
  <c r="AR22" i="282"/>
  <c r="AR27" i="282" s="1"/>
  <c r="AR14" i="282"/>
  <c r="Y25" i="308"/>
  <c r="Y29" i="308" s="1"/>
  <c r="AX25" i="289"/>
  <c r="S47" i="284"/>
  <c r="S60" i="284" s="1"/>
  <c r="B114" i="315"/>
  <c r="B95" i="315"/>
  <c r="B105" i="315"/>
  <c r="B125" i="315"/>
  <c r="L124" i="315"/>
  <c r="O124" i="315" s="1"/>
  <c r="AQ32" i="288"/>
  <c r="AB24" i="308"/>
  <c r="AB29" i="308" s="1"/>
  <c r="L56" i="315"/>
  <c r="O56" i="315" s="1"/>
  <c r="O57" i="315"/>
  <c r="AX24" i="295"/>
  <c r="AX25" i="295" s="1"/>
  <c r="AQ25" i="295"/>
  <c r="I153" i="315"/>
  <c r="AH18" i="288"/>
  <c r="AS9" i="288"/>
  <c r="AM22" i="288"/>
  <c r="AM24" i="288" s="1"/>
  <c r="AF24" i="288"/>
  <c r="L9" i="315"/>
  <c r="O9" i="315" s="1"/>
  <c r="O10" i="315"/>
  <c r="L8" i="315"/>
  <c r="O8" i="315" s="1"/>
  <c r="P21" i="318"/>
  <c r="M20" i="318"/>
  <c r="P20" i="318" s="1"/>
  <c r="AE20" i="323"/>
  <c r="L183" i="315"/>
  <c r="O183" i="315" s="1"/>
  <c r="O184" i="315"/>
  <c r="L182" i="315"/>
  <c r="O182" i="315" s="1"/>
  <c r="O28" i="315"/>
  <c r="L27" i="315"/>
  <c r="O27" i="315" s="1"/>
  <c r="AX25" i="288"/>
  <c r="AW32" i="285"/>
  <c r="AX28" i="285"/>
  <c r="AX32" i="285" s="1"/>
  <c r="AS25" i="284"/>
  <c r="AY24" i="284"/>
  <c r="AY25" i="284" s="1"/>
  <c r="AM21" i="283"/>
  <c r="AF24" i="283"/>
  <c r="I37" i="315"/>
  <c r="B167" i="318"/>
  <c r="B187" i="318"/>
  <c r="B157" i="318"/>
  <c r="B176" i="318"/>
  <c r="AM24" i="285"/>
  <c r="O155" i="315"/>
  <c r="L154" i="315"/>
  <c r="O154" i="315" s="1"/>
  <c r="L153" i="315"/>
  <c r="O153" i="315" s="1"/>
  <c r="I66" i="315"/>
  <c r="AV14" i="284"/>
  <c r="AV22" i="284"/>
  <c r="AV27" i="284" s="1"/>
  <c r="AI18" i="283"/>
  <c r="AT9" i="283"/>
  <c r="AX29" i="283"/>
  <c r="AX32" i="283" s="1"/>
  <c r="AQ32" i="283"/>
  <c r="AE25" i="323"/>
  <c r="AH25" i="323"/>
  <c r="B24" i="283"/>
  <c r="AJ9" i="283"/>
  <c r="W22" i="283"/>
  <c r="V29" i="283"/>
  <c r="Y17" i="288"/>
  <c r="AM19" i="283"/>
  <c r="O86" i="315"/>
  <c r="L85" i="315"/>
  <c r="O85" i="315" s="1"/>
  <c r="O60" i="295"/>
  <c r="P98" i="295"/>
  <c r="R98" i="295" s="1"/>
  <c r="R99" i="295" s="1"/>
  <c r="R47" i="295"/>
  <c r="R60" i="295" s="1"/>
  <c r="AX25" i="283"/>
  <c r="AC10" i="323"/>
  <c r="AA23" i="323"/>
  <c r="W29" i="308"/>
  <c r="W31" i="308" s="1"/>
  <c r="W41" i="308" s="1"/>
  <c r="L76" i="315"/>
  <c r="O76" i="315" s="1"/>
  <c r="O39" i="315"/>
  <c r="L37" i="315"/>
  <c r="O37" i="315" s="1"/>
  <c r="L38" i="315"/>
  <c r="O38" i="315" s="1"/>
  <c r="AE22" i="323"/>
  <c r="AH24" i="323"/>
  <c r="L67" i="315"/>
  <c r="O67" i="315" s="1"/>
  <c r="L66" i="315"/>
  <c r="O66" i="315" s="1"/>
  <c r="O68" i="315"/>
  <c r="AE24" i="323" l="1"/>
  <c r="AE15" i="323"/>
  <c r="AC15" i="323"/>
  <c r="AM24" i="283"/>
  <c r="AT22" i="289"/>
  <c r="AT27" i="289" s="1"/>
  <c r="AT14" i="289"/>
  <c r="AJ18" i="289"/>
  <c r="AU9" i="289"/>
  <c r="AK9" i="289"/>
  <c r="B27" i="289"/>
  <c r="AS14" i="288"/>
  <c r="AS22" i="288"/>
  <c r="AS27" i="288" s="1"/>
  <c r="B134" i="315"/>
  <c r="B154" i="315"/>
  <c r="B124" i="315"/>
  <c r="B143" i="315"/>
  <c r="AC23" i="323"/>
  <c r="AA27" i="323"/>
  <c r="AJ18" i="283"/>
  <c r="AU9" i="283"/>
  <c r="AU22" i="295"/>
  <c r="AU27" i="295" s="1"/>
  <c r="AU14" i="295"/>
  <c r="AS22" i="282"/>
  <c r="AS27" i="282" s="1"/>
  <c r="AS14" i="282"/>
  <c r="AA31" i="308"/>
  <c r="AA42" i="308" s="1"/>
  <c r="AI18" i="282"/>
  <c r="AT9" i="282"/>
  <c r="AW22" i="285"/>
  <c r="AW27" i="285" s="1"/>
  <c r="AW14" i="285"/>
  <c r="AV9" i="295"/>
  <c r="AK18" i="295"/>
  <c r="AL9" i="295"/>
  <c r="J5" i="295"/>
  <c r="AT9" i="288"/>
  <c r="AI18" i="288"/>
  <c r="AT14" i="283"/>
  <c r="AT22" i="283"/>
  <c r="AT27" i="283" s="1"/>
  <c r="AW22" i="284"/>
  <c r="AW27" i="284" s="1"/>
  <c r="AW14" i="284"/>
  <c r="B186" i="318"/>
  <c r="B205" i="318"/>
  <c r="B196" i="318"/>
  <c r="AK9" i="283"/>
  <c r="B27" i="283"/>
  <c r="AM18" i="284"/>
  <c r="AX9" i="284"/>
  <c r="B24" i="282"/>
  <c r="AJ9" i="282"/>
  <c r="Y22" i="283"/>
  <c r="Y29" i="283" s="1"/>
  <c r="W29" i="283"/>
  <c r="AB24" i="283"/>
  <c r="AB29" i="283" s="1"/>
  <c r="B24" i="288"/>
  <c r="AJ9" i="288"/>
  <c r="AV9" i="289" l="1"/>
  <c r="AK18" i="289"/>
  <c r="J5" i="289"/>
  <c r="AL9" i="289"/>
  <c r="AU14" i="289"/>
  <c r="AU22" i="289"/>
  <c r="AU27" i="289" s="1"/>
  <c r="AU9" i="288"/>
  <c r="AJ18" i="288"/>
  <c r="B27" i="288"/>
  <c r="AK9" i="288"/>
  <c r="AT22" i="288"/>
  <c r="AT27" i="288" s="1"/>
  <c r="AT14" i="288"/>
  <c r="AX14" i="284"/>
  <c r="AX22" i="284"/>
  <c r="AX27" i="284" s="1"/>
  <c r="AV9" i="283"/>
  <c r="AK18" i="283"/>
  <c r="AU22" i="283"/>
  <c r="AU27" i="283" s="1"/>
  <c r="AU14" i="283"/>
  <c r="B183" i="315"/>
  <c r="B163" i="315"/>
  <c r="B172" i="315"/>
  <c r="B153" i="315"/>
  <c r="B27" i="282"/>
  <c r="AK9" i="282"/>
  <c r="AT14" i="282"/>
  <c r="AT22" i="282"/>
  <c r="AT27" i="282" s="1"/>
  <c r="AV14" i="295"/>
  <c r="AV22" i="295"/>
  <c r="AV27" i="295" s="1"/>
  <c r="AE23" i="323"/>
  <c r="AE27" i="323" s="1"/>
  <c r="AH22" i="323"/>
  <c r="AH27" i="323" s="1"/>
  <c r="AC27" i="323"/>
  <c r="AL9" i="283"/>
  <c r="J5" i="283"/>
  <c r="AW9" i="295"/>
  <c r="AL18" i="295"/>
  <c r="AJ18" i="282"/>
  <c r="AU9" i="282"/>
  <c r="AW9" i="289" l="1"/>
  <c r="AL18" i="289"/>
  <c r="AV14" i="289"/>
  <c r="AV22" i="289"/>
  <c r="AV27" i="289" s="1"/>
  <c r="AU22" i="282"/>
  <c r="AU27" i="282" s="1"/>
  <c r="AU14" i="282"/>
  <c r="AK18" i="288"/>
  <c r="AV9" i="288"/>
  <c r="AK18" i="282"/>
  <c r="AV9" i="282"/>
  <c r="B192" i="315"/>
  <c r="B201" i="315"/>
  <c r="B182" i="315"/>
  <c r="J5" i="288"/>
  <c r="AL9" i="288"/>
  <c r="AL18" i="283"/>
  <c r="AW9" i="283"/>
  <c r="AW14" i="295"/>
  <c r="AW22" i="295"/>
  <c r="AW27" i="295" s="1"/>
  <c r="AV14" i="283"/>
  <c r="AV22" i="283"/>
  <c r="AV27" i="283" s="1"/>
  <c r="AU14" i="288"/>
  <c r="AU22" i="288"/>
  <c r="AU27" i="288" s="1"/>
  <c r="AL9" i="282"/>
  <c r="J5" i="282"/>
  <c r="AW14" i="289" l="1"/>
  <c r="AW22" i="289"/>
  <c r="AW27" i="289" s="1"/>
  <c r="AV22" i="282"/>
  <c r="AV27" i="282" s="1"/>
  <c r="AV14" i="282"/>
  <c r="AV22" i="288"/>
  <c r="AV27" i="288" s="1"/>
  <c r="AV14" i="288"/>
  <c r="AW9" i="282"/>
  <c r="AL18" i="282"/>
  <c r="AW14" i="283"/>
  <c r="AW22" i="283"/>
  <c r="AW27" i="283" s="1"/>
  <c r="AW9" i="288"/>
  <c r="AL18" i="288"/>
  <c r="AW14" i="288" l="1"/>
  <c r="AW22" i="288"/>
  <c r="AW27" i="288" s="1"/>
  <c r="AW22" i="282"/>
  <c r="AW27" i="282" s="1"/>
  <c r="AW14" i="282"/>
  <c r="R28" i="349" l="1"/>
  <c r="R32" i="349" s="1"/>
  <c r="S32" i="349" s="1"/>
  <c r="T32" i="349" s="1"/>
  <c r="U32" i="349" s="1"/>
  <c r="V32" i="349" s="1"/>
  <c r="W32" i="349" s="1"/>
  <c r="X32" i="349" s="1"/>
  <c r="Y32" i="349" s="1"/>
  <c r="Z32" i="349" s="1"/>
  <c r="AA32" i="349" s="1"/>
  <c r="AB32" i="349" s="1"/>
  <c r="AC32" i="349" s="1"/>
  <c r="Q4" i="349" s="1"/>
  <c r="Q3" i="3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3AE30D58-C280-4573-ADE3-AB8BA488E661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1F01BA1C-0DD5-4DDC-A779-C93A0DA1D345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C4B45880-CFD6-4611-9766-EF9133DB9BC0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F3677045-0B39-4AD1-A112-FB788D2A1FE3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97D68187-6CEA-4C70-BF9B-5AAC6DABB355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31215288-C08A-424F-A2E7-5BC6996E35D4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361980B7-DE48-4452-8FDD-F0C1CF127A6D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EA65F065-48FF-41E6-84E5-2480184BB421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08D3492E-8E9D-4EAA-847F-3CC93229063B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A8DCA3D5-5DAD-44BE-8111-D4ECF3D4BC20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01EF1D18-EAC3-4257-A4C7-89D6BC3DE23C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CB839BC2-BA93-4B9E-820D-23B450F0A90A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 Eduardo Tam Amaya</author>
  </authors>
  <commentList>
    <comment ref="M49" authorId="0" shapeId="0" xr:uid="{EB87F06C-F08F-4102-B4D2-A5353F780046}">
      <text>
        <r>
          <rPr>
            <b/>
            <sz val="9"/>
            <color indexed="81"/>
            <rFont val="Tahoma"/>
            <family val="2"/>
          </rPr>
          <t>2 TURNOS DE MTTO POR DEMANDA</t>
        </r>
      </text>
    </comment>
    <comment ref="O49" authorId="0" shapeId="0" xr:uid="{8B105D39-E820-42AA-B7AD-C23D8AB4CFC2}">
      <text>
        <r>
          <rPr>
            <b/>
            <sz val="9"/>
            <color indexed="81"/>
            <rFont val="Tahoma"/>
            <family val="2"/>
          </rPr>
          <t xml:space="preserve">12 HRS POR CAMBIO DE FORMATO (DEMANDA)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Patricio Lincango Pillalaza</author>
  </authors>
  <commentList>
    <comment ref="T9" authorId="0" shapeId="0" xr:uid="{9B9F4F49-E315-475C-BEDA-5A89DC3C4BE5}">
      <text>
        <r>
          <rPr>
            <b/>
            <sz val="9"/>
            <color indexed="81"/>
            <rFont val="Tahoma"/>
            <family val="2"/>
          </rPr>
          <t>VA AL TR</t>
        </r>
      </text>
    </comment>
    <comment ref="V9" authorId="0" shapeId="0" xr:uid="{954428F2-10B9-4C6D-A89C-08525B7C23E7}">
      <text>
        <r>
          <rPr>
            <b/>
            <sz val="9"/>
            <color indexed="81"/>
            <rFont val="Tahoma"/>
            <family val="2"/>
          </rPr>
          <t>#HH Y2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Patricio Lincango Pillalaza</author>
  </authors>
  <commentList>
    <comment ref="K5" authorId="0" shapeId="0" xr:uid="{BDD4525B-E63F-4EEC-B296-14135EAF32C0}">
      <text>
        <r>
          <rPr>
            <b/>
            <sz val="9"/>
            <color indexed="81"/>
            <rFont val="Tahoma"/>
            <family val="2"/>
          </rPr>
          <t xml:space="preserve">Para igualar a progracion L1 deberia programar L3 con 34200 cajas.
Al 100% esta L3 puede ser programada hast 37500 cajas
</t>
        </r>
      </text>
    </comment>
    <comment ref="S7" authorId="0" shapeId="0" xr:uid="{51FD5868-4857-4133-8D70-96409DE8AC33}">
      <text>
        <r>
          <rPr>
            <b/>
            <sz val="9"/>
            <color indexed="81"/>
            <rFont val="Tahoma"/>
            <family val="2"/>
          </rPr>
          <t>VA AL TR</t>
        </r>
      </text>
    </comment>
    <comment ref="U7" authorId="0" shapeId="0" xr:uid="{DF4E9D69-F920-47D7-A326-8516EEF151DD}">
      <text>
        <r>
          <rPr>
            <b/>
            <sz val="9"/>
            <color indexed="81"/>
            <rFont val="Tahoma"/>
            <family val="2"/>
          </rPr>
          <t>#HH Y2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tc={FBA6AB61-B5FA-4EAB-ACE5-C3C24FCFFB41}</author>
    <author>tc={1115DCC1-0F55-4293-9827-870BCB7708FE}</author>
    <author>tc={6065CF84-1E99-44AF-940D-C1F2F367546E}</author>
  </authors>
  <commentList>
    <comment ref="E10" authorId="0" shapeId="0" xr:uid="{FBA6AB61-B5FA-4EAB-ACE5-C3C24FCFFB41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14616</t>
        </r>
      </text>
    </comment>
    <comment ref="E11" authorId="1" shapeId="0" xr:uid="{1115DCC1-0F55-4293-9827-870BCB7708FE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18312</t>
        </r>
      </text>
    </comment>
    <comment ref="E21" authorId="2" shapeId="0" xr:uid="{6065CF84-1E99-44AF-940D-C1F2F367546E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6096</t>
        </r>
      </text>
    </comment>
  </commentList>
</comments>
</file>

<file path=xl/sharedStrings.xml><?xml version="1.0" encoding="utf-8"?>
<sst xmlns="http://schemas.openxmlformats.org/spreadsheetml/2006/main" count="3447" uniqueCount="514">
  <si>
    <t>PROGRAMA DE ENVASADO (CAJAS)</t>
  </si>
  <si>
    <t>SEMANA</t>
  </si>
  <si>
    <t>DIA</t>
  </si>
  <si>
    <t>T</t>
  </si>
  <si>
    <t>LINEA 1</t>
  </si>
  <si>
    <t>LINEA 3</t>
  </si>
  <si>
    <t>CAJAS</t>
  </si>
  <si>
    <t>COD</t>
  </si>
  <si>
    <t>DESCRIP.</t>
  </si>
  <si>
    <t>L1</t>
  </si>
  <si>
    <t>1</t>
  </si>
  <si>
    <t>CR650RT</t>
  </si>
  <si>
    <t>L1 CA</t>
  </si>
  <si>
    <t>L3 CA</t>
  </si>
  <si>
    <t>TOTAL CA PROG</t>
  </si>
  <si>
    <t>TOTAL REALES</t>
  </si>
  <si>
    <t>DIFERENCIA VS PRG INICIAL</t>
  </si>
  <si>
    <t>Total (ca)</t>
  </si>
  <si>
    <t>LUN</t>
  </si>
  <si>
    <t>2</t>
  </si>
  <si>
    <t>3</t>
  </si>
  <si>
    <t>CT620RT-TEL</t>
  </si>
  <si>
    <t>PT620RT</t>
  </si>
  <si>
    <t>PC630RT</t>
  </si>
  <si>
    <t>MAR</t>
  </si>
  <si>
    <t>CR1000RT</t>
  </si>
  <si>
    <t>CB620RT-TEL</t>
  </si>
  <si>
    <t>L3</t>
  </si>
  <si>
    <t>PT1000RT12X1</t>
  </si>
  <si>
    <t>CM620RT-TEL</t>
  </si>
  <si>
    <t>Mantto</t>
  </si>
  <si>
    <t>MIE</t>
  </si>
  <si>
    <t>TOTAL CA</t>
  </si>
  <si>
    <t>HL</t>
  </si>
  <si>
    <t>Total (HL)</t>
  </si>
  <si>
    <t>JUE</t>
  </si>
  <si>
    <t>HECTOLITROS</t>
  </si>
  <si>
    <t>L1 HL</t>
  </si>
  <si>
    <t>L3 HL</t>
  </si>
  <si>
    <t>TOTAL HL</t>
  </si>
  <si>
    <t>INICIAL</t>
  </si>
  <si>
    <t>Dif</t>
  </si>
  <si>
    <t>VIE</t>
  </si>
  <si>
    <t>LÍQUIDO</t>
  </si>
  <si>
    <t>CR</t>
  </si>
  <si>
    <t>SAB</t>
  </si>
  <si>
    <t>PT</t>
  </si>
  <si>
    <t>PC</t>
  </si>
  <si>
    <t>CD</t>
  </si>
  <si>
    <t>DOM</t>
  </si>
  <si>
    <t>CN</t>
  </si>
  <si>
    <t>TOTAL</t>
  </si>
  <si>
    <t>TOTAL CORRIDA</t>
  </si>
  <si>
    <t>ACUMULADO REAL</t>
  </si>
  <si>
    <t>FALTA</t>
  </si>
  <si>
    <t>NABS</t>
  </si>
  <si>
    <t>UN/HR</t>
  </si>
  <si>
    <t>EPT</t>
  </si>
  <si>
    <t>REAL+PRY</t>
  </si>
  <si>
    <t>NOM</t>
  </si>
  <si>
    <t>EPT EBC</t>
  </si>
  <si>
    <t>ST</t>
  </si>
  <si>
    <t>HRS</t>
  </si>
  <si>
    <t>TURNOS</t>
  </si>
  <si>
    <t>GLY BEER</t>
  </si>
  <si>
    <t>GLY L1</t>
  </si>
  <si>
    <t>GLY L3</t>
  </si>
  <si>
    <t>NST</t>
  </si>
  <si>
    <t>DEMANDA</t>
  </si>
  <si>
    <t>FALTA DE PERSONAL (TRANSPORTE)</t>
  </si>
  <si>
    <t>OTROS - CORTE DE ENERGÍA</t>
  </si>
  <si>
    <t>PROYEC</t>
  </si>
  <si>
    <t>GU2.0</t>
  </si>
  <si>
    <t>GU1.0</t>
  </si>
  <si>
    <t>GU450</t>
  </si>
  <si>
    <t>BOTELLAS</t>
  </si>
  <si>
    <t> </t>
  </si>
  <si>
    <t>mantto</t>
  </si>
  <si>
    <t>|</t>
  </si>
  <si>
    <t>MIER</t>
  </si>
  <si>
    <t>19</t>
  </si>
  <si>
    <t>NST DEMANDA</t>
  </si>
  <si>
    <t>17</t>
  </si>
  <si>
    <t>Total</t>
  </si>
  <si>
    <t>SUITE</t>
  </si>
  <si>
    <t>ENTREGA</t>
  </si>
  <si>
    <t>REAL</t>
  </si>
  <si>
    <t>diferencia:</t>
  </si>
  <si>
    <t>9.71%</t>
  </si>
  <si>
    <t>HORA</t>
  </si>
  <si>
    <t>HL ENVASADOS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</si>
  <si>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</si>
  <si>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</si>
  <si>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</si>
  <si>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</si>
  <si>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</si>
  <si>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</si>
  <si>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</si>
  <si>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</si>
  <si>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TOTAL HL TURNO</t>
  </si>
  <si>
    <t>ACUMULADO TURNO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</si>
  <si>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</si>
  <si>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</si>
  <si>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</si>
  <si>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</si>
  <si>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</si>
  <si>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</si>
  <si>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</si>
  <si>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</si>
  <si>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</si>
  <si>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00:00-01:00</t>
  </si>
  <si>
    <t>01:00-02:00</t>
  </si>
  <si>
    <t>02:00-03:00</t>
  </si>
  <si>
    <t>03:00:04:00</t>
  </si>
  <si>
    <t>04:00-05:00</t>
  </si>
  <si>
    <t>05:00-06:00</t>
  </si>
  <si>
    <t>06:00-07:00</t>
  </si>
  <si>
    <t>07:00-08:01</t>
  </si>
  <si>
    <t>08:00-09:01</t>
  </si>
  <si>
    <t>09:00-10:01</t>
  </si>
  <si>
    <t>10:00-11:01</t>
  </si>
  <si>
    <t>11:00-12:01</t>
  </si>
  <si>
    <t>12:00-13:01</t>
  </si>
  <si>
    <t>13:00-14:01</t>
  </si>
  <si>
    <t>14:00-15:01</t>
  </si>
  <si>
    <t>15:00-16:01</t>
  </si>
  <si>
    <t>16:00-17:01</t>
  </si>
  <si>
    <t>17:00-18:01</t>
  </si>
  <si>
    <t>18:00-19:01</t>
  </si>
  <si>
    <t>19:00-20:01</t>
  </si>
  <si>
    <t>20:00-21:01</t>
  </si>
  <si>
    <t>21:00-22:01</t>
  </si>
  <si>
    <t>22:00-23:01</t>
  </si>
  <si>
    <t>23:00-00:01</t>
  </si>
  <si>
    <t>00:00-01:01</t>
  </si>
  <si>
    <t>01:00-02:01</t>
  </si>
  <si>
    <t>02:00-03:01</t>
  </si>
  <si>
    <t>03:00:04:01</t>
  </si>
  <si>
    <t>04:00-05:01</t>
  </si>
  <si>
    <t>05:00-06:01</t>
  </si>
  <si>
    <t>06:00-07:01</t>
  </si>
  <si>
    <t>15:00-16:02</t>
  </si>
  <si>
    <t>16:00-17:02</t>
  </si>
  <si>
    <t>17:00-18:02</t>
  </si>
  <si>
    <t>18:00-19:02</t>
  </si>
  <si>
    <t>19:00-20:02</t>
  </si>
  <si>
    <t>20:00-21:02</t>
  </si>
  <si>
    <t>21:00-22:02</t>
  </si>
  <si>
    <t>22:00-23:02</t>
  </si>
  <si>
    <t>23:00-00:02</t>
  </si>
  <si>
    <t>00:00-01:02</t>
  </si>
  <si>
    <t>01:00-02:02</t>
  </si>
  <si>
    <t>02:00-03:02</t>
  </si>
  <si>
    <t>03:00:04:02</t>
  </si>
  <si>
    <t>04:00-05:02</t>
  </si>
  <si>
    <t>05:00-06:02</t>
  </si>
  <si>
    <t>06:00-07:02</t>
  </si>
  <si>
    <t>15:00-16:03</t>
  </si>
  <si>
    <t>16:00-17:03</t>
  </si>
  <si>
    <t>17:00-18:03</t>
  </si>
  <si>
    <t>18:00-19:03</t>
  </si>
  <si>
    <t>19:00-20:03</t>
  </si>
  <si>
    <t>20:00-21:03</t>
  </si>
  <si>
    <t>21:00-22:03</t>
  </si>
  <si>
    <t>22:00-23:03</t>
  </si>
  <si>
    <t>23:00-00:03</t>
  </si>
  <si>
    <t>00:00-01:03</t>
  </si>
  <si>
    <t>01:00-02:03</t>
  </si>
  <si>
    <t>02:00-03:03</t>
  </si>
  <si>
    <t>03:00:04:03</t>
  </si>
  <si>
    <t>04:00-05:03</t>
  </si>
  <si>
    <t>05:00-06:03</t>
  </si>
  <si>
    <t>06:00-07:03</t>
  </si>
  <si>
    <t>07:00-08:04</t>
  </si>
  <si>
    <t>09:00-10:0</t>
  </si>
  <si>
    <t>15:00-16:04</t>
  </si>
  <si>
    <t>16:00-17:04</t>
  </si>
  <si>
    <t>17:00-18:04</t>
  </si>
  <si>
    <t>18:00-19:04</t>
  </si>
  <si>
    <t>19:00-20:04</t>
  </si>
  <si>
    <t>20:00-21:04</t>
  </si>
  <si>
    <t>21:00-22:04</t>
  </si>
  <si>
    <t>22:00-23:04</t>
  </si>
  <si>
    <t>MOT</t>
  </si>
  <si>
    <t>LINEA</t>
  </si>
  <si>
    <t>NOMINAL</t>
  </si>
  <si>
    <t>SKU</t>
  </si>
  <si>
    <t>Hl/Hr</t>
  </si>
  <si>
    <t>Hr prog</t>
  </si>
  <si>
    <t>Caj prog</t>
  </si>
  <si>
    <t>SEM</t>
  </si>
  <si>
    <t>Hora fin</t>
  </si>
  <si>
    <t>UNIDADES</t>
  </si>
  <si>
    <t>Hl/T</t>
  </si>
  <si>
    <t>Hrs/T</t>
  </si>
  <si>
    <t>Ini</t>
  </si>
  <si>
    <t>Prog. Hl/Hr</t>
  </si>
  <si>
    <t>REAL (Hl)</t>
  </si>
  <si>
    <t>QUE PASO?</t>
  </si>
  <si>
    <t>PLAN DE REACCION</t>
  </si>
  <si>
    <t>PRIORIDAD</t>
  </si>
  <si>
    <t>Y2 AFECTACION &gt; 10 min</t>
  </si>
  <si>
    <t>CATEGORIA</t>
  </si>
  <si>
    <t>SUB CATEGORIA</t>
  </si>
  <si>
    <t>ACCION TECNICA A EJECUTAR</t>
  </si>
  <si>
    <t>RESP. (N. Apellido)</t>
  </si>
  <si>
    <t>FECHA</t>
  </si>
  <si>
    <t>ESTATUS</t>
  </si>
  <si>
    <t>T1</t>
  </si>
  <si>
    <t>TRB, traba en mesa de carga LVB</t>
  </si>
  <si>
    <t>T2</t>
  </si>
  <si>
    <t>T3</t>
  </si>
  <si>
    <t>LVB, mesa de carga traba botellas</t>
  </si>
  <si>
    <t>Ingreso bot con Sobrepresión</t>
  </si>
  <si>
    <t>FP, retraso de bus
DCBL, Alto rechazo bot con cemento, scuffing, deterioro</t>
  </si>
  <si>
    <r>
      <rPr>
        <sz val="8"/>
        <color rgb="FFFF0000"/>
        <rFont val="Calibri"/>
        <family val="2"/>
        <scheme val="minor"/>
      </rPr>
      <t>TRC</t>
    </r>
    <r>
      <rPr>
        <sz val="8"/>
        <color theme="1"/>
        <rFont val="Calibri"/>
        <family val="2"/>
        <scheme val="minor"/>
      </rPr>
      <t>, cajas giradas salida checkmat hacia pale</t>
    </r>
  </si>
  <si>
    <t>COP 24 Hrs
PALE, falla piston, se trabaj cajas, mal agarre de cabezal y caida de producto</t>
  </si>
  <si>
    <r>
      <t xml:space="preserve">DCBL, depa palet mal apilado, se cae envase
</t>
    </r>
    <r>
      <rPr>
        <sz val="8"/>
        <color rgb="FFFF0000"/>
        <rFont val="Calibri"/>
        <family val="2"/>
        <scheme val="minor"/>
      </rPr>
      <t>TRB</t>
    </r>
    <r>
      <rPr>
        <sz val="8"/>
        <color theme="1"/>
        <rFont val="Calibri"/>
        <family val="2"/>
        <scheme val="minor"/>
      </rPr>
      <t xml:space="preserve"> traba bot salida de LLEN</t>
    </r>
  </si>
  <si>
    <r>
      <rPr>
        <sz val="8"/>
        <color rgb="FFFF0000"/>
        <rFont val="Calibri"/>
        <family val="2"/>
        <scheme val="minor"/>
      </rPr>
      <t>LVB,</t>
    </r>
    <r>
      <rPr>
        <sz val="8"/>
        <color theme="1"/>
        <rFont val="Calibri"/>
        <family val="2"/>
        <scheme val="minor"/>
      </rPr>
      <t xml:space="preserve"> bolsillos en mal estado, </t>
    </r>
    <r>
      <rPr>
        <sz val="8"/>
        <color rgb="FFFF0000"/>
        <rFont val="Calibri"/>
        <family val="2"/>
        <scheme val="minor"/>
      </rPr>
      <t>trabas en mesa de carga</t>
    </r>
    <r>
      <rPr>
        <sz val="8"/>
        <color theme="1"/>
        <rFont val="Calibri"/>
        <family val="2"/>
        <scheme val="minor"/>
      </rPr>
      <t xml:space="preserve">
ENCA, trabaj en bastidos caja volteada en mesa de formación
</t>
    </r>
    <r>
      <rPr>
        <sz val="8"/>
        <color rgb="FFFF0000"/>
        <rFont val="Calibri"/>
        <family val="2"/>
        <scheme val="minor"/>
      </rPr>
      <t>TRC</t>
    </r>
    <r>
      <rPr>
        <sz val="8"/>
        <color theme="1"/>
        <rFont val="Calibri"/>
        <family val="2"/>
        <scheme val="minor"/>
      </rPr>
      <t>, motor 6011 y 2338 acumulador de cajas a falla</t>
    </r>
  </si>
  <si>
    <t>Se corrige</t>
  </si>
  <si>
    <t>Codificador ETI30 a falla
Se accionó Pilz de seguridad (PE)</t>
  </si>
  <si>
    <t>LVB, botella caida en descarga, arrasntre de vidrio en carril</t>
  </si>
  <si>
    <r>
      <rPr>
        <sz val="8"/>
        <color rgb="FFFF0000"/>
        <rFont val="Calibri"/>
        <family val="2"/>
        <scheme val="minor"/>
      </rPr>
      <t>Tolva Tap, llenadora trabaja de tapas</t>
    </r>
    <r>
      <rPr>
        <sz val="8"/>
        <rFont val="Calibri"/>
        <family val="2"/>
        <scheme val="minor"/>
      </rPr>
      <t xml:space="preserve">
Operativo, tolva sobrellenada
pulsador de pantalla en manual
</t>
    </r>
    <r>
      <rPr>
        <sz val="8"/>
        <color rgb="FFFF0000"/>
        <rFont val="Calibri"/>
        <family val="2"/>
        <scheme val="minor"/>
      </rPr>
      <t>LVB, Bajo nivel de prerociado</t>
    </r>
  </si>
  <si>
    <r>
      <rPr>
        <sz val="8"/>
        <color rgb="FFFF0000"/>
        <rFont val="Calibri"/>
        <family val="2"/>
        <scheme val="minor"/>
      </rPr>
      <t>TRB</t>
    </r>
    <r>
      <rPr>
        <sz val="8"/>
        <rFont val="Calibri"/>
        <family val="2"/>
        <scheme val="minor"/>
      </rPr>
      <t xml:space="preserve">, falla enfiladores de etiquetadoras
</t>
    </r>
    <r>
      <rPr>
        <sz val="8"/>
        <color rgb="FFFF0000"/>
        <rFont val="Calibri"/>
        <family val="2"/>
        <scheme val="minor"/>
      </rPr>
      <t xml:space="preserve">Falla prueba de patrones </t>
    </r>
  </si>
  <si>
    <t>Se limpian patrones</t>
  </si>
  <si>
    <t>Parada x TRB rechazo EBI se encuentra demasiado lleno
Traba de bot con carton enfilador
DCBL,Traba de EBI bot otro formato</t>
  </si>
  <si>
    <t>Parada de EBI x etiquetasx arrastre etiquetas EBI traba bolsas en polin paleta</t>
  </si>
  <si>
    <r>
      <rPr>
        <sz val="8"/>
        <color rgb="FFFF0000"/>
        <rFont val="Calibri"/>
        <family val="2"/>
        <scheme val="minor"/>
      </rPr>
      <t xml:space="preserve">Llen, traba de tapas </t>
    </r>
    <r>
      <rPr>
        <sz val="8"/>
        <color theme="1"/>
        <rFont val="Calibri"/>
        <family val="2"/>
        <scheme val="minor"/>
      </rPr>
      <t xml:space="preserve">
</t>
    </r>
    <r>
      <rPr>
        <sz val="8"/>
        <color rgb="FFFF0000"/>
        <rFont val="Calibri"/>
        <family val="2"/>
        <scheme val="minor"/>
      </rPr>
      <t>LVB, bajo nivel de TQ pres roseado</t>
    </r>
  </si>
  <si>
    <r>
      <rPr>
        <sz val="8"/>
        <color rgb="FFFF0000"/>
        <rFont val="Calibri"/>
        <family val="2"/>
        <scheme val="minor"/>
      </rPr>
      <t>Traba de tapas</t>
    </r>
    <r>
      <rPr>
        <sz val="8"/>
        <color theme="1"/>
        <rFont val="Calibri"/>
        <family val="2"/>
        <scheme val="minor"/>
      </rPr>
      <t xml:space="preserve">
</t>
    </r>
    <r>
      <rPr>
        <sz val="8"/>
        <color rgb="FFFF0000"/>
        <rFont val="Calibri"/>
        <family val="2"/>
        <scheme val="minor"/>
      </rPr>
      <t>Falla patron regulaciones</t>
    </r>
  </si>
  <si>
    <t>TRB S2, trabamiento en rechazo</t>
  </si>
  <si>
    <t>LLEN, cambio corrector de nivel / val 18 y 36</t>
  </si>
  <si>
    <t>ENCA, falla piston /apertura y cierre cabezales
ENCA, regulación bastidor</t>
  </si>
  <si>
    <t>TRC, motor 310 se dispara VLT</t>
  </si>
  <si>
    <t>TRB, motor 106 descarrilamiento de cadena</t>
  </si>
  <si>
    <t>Desabastecimiento de cajas lado 1 ingreso paletizadora</t>
  </si>
  <si>
    <t>Trabas de cajas en volteador ingreso a lavadora</t>
  </si>
  <si>
    <t>Limpieza de cada 4/h</t>
  </si>
  <si>
    <t>Retraso del buz.
Corte de energía: se va a falla el sistema de seguridad de la desencajonadora, en falla los codificadores, IBV apagado.
Se encuentra salido el brazo del pantografo de la encajonadora</t>
  </si>
  <si>
    <t xml:space="preserve">Se resetea Sistema de seguridad de la desencajonadora 
Retrolavado a los codificadores
Se retira el rodaje en mal estado </t>
  </si>
  <si>
    <t>COP de cada 4 Hrs
Se encuentra salido el brazo del pantografo de la encajonadora.
Una cadena del motor 610 del TRB descarrilado.</t>
  </si>
  <si>
    <t>Se cambia el rodaje del bazo del pantografo.
Se encarrila la cadena y se cambia piñon Motriz del TRB 610
Reinicia operaciones la linea 17:50</t>
  </si>
  <si>
    <t xml:space="preserve">Traba de botellas en el enfilador del IBV
Acumulacion en la encajonadora </t>
  </si>
  <si>
    <t>Botella caida, se destraba
Regulacion en etiquetadora A, se pega una etiqueta en el cilindro de tranferencia</t>
  </si>
  <si>
    <t>Falta de botellas por fallas en el motor 205 TRC</t>
  </si>
  <si>
    <t xml:space="preserve">Se resetea VLT en el tablero </t>
  </si>
  <si>
    <t>Traba de botellas en el enfilador del IBV.
traba de tapas en el carril por presencia de carton 
Falta de botellas por cambio de polin en mesa de reparto (DEPA)</t>
  </si>
  <si>
    <t xml:space="preserve">Botella caida, se destraba
Se elimina carton 
Se cambia polin </t>
  </si>
  <si>
    <t>Traba de botellas en la descarga
Traba en la mesa de carga por botella caida
Fuga por prensaestopa del eje sumergido del TK2
COP de cada 4horas</t>
  </si>
  <si>
    <t>Presencia de vdrio en la descarga 
Ajuste de prensaestopa dejando lo minimo para lubricacion de eje</t>
  </si>
  <si>
    <t xml:space="preserve">Seguimiento a fuga de soda por el eje sumergido </t>
  </si>
  <si>
    <t>DESCARILAMIENTO DE CADENA TRB 106  ENTRADA LAVADORA DE BOTELLAS</t>
  </si>
  <si>
    <t xml:space="preserve">Limpieza del trb , Retirar botellas, colocar guia plastica y cadena </t>
  </si>
  <si>
    <r>
      <rPr>
        <sz val="8"/>
        <color rgb="FFFF0000"/>
        <rFont val="Arial"/>
        <family val="2"/>
      </rPr>
      <t>TRB</t>
    </r>
    <r>
      <rPr>
        <sz val="8"/>
        <rFont val="Arial"/>
        <family val="2"/>
      </rPr>
      <t xml:space="preserve">, DESCARRILAMIENTO DE CADENA DE </t>
    </r>
    <r>
      <rPr>
        <sz val="8"/>
        <color rgb="FFFF0000"/>
        <rFont val="Arial"/>
        <family val="2"/>
      </rPr>
      <t>MOTOR 106</t>
    </r>
    <r>
      <rPr>
        <sz val="8"/>
        <rFont val="Arial"/>
        <family val="2"/>
      </rPr>
      <t xml:space="preserve">  ENTRADA LAVADORA DE BOTELLAS</t>
    </r>
  </si>
  <si>
    <t xml:space="preserve">CADENA QUEDA TRABAJANDO COMO MESA HASTA QUE SE TENGA LISTO EL MATERIAL PARA CAMBIAR </t>
  </si>
  <si>
    <t xml:space="preserve">Queda Piñon Z25- 40 para cambiar </t>
  </si>
  <si>
    <r>
      <rPr>
        <sz val="8"/>
        <color rgb="FFFF0000"/>
        <rFont val="Arial"/>
        <family val="2"/>
      </rPr>
      <t>TRB</t>
    </r>
    <r>
      <rPr>
        <sz val="8"/>
        <rFont val="Arial"/>
        <family val="2"/>
      </rPr>
      <t xml:space="preserve">, S1 </t>
    </r>
    <r>
      <rPr>
        <sz val="8"/>
        <color rgb="FFFF0000"/>
        <rFont val="Arial"/>
        <family val="2"/>
      </rPr>
      <t>MOTOR106</t>
    </r>
    <r>
      <rPr>
        <sz val="8"/>
        <rFont val="Arial"/>
        <family val="2"/>
      </rPr>
      <t xml:space="preserve"> TRABAS EN ENFILADOR DETIENE LLENADORA PARA COLOCAR PIÑON </t>
    </r>
  </si>
  <si>
    <t>SE CORRIGIE Y SE CAMBIA DE PIÑON EN TRB P.106</t>
  </si>
  <si>
    <t>DEPA, FALLA  EN DEPA SE AJUNTAN PARIHUELAS, FALTA BOTELLAS
Mesa Carga LVB, TRBA DE BOTELLAS EN MESA DE CARGA</t>
  </si>
  <si>
    <t xml:space="preserve">SE REIVISA Y SE LIMPIA FOTOCELDAS </t>
  </si>
  <si>
    <t xml:space="preserve">Botellas caidas en el enfilador
falta botellas </t>
  </si>
  <si>
    <t>DESCARGA DE LAVB VOTA VIDRIO GENERANDO QUE LAS BOTELLAS CAIGAN EN EL ENFILADOR Y GENERE TRABAS CONSTANTES</t>
  </si>
  <si>
    <r>
      <rPr>
        <sz val="11"/>
        <color rgb="FFFF0000"/>
        <rFont val="Arial"/>
        <family val="2"/>
      </rPr>
      <t>TRB</t>
    </r>
    <r>
      <rPr>
        <sz val="11"/>
        <rFont val="Arial"/>
        <family val="2"/>
      </rPr>
      <t xml:space="preserve"> Ingreso llenadora, botellas caidas en el enfilador falta botellas</t>
    </r>
  </si>
  <si>
    <t>ETIQ, etiqueta cuerpo no esta jalando</t>
  </si>
  <si>
    <t>Operador regula maquina</t>
  </si>
  <si>
    <t xml:space="preserve">CORTE DE LINEA PARA CAMBIO DE FORMATO Y LIMPIEZA DE 52HRS. (6:10AM) </t>
  </si>
  <si>
    <t xml:space="preserve"> </t>
  </si>
  <si>
    <t>Limpieza de cada 52h + Cambio de formato</t>
  </si>
  <si>
    <t>Limpieza de cada 52h</t>
  </si>
  <si>
    <t>CIP Llenadora</t>
  </si>
  <si>
    <t>CIP llenadora</t>
  </si>
  <si>
    <t>Arranque de línea
TRC112 M1, no acciona motor en arranque</t>
  </si>
  <si>
    <t>se resetea en tablero</t>
  </si>
  <si>
    <t>LLEN, Falla bomba de vacío
CODI, Falla Codificador Eti B</t>
  </si>
  <si>
    <t>Revisión de nivel de agua en tanque
Alineación de cabezal</t>
  </si>
  <si>
    <t>TRB, caída de botellas salida descarga de lavadora de botellas</t>
  </si>
  <si>
    <t>Revisión de parámetros de lubricación en cerramiento junto a Ecolab</t>
  </si>
  <si>
    <t>limpieza COP</t>
  </si>
  <si>
    <t>Limpieza COP</t>
  </si>
  <si>
    <t>TRB101 M1, botellas caídas salida Encajonadora</t>
  </si>
  <si>
    <t>Revisión de guías TRB</t>
  </si>
  <si>
    <t xml:space="preserve">Retraso del bus (acumulación)
Traba de botella en el enfilador </t>
  </si>
  <si>
    <t>Bajas de nivel por rebose</t>
  </si>
  <si>
    <t>SE CAMBIA DISCO DE FRENO VALVULA  10,57,110,Y CORECTOR DE NIVEL 36,82</t>
  </si>
  <si>
    <t>LIMPIEZA DE cada 4/h 30 MINUTOS ,
TRABA EN ENFILADOR</t>
  </si>
  <si>
    <t>08</t>
  </si>
  <si>
    <t>QUE SE HIZO?</t>
  </si>
  <si>
    <t>TRP. Cadena desprendida en S1, bloqueo y reposición de seguro de cadena.
Corte de energia</t>
  </si>
  <si>
    <t>caida de tension</t>
  </si>
  <si>
    <t>ini</t>
  </si>
  <si>
    <t>se recorta cadena y se reanuda produccion 
corte de energia</t>
  </si>
  <si>
    <t>linea se encuentra detenida por corte de energia
retraso de bus (29 min de retraso por lluvias)</t>
  </si>
  <si>
    <t>Reinicio produccion 
Equilibrio termino de pasteurizador tunel - carga de UP
falla armario 6 botellas, panel se apago</t>
  </si>
  <si>
    <t>se reinician todos los tableros en falla
se reestablecen las bombas en falla de tunel
se reinicia calculo de grados UP</t>
  </si>
  <si>
    <t>falla armario 6 botellas, generado por lluvia
Continua equilibrio termico de tunel, se detiene produccion por bajo UP</t>
  </si>
  <si>
    <t>se resetea vlt en pasarela de armario 6
se resetea tablero de transporte de botellas
tunel bota el agua e ingresa agua para equilibrar los °UP generando bajo UP</t>
  </si>
  <si>
    <t>falla tunel exceso de temperatura en tanques 1 y 14
traba de botellas en mesa de carga</t>
  </si>
  <si>
    <t>electrovalvulas de purga de tunel en falla por caida de tension 
guias de mesa de carga se encuentran con exceso de desgaste</t>
  </si>
  <si>
    <t>guias de mesa de carga programados para senama santa
revision de programa tunel despues de caida de tension</t>
  </si>
  <si>
    <t xml:space="preserve">recalculo de up en tunel (toda la afectacion por caida de tension)
falla checkmat de llenadora, error de comunicacion y error de tension de primer ecopunch
</t>
  </si>
  <si>
    <t>se bloquea valvula de purga para que entre en equilibrio termico el calculo de UP (botaba agua en exceso e ingresaba la misma cantidad de agua)
se se resetea checkmat</t>
  </si>
  <si>
    <t xml:space="preserve">revisar programa en reinicio de tunel ante caida de tension
</t>
  </si>
  <si>
    <t>traba de cajas en TRC S1 
botella mal posicionanda en mesa de carga</t>
  </si>
  <si>
    <t>baranda en mal estado, se recorta
se levantan botellas y se continua produccion</t>
  </si>
  <si>
    <t xml:space="preserve">cambio de baranda programada para PCM de mañana 
</t>
  </si>
  <si>
    <t xml:space="preserve">Exceso de trabas en mesa de carga, se evidencia mayor descarge en guias de botellas 
</t>
  </si>
  <si>
    <t xml:space="preserve">se coloca un apoyo para levantar botellas </t>
  </si>
  <si>
    <t>RETRASO DE BUS
TRC S1: TRABA DE CAJAS EN BARANDA TRAMO MOTOR 2223M101</t>
  </si>
  <si>
    <t>SE REGULA BARANDA PERO TIENE EXCESIVO DESGASTE</t>
  </si>
  <si>
    <t>CAMBIAR BARANDA EN PCM S08</t>
  </si>
  <si>
    <r>
      <rPr>
        <sz val="8"/>
        <color rgb="FFFF0000"/>
        <rFont val="Calibri"/>
        <family val="2"/>
        <scheme val="minor"/>
      </rPr>
      <t>IBV</t>
    </r>
    <r>
      <rPr>
        <sz val="8"/>
        <color theme="1"/>
        <rFont val="Calibri"/>
        <family val="2"/>
        <scheme val="minor"/>
      </rPr>
      <t>: TEST BOTTLE NC EN PATRON 4 (VERIFICACION X5 VECES)
LAB: DESCARGA DE TANQUE PRE-ROCIADO DETENIDOS POR BAJO NIVEL 
LLEN: TRABA DE TAPAS EN CARRIL</t>
    </r>
  </si>
  <si>
    <t>IBV: LIMPIEZA DE VIDRIO DIFUSOR POR RECHAZO PATRON 4
LAB: MANGUERAS NEUMÁTICAS DE VALVULA TANQUE PRE-ROCIADO INVERTIDAS</t>
  </si>
  <si>
    <t>LAB: INSTALAR MALLA DE TANQUE PRE-ROCIADO (AGUA VA DIRECTO A DRENAJE)</t>
  </si>
  <si>
    <r>
      <t xml:space="preserve">EC-DCBL: TRABAS EN MESA DE CARGA POR BOTELLAS SIN FONDO
EC-DCBL: EXCESO RECHAZO IBV POR BOTELLAS CON PICO ROTO
</t>
    </r>
    <r>
      <rPr>
        <sz val="8"/>
        <color rgb="FFFF0000"/>
        <rFont val="Calibri"/>
        <family val="2"/>
        <scheme val="minor"/>
      </rPr>
      <t>IBV</t>
    </r>
    <r>
      <rPr>
        <sz val="8"/>
        <color theme="1"/>
        <rFont val="Calibri"/>
        <family val="2"/>
        <scheme val="minor"/>
      </rPr>
      <t xml:space="preserve">: TEST BOTTLE PRUEBA FALLIDA </t>
    </r>
  </si>
  <si>
    <t>SE SOLICITA CAMBIO DE LOTE DE ABASTECIMIENTO A L3</t>
  </si>
  <si>
    <t>EC-ECBL: TRP S1 traba en rodillo del transporte por parihuela en mal estado , tabla se encontraba salida de la parihuela ocacionando que sensores emitan falsa señal
EC-DCBL: PALE 2 parada por parihuela con tabla con denivel (mal apilado)</t>
  </si>
  <si>
    <t>NOTIFICACION A LOGISTICA PARA REVISION DE PARIHUELAS QUE INGRESAN A LINEA</t>
  </si>
  <si>
    <t xml:space="preserve">TRP. motor 2112-121 dispara por trabamiento de parihuela en mal estado (MESA GIRATORIA 2)
TRB:motor 3108-141 armario 6 dispara por sobreamperaje </t>
  </si>
  <si>
    <t>SE RETIRA MADERA TRABADA EN MESA GIRATORIA Y SOLICITA A ELECTRICISTA PONER EN SERVICIO MOTORES QUE FUERON A FALLA POR SOBRECARGA</t>
  </si>
  <si>
    <r>
      <t xml:space="preserve">EC-CAL: MUESTRAS PARA BSSI (LLEN / PAST TÚNEL)
</t>
    </r>
    <r>
      <rPr>
        <sz val="8"/>
        <color rgb="FFFF0000"/>
        <rFont val="Calibri"/>
        <family val="2"/>
        <scheme val="minor"/>
      </rPr>
      <t>IBV:</t>
    </r>
    <r>
      <rPr>
        <sz val="8"/>
        <color theme="1"/>
        <rFont val="Calibri"/>
        <family val="2"/>
        <scheme val="minor"/>
      </rPr>
      <t xml:space="preserve"> TRABA EN RUEDA ESTRELLA POR ETIQUETA EN MICA DE CAMARA DE INSPECCIÓN</t>
    </r>
  </si>
  <si>
    <t>Total Turno HL</t>
  </si>
  <si>
    <t>Total Día HL</t>
  </si>
  <si>
    <t>L1 Turno</t>
  </si>
  <si>
    <t>L3 Turno</t>
  </si>
  <si>
    <t>L1 Día</t>
  </si>
  <si>
    <t>L3 Día</t>
  </si>
  <si>
    <t>Lunes</t>
  </si>
  <si>
    <t>R</t>
  </si>
  <si>
    <t>DESCRIPCION</t>
  </si>
  <si>
    <t>HL x CA</t>
  </si>
  <si>
    <t>UN x CA</t>
  </si>
  <si>
    <t>CAPACIDAD</t>
  </si>
  <si>
    <t>CSIP</t>
  </si>
  <si>
    <t>CRISTAL 650ML RT 12 CP</t>
  </si>
  <si>
    <t>Cerveza</t>
  </si>
  <si>
    <t>CCIP</t>
  </si>
  <si>
    <t>PILSEN TRUJILLO 620ML RT 12 CP</t>
  </si>
  <si>
    <t>Martes</t>
  </si>
  <si>
    <t>CF</t>
  </si>
  <si>
    <t>PILSEN CALLAO 630ML RT 12 CP</t>
  </si>
  <si>
    <t>CRISTAL 1000ML RT 12 CP.</t>
  </si>
  <si>
    <t>start</t>
  </si>
  <si>
    <t>PILSEN TRUJILLO 1000 ML RT 12 CP</t>
  </si>
  <si>
    <t>Miércoles</t>
  </si>
  <si>
    <t>inv</t>
  </si>
  <si>
    <t>CUSQ DORADA 620ML RT 12P</t>
  </si>
  <si>
    <t>Stop</t>
  </si>
  <si>
    <t>CUSQ NEGRA 620ML RT 12P</t>
  </si>
  <si>
    <t>manttoShort</t>
  </si>
  <si>
    <t>CA</t>
  </si>
  <si>
    <t>VB3010-4X1</t>
  </si>
  <si>
    <t>VIVA BACKUS 3010ML PET4X1</t>
  </si>
  <si>
    <t>NABs</t>
  </si>
  <si>
    <t>Jueves</t>
  </si>
  <si>
    <t>CipCop</t>
  </si>
  <si>
    <t>VB450-15X1</t>
  </si>
  <si>
    <t>VIVA BACKUS 450ML PET 15X1</t>
  </si>
  <si>
    <t>CFLITRO</t>
  </si>
  <si>
    <t>GU3010-4X1</t>
  </si>
  <si>
    <t>GUARANA 3010ML PET 4X1 RA</t>
  </si>
  <si>
    <t>GU2000-6X1</t>
  </si>
  <si>
    <t>GUARANA 2000ML PET 6X1 RA</t>
  </si>
  <si>
    <t>Viernes</t>
  </si>
  <si>
    <t>GU1000-6X1</t>
  </si>
  <si>
    <t>GUARANA 1000ML PET 6X1 RA</t>
  </si>
  <si>
    <t>GU450-15X1</t>
  </si>
  <si>
    <t>GUARANA 450ML PET 15X1 RA</t>
  </si>
  <si>
    <t>Sábado</t>
  </si>
  <si>
    <t>Domingo</t>
  </si>
  <si>
    <t>CR650RTCOPA</t>
  </si>
  <si>
    <t>CM620RT-PRO</t>
  </si>
  <si>
    <t>CB620RT-PRO</t>
  </si>
  <si>
    <t>CR1000RTCOPA</t>
  </si>
  <si>
    <t>CR650RT-MU</t>
  </si>
  <si>
    <t>CR 650 RT</t>
  </si>
  <si>
    <t>PT 620 RT -N</t>
  </si>
  <si>
    <t>CB620RT</t>
  </si>
  <si>
    <t>PC 650 RT</t>
  </si>
  <si>
    <t>CRISTAL</t>
  </si>
  <si>
    <t>TRUJILLO</t>
  </si>
  <si>
    <t xml:space="preserve">PILSEN </t>
  </si>
  <si>
    <t>CUSQUEÑA</t>
  </si>
  <si>
    <t>PC650RTVUELV</t>
  </si>
  <si>
    <t>RESUMEN</t>
  </si>
  <si>
    <t>PC630RTPR19</t>
  </si>
  <si>
    <t xml:space="preserve">PILSEN TRUJILLO </t>
  </si>
  <si>
    <t>CUSQUEÑA MALTA</t>
  </si>
  <si>
    <t>CUSQUEÑA BLANCA</t>
  </si>
  <si>
    <t>PILSEN TRUJILLO LITRO</t>
  </si>
  <si>
    <t>PILSEN 630 RT</t>
  </si>
  <si>
    <t>CRISTAL LITRO</t>
  </si>
  <si>
    <t>LINEA 2</t>
  </si>
  <si>
    <t>TOTAL CAJAS</t>
  </si>
  <si>
    <t>Inicial 26/12</t>
  </si>
  <si>
    <t>Diferencia</t>
  </si>
  <si>
    <t>TRABA DE TAPAS EN TOLVA                                                          ACUMULACION DE LINEA POR PROBLEMAS EN ENCAJONADORA PERNO ROTO</t>
  </si>
  <si>
    <t>LIMPIEZA DE TANKES LAVADORA</t>
  </si>
  <si>
    <t>IBV:parada de linea por condicion insegura  en o haber tanques para rechazo</t>
  </si>
  <si>
    <t>SE COLOCAN COBERTORES</t>
  </si>
  <si>
    <t>baja velocidad por exceso de arrastre de etiquetas</t>
  </si>
  <si>
    <t>exceso de arrastre de etiquetas, transp de rechazo de ibv lleno</t>
  </si>
  <si>
    <t>motor de lavadora de botellas del extractor 4 fuera de servicio</t>
  </si>
  <si>
    <t>limpieza de tks de enjuague de lavadora.limpieza de llenadora, extractor de tk4 en falla</t>
  </si>
  <si>
    <t>cambio de seguro seeger  del dispositivo de ajuste de cuchilla en etiquetadora 30</t>
  </si>
  <si>
    <t>traba de tapa, etiqueta en p.e / camara de base</t>
  </si>
  <si>
    <t>caida de tension 1:45PM</t>
  </si>
  <si>
    <t>PROBLEMAS DE REINICIO EN EL TUNEL PASTEURIZADOR</t>
  </si>
  <si>
    <t xml:space="preserve">Se detine llenadora constantemente  por bomba de vacio marca 0,00  valor de vacio insuficiente </t>
  </si>
  <si>
    <t>PROBLEMAS EN LA BOMBA DE VACIO Y POR FALTA DE BOTELLA</t>
  </si>
  <si>
    <t xml:space="preserve">Se limpia de tanque rompedor de espuma de la bomba de vacío </t>
  </si>
  <si>
    <t>POR  ACUMULACION</t>
  </si>
  <si>
    <t>Descarrilamiento de cadena del 303</t>
  </si>
  <si>
    <t>FIN DE PRODUCION 18:40</t>
  </si>
  <si>
    <t>Montaje de transferencia en el TRC 300 (en el CF)</t>
  </si>
  <si>
    <t>CAMBIO DE FORMATO , ARRANQUE DE PRODUCION 19:50</t>
  </si>
  <si>
    <t xml:space="preserve">Por acumulacion, traba en transportador 206 por botellas caidas en decarga lavadora, traba entrada ibv </t>
  </si>
  <si>
    <t>Desalineamiento del TRPH salida de pale (golpe en el Transportador)</t>
  </si>
  <si>
    <t>Etiquetadora A botellas glpean en el Sin FIn.
 traba enfilamiento entrada ibv por botellas caidas en descarga lavadora</t>
  </si>
  <si>
    <t>Ajuste de prisioneros del sin fin de la etiquetadora A</t>
  </si>
  <si>
    <t>Por acumulacion, regulacion de uñas de  enpuje de la mesa de preformacion de paletizadora</t>
  </si>
  <si>
    <t xml:space="preserve">Regulación de sensor de uñas de empuje de la mesa de preformación </t>
  </si>
  <si>
    <t>PROBLEMAS OPERATIVOS EN PALETIZADORA</t>
  </si>
  <si>
    <t xml:space="preserve">IBV : TRABAMIENTO. </t>
  </si>
  <si>
    <t>ACUMULACION
TRABA INGRESO A IBV</t>
  </si>
  <si>
    <t>FALTA E BOTELLAS,/ TRABA DE TAPA/ TRABA IBV</t>
  </si>
  <si>
    <t>ETIS : REGULACIONES OPERACIONALES.</t>
  </si>
  <si>
    <t>TRABA DE BOTELLAS EN ENFILADOR</t>
  </si>
  <si>
    <t>ACUMULACION/ TRABA IBV/ TRABA DE TAPAS,/ REGULACION DE IBV,</t>
  </si>
  <si>
    <t>IBV: PATRONES SIN NOVEDAD
IBV ,CONSTANTES PARADAS POR VACIOS EN TRANSPORTE</t>
  </si>
  <si>
    <t>TRABAS CONSTANTE EN INGRESO DE IBV 
TRABAS EN ENFILADOR POR BOTELLAS CAIDAS</t>
  </si>
  <si>
    <t>TRABA CONSTANTE IBV EN RUEDA DE ESTRELLA,</t>
  </si>
  <si>
    <t>IBV:PARADAS CONSTANTES EN MANEJO DE ENTRADA DE BOTELLAS 
IBV :SE VERICA Y REGULA DEMASIADO    AJUSTE  EN SOPORTE DE RLD
IBV: NO RECHAZAPATRON 10(FALLO DE PRUEBA)
IBV ;NO RECHAZA PATRON 1(FALLO DE PRUEBA)
SE PAGA EQUIPO PARA RESTEAR Y SE CARGA RECETA</t>
  </si>
  <si>
    <t>FALTA BOTELLAS POR FALLA  EN GUIAS DE DE MESA DE CAGA LAB
TRABAS EN ENFILADOR POR BOTELLAS CAIDAS
ACUMULACION POR FALLA EN ENCA</t>
  </si>
  <si>
    <t>TRABA IBV/ TRABA DE TAPA</t>
  </si>
  <si>
    <t>IBV: PIERDE SEGUIMIENTO EN PARED EXTERNA 
IBV :PAROS CONSTANTES POR RECHAZOS CONSECUTIVOS
IBV :FALLO PATRON 1,,3,10 (fallo de prueba)
IBV :DEZLIZAMIENTO SUBE HAS 36</t>
  </si>
  <si>
    <t>TRABAS EN ENFILADOR POR VIDRIO ROTO</t>
  </si>
  <si>
    <t>ACUMULACION POR PALET,/ SE RESETEA IBV</t>
  </si>
  <si>
    <t>DISPARA GUARDAMOTOR TRP  2110-101 POR TRABAMIENTO
IBV:SE APAGA EQUIPO POR CONSECUTIVOS FALOS DE PRUEBA</t>
  </si>
  <si>
    <t>TRABA DE BOTELLAS EN ENFILADOR POR BOTELLAS CAIDAS. PLATINA DE DE DESCAGA DESOLDADA
ACUMULACION POR FALLAS EN ENCA</t>
  </si>
  <si>
    <t>FALTA DE BOTELLAS/ TRABA DE TAPAS,</t>
  </si>
  <si>
    <t>DISPARA GUARDAMOTOR TRP  2110-101 POR TRABAMIENTO</t>
  </si>
  <si>
    <t>FALTA DE BOTELLAS/ TRABA IBV</t>
  </si>
  <si>
    <t>DISPARA GUARDAMOTOR TRP  2110-101 POR TRABAMIENTO
SE DETIEN LINEA PARA INTERVENIR POLINES Y LIMPIAR</t>
  </si>
  <si>
    <t>EC. LINEA DETENIDO POR NC EN PATRON NRO 3. RETRASO EN PREPARACION DE BOT PATRON POR PARTE DE CCALIDAD.</t>
  </si>
  <si>
    <t>-LLEN: COP C/4 HORAS EN LLENADORA</t>
  </si>
  <si>
    <t>LIMPIEZA LLENADORA 24HRS
LIMPIEZA TQS LAVBOT 7-8</t>
  </si>
  <si>
    <t>CE SERVICIOS:  BAJA PRESION DE AMONIACO PLANTA DE FUERZA (28 MIN).
-LLEN: SE DETECTA BRAZO DESOLDADO DEL CILINDRO NEUMATICO QUE ACCIONA INGRESO DE CO2 A BOTELLA EN LLENADORA - 03 MIN.</t>
  </si>
  <si>
    <t>-SE REPORTA AL GRUPO DE MODULACIÓN LA AFECTACIÓN.      
-SE RETIRA BRAZO PARA REPARAR.</t>
  </si>
  <si>
    <t xml:space="preserve">
EC. LINEA DETENIDO POR NC EN PATRON NRO 3. RETRASO EN PREPARACION DE BOT PATRON POR PARTE DE CCALIDAD.</t>
  </si>
  <si>
    <t>VALIDACIÓN BOT PATRON. TEST BOTTLE CONFORME</t>
  </si>
  <si>
    <t>-LLEN: SE COLOCA BASE DE PISTON QUE ACCIONA INGRESO DE CO2 A BOTELLA.
 -LLEN: PARADAS CONSTANTES POR TEMPERATURA DEL JET ESPUMADOR NO CONTROLA.                      
-DECARRILAMIENTO DE TRC 211</t>
  </si>
  <si>
    <t>-SE COLOCA BASE CON CILINDRO NEUMATICO QUE ACCIONA INGRESO DE CO2   A BOTELLA Y SE REGULA POSICION DE LEVA EN LLENADORA - 05 MIN. 
-SE REGULA ABRANDA DE INGRESO DE BOTELLAS A ETIQ- A - 06 MIN. 
-SE DESCARRILA Y SE RECORTA CADENA DE TABLILLAS DEL TRC 211 - 10 MIN. 
-SE RECORTA CADENA DE TABLILLAS DEL TRC 105 - 07 MIN.</t>
  </si>
  <si>
    <t>REINICIO DE PRODUCCIÓN
LAVBOT. BOT PAVONADA RECIRCULACIÓN DE BOTELLA
TRC S5. DESCARRILAMIENTO DE CADENA MOT 2750,PIÑON ESTA FUERA DE SU SITIO DE TRABAJO</t>
  </si>
  <si>
    <t>SE DETECTA LOTE DE BOTELLA PAVONADA, ELIMINACION Y RECIRCULACION 
TRCS5. REPOSICIÓN DE CADENA. SE GENERA Y2 PARA INTERVENCION PCM</t>
  </si>
  <si>
    <t>-ETIQ: FALLA EN ETIQUETADORA A, GENERA HUECO A LA ENTRADA.
-LLEN: FALLA POR TEMPERATURA ALTA DEL JET ESPUMADOR</t>
  </si>
  <si>
    <t>-SE CAMBIA ELECTROVALVULA DE TRABADOR DE BOTELLAS - 20 MIN
-PROBLEMAS CON FALSA SEÑAL DE CRASH, SE ENCUENTRA VIDRIO EN BALANCIN - 10 MIN</t>
  </si>
  <si>
    <t>ACV. SE VA FALLA M6011 (3 EVENTOS)
ETIQ30. FALLA EN BBA CONJUNTO #3 NO REGULACION DOSIFICACION DE COLA</t>
  </si>
  <si>
    <t>RESET EN TABLERO
ETIQ30. LIMPIEZA RODILLO Y TQ DE COLA, REGULACIÓN DOSIFICACION</t>
  </si>
  <si>
    <t xml:space="preserve">SE PROGRAMA MANTTO BBA DE COLA STAND BY </t>
  </si>
  <si>
    <t>-ETIQ: FALLA EN ETIQUETADORA A, GENERA HUECO A LA ENTRADA.
-LLEN: COP C/4 HORAS EN LLENADORA.</t>
  </si>
  <si>
    <t xml:space="preserve">-SE SINCRONIZA SINFIN DE ENTRADA DE BOTELLAS EN ETIQ-A 07 MIN. 
-SE RETIRA BASE DE FOTOCELDA PARA SOLDAR EN TRB INGRESO DE BOTELLAS A ETIQ_ A 09 MIN. </t>
  </si>
  <si>
    <t>TRABAS ENFILADOR IBV.
ETIQ31. FALLA EN BBA CONJUNTO #3 NO REGULACION DOSIFICACION DE COLA</t>
  </si>
  <si>
    <t>IBV. REGULACION DESLIZAMIENTO
ETIQ31. LIMPIEZA RODILLO Y TQ DE COLA, REGULACIÓN DOSIFICACION</t>
  </si>
  <si>
    <t>-DEPA: FALLA EN VDF DE EXPULSOR DE CAJAS</t>
  </si>
  <si>
    <t>-DISPARO DE VLT DE EXPULSOR DE CAAS DEPA - 25 MIN, DEMORA POR RELEVO DE ELECTRICISTAS (FALTA DE PERSONAL)</t>
  </si>
  <si>
    <t>EC. FALLA EN TEST BOTTLE. NC EN PATRON 2-3 // BOT PATRON 3 SIN DEFECTO EN BASE</t>
  </si>
  <si>
    <t>VALIDACIÓN Y CONFIGURACIÓN DE PATRONES.</t>
  </si>
  <si>
    <t>-ENCA: BOTELLAS CAIDAS</t>
  </si>
  <si>
    <t>-SE REVISO LUBRICACIÓN DE ZONA (OK)</t>
  </si>
  <si>
    <t>EC. FALLA EN TEST BOTTLE. NC EN PATRON 2-3 // BOT PATRON 3 SIN DEFECTO EN BASE
LAVBOT. SE DISPARA TRC MESA CARGA
TRP. SE DISPARA ARMARIO 2 INSPECTOR PH</t>
  </si>
  <si>
    <t>VALIDACION Y CONFIGURACION DE PATRONES. 
RESTABLECIMIENTO MESA CARGA. INSPECCION LURICACION</t>
  </si>
  <si>
    <t>LAVBOT. PROGRAMAR APERTURA CADENAS Y LIMPIEZA PROFUNDA MESA CARGA
TRP. MONITOREO TRPS2 INSPECTOR PH</t>
  </si>
  <si>
    <t>Descarrilamiento de cadena salida de lavadora de cajas / Limpieza COP intermedia en llenadora.</t>
  </si>
  <si>
    <t>Se realiaza limpieza de guias  de transporte de cadena / Se escobillas manejo de llenadora.</t>
  </si>
  <si>
    <t>Dueño</t>
  </si>
  <si>
    <t>Área/Equipo</t>
  </si>
  <si>
    <t>Llenadora linea 1</t>
  </si>
  <si>
    <t>Fecha</t>
  </si>
  <si>
    <t>KPIs Relacionados</t>
  </si>
  <si>
    <t>Cumplimiento de Vol. ( 24 Hrs)</t>
  </si>
  <si>
    <t>Botellas por hora</t>
  </si>
  <si>
    <t>Variable</t>
  </si>
  <si>
    <t>Producción</t>
  </si>
  <si>
    <t>GLY acumulada</t>
  </si>
  <si>
    <t>Volumen Nominal (HL/H)</t>
  </si>
  <si>
    <t>Meta HL/ Hora</t>
  </si>
  <si>
    <t>Vol. Acumulado</t>
  </si>
  <si>
    <t>Junio</t>
  </si>
  <si>
    <t>GLY</t>
  </si>
  <si>
    <t>Volumen por día (HL)</t>
  </si>
  <si>
    <t>Meta Hl Diaria</t>
  </si>
  <si>
    <t>LE.Vol.</t>
  </si>
  <si>
    <t>LEF</t>
  </si>
  <si>
    <t>EDWIN PICHARDO</t>
  </si>
  <si>
    <t xml:space="preserve">  </t>
  </si>
  <si>
    <t>Hora:</t>
  </si>
  <si>
    <t>Gly</t>
  </si>
  <si>
    <t>Vol.Real  (Hl)</t>
  </si>
  <si>
    <t>Botellas producidas</t>
  </si>
  <si>
    <t>Hora</t>
  </si>
  <si>
    <t>Botellas producidas por hora</t>
  </si>
  <si>
    <t>GLY Hora</t>
  </si>
  <si>
    <t>LEF Hora</t>
  </si>
  <si>
    <t xml:space="preserve">                                         </t>
  </si>
  <si>
    <t>Vol.Nominal</t>
  </si>
  <si>
    <t>Vol.Real</t>
  </si>
  <si>
    <t>%</t>
  </si>
  <si>
    <t>Vol. Programa Producción</t>
  </si>
  <si>
    <t>HL Ac Programados</t>
  </si>
  <si>
    <t>Hl Ac Reales</t>
  </si>
  <si>
    <t>GLY ACUMULADA</t>
  </si>
  <si>
    <t>.</t>
  </si>
  <si>
    <t>Llenadora linea 3</t>
  </si>
  <si>
    <t>MARZO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</si>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</sst>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0.0%"/>
    <numFmt numFmtId="167" formatCode="dddd\ &quot; &quot;\ dd"/>
    <numFmt numFmtId="168" formatCode="dd/mm"/>
    <numFmt numFmtId="169" formatCode="_ * #,##0_ ;_ * \-#,##0_ ;_ * &quot;-&quot;??_ ;_ @_ "/>
    <numFmt numFmtId="170" formatCode="0.0"/>
    <numFmt numFmtId="171" formatCode="_-* #,##0.0_-;\-* #,##0.0_-;_-* &quot;-&quot;??_-;_-@_-"/>
    <numFmt numFmtId="172" formatCode="_-* #,##0.000_-;\-* #,##0.000_-;_-* &quot;-&quot;???_-;_-@_-"/>
    <numFmt numFmtId="173" formatCode="0.000"/>
    <numFmt numFmtId="174" formatCode="[$-F400]h:mm:ss\ AM/PM"/>
    <numFmt numFmtId="175" formatCode="[$-580A]d&quot; de &quot;mmmm&quot; de &quot;yyyy;@"/>
  </numFmts>
  <fonts count="14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b/>
      <sz val="24"/>
      <name val="Arial"/>
      <family val="2"/>
    </font>
    <font>
      <b/>
      <sz val="22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10"/>
      <color theme="0" tint="-0.499984740745262"/>
      <name val="Arial"/>
      <family val="2"/>
    </font>
    <font>
      <sz val="10"/>
      <color theme="0"/>
      <name val="Arial"/>
      <family val="2"/>
    </font>
    <font>
      <b/>
      <sz val="10"/>
      <color rgb="FF00B050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theme="0"/>
      <name val="Arial"/>
      <family val="2"/>
    </font>
    <font>
      <b/>
      <sz val="20"/>
      <name val="Arial"/>
      <family val="2"/>
    </font>
    <font>
      <b/>
      <sz val="20"/>
      <color indexed="12"/>
      <name val="Arial"/>
      <family val="2"/>
    </font>
    <font>
      <b/>
      <sz val="12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10"/>
      <color theme="1" tint="0.34998626667073579"/>
      <name val="Arial"/>
      <family val="2"/>
    </font>
    <font>
      <sz val="12"/>
      <color theme="1" tint="0.3499862666707357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color indexed="12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7" tint="-0.499984740745262"/>
      <name val="Calibri"/>
      <family val="2"/>
      <scheme val="minor"/>
    </font>
    <font>
      <b/>
      <sz val="10"/>
      <color rgb="FF806000"/>
      <name val="Arial"/>
      <family val="2"/>
    </font>
    <font>
      <b/>
      <sz val="13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8"/>
      <color rgb="FF000000"/>
      <name val="Calibri"/>
      <family val="2"/>
    </font>
    <font>
      <b/>
      <sz val="10"/>
      <name val="Calibri"/>
      <family val="2"/>
      <scheme val="minor"/>
    </font>
    <font>
      <b/>
      <sz val="24"/>
      <color indexed="18"/>
      <name val="Calibri"/>
      <family val="2"/>
      <scheme val="minor"/>
    </font>
    <font>
      <b/>
      <sz val="16"/>
      <color indexed="1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 tint="-4.9989318521683403E-2"/>
      <name val="Arial"/>
      <family val="2"/>
    </font>
    <font>
      <b/>
      <sz val="11"/>
      <color rgb="FFFFFFFF"/>
      <name val="Calibri"/>
      <family val="2"/>
    </font>
    <font>
      <b/>
      <sz val="24"/>
      <color rgb="FF000080"/>
      <name val="Calibri"/>
      <family val="2"/>
    </font>
    <font>
      <b/>
      <sz val="16"/>
      <color rgb="FF000080"/>
      <name val="Calibri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b/>
      <sz val="10"/>
      <color theme="1" tint="0.34998626667073579"/>
      <name val="Arial"/>
      <family val="2"/>
    </font>
    <font>
      <sz val="10"/>
      <color rgb="FFFF0000"/>
      <name val="Arial"/>
      <family val="2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name val="Arial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4"/>
      <color rgb="FF000080"/>
      <name val="Calibri"/>
      <family val="2"/>
    </font>
    <font>
      <sz val="9"/>
      <name val="Arial"/>
      <family val="2"/>
    </font>
    <font>
      <sz val="11"/>
      <color theme="1"/>
      <name val="Arial"/>
      <family val="2"/>
    </font>
    <font>
      <sz val="14"/>
      <name val="Calibri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FFFFFF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Arial"/>
      <family val="2"/>
    </font>
    <font>
      <sz val="14"/>
      <color theme="7" tint="-0.499984740745262"/>
      <name val="Arial"/>
      <family val="2"/>
    </font>
    <font>
      <sz val="14"/>
      <color rgb="FF806000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11"/>
      <color rgb="FF00B0F0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4"/>
      <name val="Arial"/>
      <family val="2"/>
    </font>
    <font>
      <b/>
      <sz val="10"/>
      <color theme="1"/>
      <name val="Arial"/>
      <family val="2"/>
    </font>
    <font>
      <u/>
      <sz val="10"/>
      <name val="Arial"/>
      <family val="2"/>
    </font>
    <font>
      <b/>
      <sz val="8"/>
      <color rgb="FF4F81BD"/>
      <name val="Arial"/>
      <family val="2"/>
    </font>
    <font>
      <sz val="11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2" tint="-0.249977111117893"/>
      <name val="Calibri"/>
      <family val="2"/>
      <charset val="1"/>
      <scheme val="minor"/>
    </font>
    <font>
      <sz val="16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C99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FB346"/>
        <bgColor indexed="64"/>
      </patternFill>
    </fill>
    <fill>
      <patternFill patternType="solid">
        <fgColor rgb="FFDFB34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4C9FF"/>
        <bgColor indexed="64"/>
      </patternFill>
    </fill>
    <fill>
      <patternFill patternType="solid">
        <fgColor rgb="FF7FDB8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5FA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A6A6A6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35">
    <xf numFmtId="0" fontId="0" fillId="0" borderId="0"/>
    <xf numFmtId="0" fontId="22" fillId="2" borderId="1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2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2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2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2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2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43" fontId="2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4" fillId="0" borderId="0"/>
    <xf numFmtId="9" fontId="134" fillId="0" borderId="0" applyFont="0" applyFill="0" applyBorder="0" applyAlignment="0" applyProtection="0"/>
    <xf numFmtId="43" fontId="134" fillId="0" borderId="0" applyFont="0" applyFill="0" applyBorder="0" applyAlignment="0" applyProtection="0"/>
  </cellStyleXfs>
  <cellXfs count="1148">
    <xf numFmtId="0" fontId="0" fillId="0" borderId="0" xfId="0"/>
    <xf numFmtId="49" fontId="25" fillId="0" borderId="0" xfId="0" applyNumberFormat="1" applyFont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0" fontId="22" fillId="0" borderId="0" xfId="1" applyFill="1" applyBorder="1" applyAlignment="1">
      <alignment vertical="center"/>
    </xf>
    <xf numFmtId="0" fontId="25" fillId="0" borderId="0" xfId="0" applyFont="1" applyAlignment="1">
      <alignment vertical="center"/>
    </xf>
    <xf numFmtId="49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49" fontId="26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3" fontId="0" fillId="0" borderId="5" xfId="0" applyNumberFormat="1" applyBorder="1" applyAlignment="1">
      <alignment horizontal="center" vertical="center"/>
    </xf>
    <xf numFmtId="3" fontId="29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3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3" fontId="36" fillId="5" borderId="5" xfId="0" applyNumberFormat="1" applyFont="1" applyFill="1" applyBorder="1" applyAlignment="1">
      <alignment horizontal="center" vertical="center"/>
    </xf>
    <xf numFmtId="3" fontId="36" fillId="6" borderId="5" xfId="0" applyNumberFormat="1" applyFont="1" applyFill="1" applyBorder="1" applyAlignment="1">
      <alignment horizontal="center" vertical="center"/>
    </xf>
    <xf numFmtId="3" fontId="37" fillId="0" borderId="5" xfId="0" applyNumberFormat="1" applyFont="1" applyBorder="1" applyAlignment="1">
      <alignment horizontal="center" vertical="center"/>
    </xf>
    <xf numFmtId="3" fontId="37" fillId="6" borderId="5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1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37" fillId="0" borderId="6" xfId="0" applyNumberFormat="1" applyFont="1" applyBorder="1" applyAlignment="1">
      <alignment horizontal="center" vertical="center"/>
    </xf>
    <xf numFmtId="3" fontId="39" fillId="7" borderId="5" xfId="0" applyNumberFormat="1" applyFont="1" applyFill="1" applyBorder="1" applyAlignment="1">
      <alignment horizontal="center" vertical="center"/>
    </xf>
    <xf numFmtId="3" fontId="39" fillId="6" borderId="5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3" fontId="41" fillId="0" borderId="0" xfId="0" applyNumberFormat="1" applyFont="1" applyAlignment="1">
      <alignment vertical="center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44" fillId="8" borderId="5" xfId="0" applyNumberFormat="1" applyFont="1" applyFill="1" applyBorder="1" applyAlignment="1">
      <alignment horizontal="center" vertical="center"/>
    </xf>
    <xf numFmtId="3" fontId="44" fillId="8" borderId="5" xfId="0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3" fontId="39" fillId="0" borderId="5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3" fontId="39" fillId="0" borderId="6" xfId="0" applyNumberFormat="1" applyFont="1" applyBorder="1" applyAlignment="1">
      <alignment horizontal="center" vertical="center"/>
    </xf>
    <xf numFmtId="3" fontId="29" fillId="7" borderId="3" xfId="0" applyNumberFormat="1" applyFont="1" applyFill="1" applyBorder="1" applyAlignment="1">
      <alignment horizontal="left" vertical="center"/>
    </xf>
    <xf numFmtId="3" fontId="29" fillId="9" borderId="3" xfId="0" applyNumberFormat="1" applyFont="1" applyFill="1" applyBorder="1" applyAlignment="1">
      <alignment horizontal="left" vertical="center"/>
    </xf>
    <xf numFmtId="3" fontId="39" fillId="9" borderId="5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3" fontId="39" fillId="5" borderId="5" xfId="0" applyNumberFormat="1" applyFont="1" applyFill="1" applyBorder="1" applyAlignment="1">
      <alignment horizontal="center" vertical="center"/>
    </xf>
    <xf numFmtId="3" fontId="47" fillId="0" borderId="8" xfId="0" applyNumberFormat="1" applyFont="1" applyBorder="1" applyAlignment="1">
      <alignment horizontal="center" vertical="center"/>
    </xf>
    <xf numFmtId="3" fontId="47" fillId="0" borderId="9" xfId="0" applyNumberFormat="1" applyFont="1" applyBorder="1" applyAlignment="1">
      <alignment horizontal="center" vertical="center"/>
    </xf>
    <xf numFmtId="49" fontId="51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3" fontId="52" fillId="0" borderId="0" xfId="0" applyNumberFormat="1" applyFont="1" applyAlignment="1">
      <alignment vertical="center"/>
    </xf>
    <xf numFmtId="3" fontId="51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vertical="center"/>
    </xf>
    <xf numFmtId="49" fontId="56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4" fontId="57" fillId="0" borderId="0" xfId="0" applyNumberFormat="1" applyFont="1" applyAlignment="1">
      <alignment horizontal="center" vertical="center"/>
    </xf>
    <xf numFmtId="4" fontId="57" fillId="0" borderId="0" xfId="0" applyNumberFormat="1" applyFont="1" applyAlignment="1">
      <alignment vertical="center"/>
    </xf>
    <xf numFmtId="14" fontId="57" fillId="0" borderId="0" xfId="0" applyNumberFormat="1" applyFont="1" applyAlignment="1">
      <alignment vertical="center"/>
    </xf>
    <xf numFmtId="14" fontId="57" fillId="0" borderId="0" xfId="0" applyNumberFormat="1" applyFont="1" applyAlignment="1">
      <alignment horizontal="center" vertical="center"/>
    </xf>
    <xf numFmtId="0" fontId="58" fillId="0" borderId="0" xfId="0" applyFont="1" applyAlignment="1">
      <alignment vertical="center"/>
    </xf>
    <xf numFmtId="3" fontId="53" fillId="0" borderId="5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4" fillId="0" borderId="0" xfId="0" applyFont="1"/>
    <xf numFmtId="0" fontId="53" fillId="0" borderId="0" xfId="0" applyFont="1" applyAlignment="1">
      <alignment vertical="center"/>
    </xf>
    <xf numFmtId="0" fontId="53" fillId="0" borderId="5" xfId="0" applyFont="1" applyBorder="1" applyAlignment="1">
      <alignment horizontal="center" vertical="center"/>
    </xf>
    <xf numFmtId="3" fontId="54" fillId="0" borderId="5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4" fontId="53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3" fontId="54" fillId="0" borderId="0" xfId="0" applyNumberFormat="1" applyFont="1" applyAlignment="1">
      <alignment vertical="center"/>
    </xf>
    <xf numFmtId="3" fontId="53" fillId="0" borderId="0" xfId="0" applyNumberFormat="1" applyFont="1" applyAlignment="1">
      <alignment vertical="center"/>
    </xf>
    <xf numFmtId="0" fontId="53" fillId="0" borderId="0" xfId="0" applyFont="1" applyAlignment="1">
      <alignment horizontal="left" vertical="center"/>
    </xf>
    <xf numFmtId="49" fontId="56" fillId="3" borderId="5" xfId="0" applyNumberFormat="1" applyFont="1" applyFill="1" applyBorder="1" applyAlignment="1">
      <alignment horizontal="center" vertical="center"/>
    </xf>
    <xf numFmtId="49" fontId="56" fillId="3" borderId="10" xfId="0" applyNumberFormat="1" applyFont="1" applyFill="1" applyBorder="1" applyAlignment="1">
      <alignment horizontal="center" vertical="center"/>
    </xf>
    <xf numFmtId="49" fontId="56" fillId="3" borderId="12" xfId="0" applyNumberFormat="1" applyFont="1" applyFill="1" applyBorder="1" applyAlignment="1">
      <alignment horizontal="center" vertical="center"/>
    </xf>
    <xf numFmtId="3" fontId="54" fillId="0" borderId="4" xfId="0" applyNumberFormat="1" applyFont="1" applyBorder="1" applyAlignment="1">
      <alignment horizontal="center" vertical="center"/>
    </xf>
    <xf numFmtId="0" fontId="53" fillId="17" borderId="5" xfId="0" applyFont="1" applyFill="1" applyBorder="1" applyAlignment="1">
      <alignment horizontal="center" vertical="center"/>
    </xf>
    <xf numFmtId="3" fontId="54" fillId="17" borderId="5" xfId="0" applyNumberFormat="1" applyFont="1" applyFill="1" applyBorder="1" applyAlignment="1">
      <alignment horizontal="center" vertical="center"/>
    </xf>
    <xf numFmtId="3" fontId="53" fillId="17" borderId="5" xfId="0" applyNumberFormat="1" applyFont="1" applyFill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3" fontId="59" fillId="0" borderId="5" xfId="0" applyNumberFormat="1" applyFont="1" applyBorder="1" applyAlignment="1">
      <alignment horizontal="center" vertical="center"/>
    </xf>
    <xf numFmtId="0" fontId="53" fillId="4" borderId="5" xfId="0" applyFont="1" applyFill="1" applyBorder="1" applyAlignment="1">
      <alignment horizontal="center" vertical="center"/>
    </xf>
    <xf numFmtId="0" fontId="53" fillId="4" borderId="5" xfId="0" applyFont="1" applyFill="1" applyBorder="1" applyAlignment="1">
      <alignment vertical="center"/>
    </xf>
    <xf numFmtId="3" fontId="53" fillId="4" borderId="5" xfId="0" applyNumberFormat="1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vertical="center"/>
    </xf>
    <xf numFmtId="3" fontId="55" fillId="15" borderId="5" xfId="0" applyNumberFormat="1" applyFont="1" applyFill="1" applyBorder="1" applyAlignment="1">
      <alignment horizontal="center" vertical="center"/>
    </xf>
    <xf numFmtId="0" fontId="55" fillId="14" borderId="5" xfId="0" applyFont="1" applyFill="1" applyBorder="1" applyAlignment="1">
      <alignment horizontal="center" vertical="center"/>
    </xf>
    <xf numFmtId="0" fontId="55" fillId="14" borderId="5" xfId="0" applyFont="1" applyFill="1" applyBorder="1" applyAlignment="1">
      <alignment vertical="center"/>
    </xf>
    <xf numFmtId="3" fontId="55" fillId="14" borderId="5" xfId="0" applyNumberFormat="1" applyFont="1" applyFill="1" applyBorder="1" applyAlignment="1">
      <alignment horizontal="center" vertical="center"/>
    </xf>
    <xf numFmtId="0" fontId="53" fillId="13" borderId="5" xfId="0" applyFont="1" applyFill="1" applyBorder="1" applyAlignment="1">
      <alignment horizontal="center" vertical="center"/>
    </xf>
    <xf numFmtId="0" fontId="53" fillId="13" borderId="5" xfId="0" applyFont="1" applyFill="1" applyBorder="1" applyAlignment="1">
      <alignment vertical="center"/>
    </xf>
    <xf numFmtId="3" fontId="53" fillId="13" borderId="5" xfId="0" applyNumberFormat="1" applyFont="1" applyFill="1" applyBorder="1" applyAlignment="1">
      <alignment horizontal="center" vertical="center"/>
    </xf>
    <xf numFmtId="0" fontId="53" fillId="12" borderId="5" xfId="0" applyFont="1" applyFill="1" applyBorder="1" applyAlignment="1">
      <alignment horizontal="center" vertical="center"/>
    </xf>
    <xf numFmtId="0" fontId="53" fillId="12" borderId="5" xfId="0" applyFont="1" applyFill="1" applyBorder="1" applyAlignment="1">
      <alignment vertical="center"/>
    </xf>
    <xf numFmtId="3" fontId="53" fillId="12" borderId="5" xfId="0" applyNumberFormat="1" applyFont="1" applyFill="1" applyBorder="1" applyAlignment="1">
      <alignment horizontal="center" vertical="center"/>
    </xf>
    <xf numFmtId="0" fontId="62" fillId="0" borderId="5" xfId="0" applyFont="1" applyBorder="1" applyAlignment="1">
      <alignment horizontal="center" vertical="center"/>
    </xf>
    <xf numFmtId="0" fontId="62" fillId="0" borderId="5" xfId="0" applyFont="1" applyBorder="1" applyAlignment="1">
      <alignment vertical="center"/>
    </xf>
    <xf numFmtId="3" fontId="62" fillId="0" borderId="5" xfId="0" applyNumberFormat="1" applyFont="1" applyBorder="1" applyAlignment="1">
      <alignment horizontal="center" vertical="center"/>
    </xf>
    <xf numFmtId="0" fontId="55" fillId="16" borderId="5" xfId="0" applyFont="1" applyFill="1" applyBorder="1" applyAlignment="1">
      <alignment horizontal="center" vertical="center"/>
    </xf>
    <xf numFmtId="0" fontId="55" fillId="16" borderId="5" xfId="0" applyFont="1" applyFill="1" applyBorder="1" applyAlignment="1">
      <alignment vertical="center"/>
    </xf>
    <xf numFmtId="3" fontId="55" fillId="16" borderId="5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29" fillId="4" borderId="5" xfId="0" applyFont="1" applyFill="1" applyBorder="1" applyAlignment="1">
      <alignment horizontal="center" vertical="center"/>
    </xf>
    <xf numFmtId="3" fontId="29" fillId="4" borderId="5" xfId="0" applyNumberFormat="1" applyFont="1" applyFill="1" applyBorder="1" applyAlignment="1">
      <alignment horizontal="center" vertical="center"/>
    </xf>
    <xf numFmtId="0" fontId="61" fillId="15" borderId="5" xfId="0" applyFont="1" applyFill="1" applyBorder="1" applyAlignment="1">
      <alignment horizontal="center" vertical="center"/>
    </xf>
    <xf numFmtId="3" fontId="61" fillId="15" borderId="5" xfId="0" applyNumberFormat="1" applyFont="1" applyFill="1" applyBorder="1" applyAlignment="1">
      <alignment horizontal="center" vertical="center"/>
    </xf>
    <xf numFmtId="0" fontId="61" fillId="14" borderId="5" xfId="0" applyFont="1" applyFill="1" applyBorder="1" applyAlignment="1">
      <alignment horizontal="center" vertical="center"/>
    </xf>
    <xf numFmtId="3" fontId="61" fillId="14" borderId="5" xfId="0" applyNumberFormat="1" applyFont="1" applyFill="1" applyBorder="1" applyAlignment="1">
      <alignment horizontal="center" vertical="center"/>
    </xf>
    <xf numFmtId="0" fontId="61" fillId="16" borderId="5" xfId="0" applyFont="1" applyFill="1" applyBorder="1" applyAlignment="1">
      <alignment horizontal="center" vertical="center"/>
    </xf>
    <xf numFmtId="3" fontId="61" fillId="16" borderId="5" xfId="0" applyNumberFormat="1" applyFont="1" applyFill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3" fontId="63" fillId="0" borderId="5" xfId="0" applyNumberFormat="1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3" fontId="64" fillId="0" borderId="5" xfId="0" applyNumberFormat="1" applyFont="1" applyBorder="1" applyAlignment="1">
      <alignment horizontal="center" vertical="center"/>
    </xf>
    <xf numFmtId="49" fontId="56" fillId="11" borderId="12" xfId="0" applyNumberFormat="1" applyFont="1" applyFill="1" applyBorder="1" applyAlignment="1">
      <alignment horizontal="center" vertical="center"/>
    </xf>
    <xf numFmtId="49" fontId="56" fillId="11" borderId="5" xfId="0" applyNumberFormat="1" applyFont="1" applyFill="1" applyBorder="1" applyAlignment="1">
      <alignment horizontal="center" vertical="center"/>
    </xf>
    <xf numFmtId="49" fontId="56" fillId="11" borderId="10" xfId="0" applyNumberFormat="1" applyFont="1" applyFill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66" fillId="0" borderId="7" xfId="0" applyNumberFormat="1" applyFont="1" applyBorder="1"/>
    <xf numFmtId="0" fontId="67" fillId="19" borderId="7" xfId="0" applyFont="1" applyFill="1" applyBorder="1"/>
    <xf numFmtId="0" fontId="66" fillId="20" borderId="7" xfId="0" applyFont="1" applyFill="1" applyBorder="1"/>
    <xf numFmtId="0" fontId="67" fillId="19" borderId="5" xfId="0" applyFont="1" applyFill="1" applyBorder="1"/>
    <xf numFmtId="0" fontId="66" fillId="20" borderId="5" xfId="0" applyFont="1" applyFill="1" applyBorder="1"/>
    <xf numFmtId="3" fontId="66" fillId="0" borderId="11" xfId="0" applyNumberFormat="1" applyFont="1" applyBorder="1"/>
    <xf numFmtId="0" fontId="67" fillId="19" borderId="10" xfId="0" applyFont="1" applyFill="1" applyBorder="1"/>
    <xf numFmtId="0" fontId="66" fillId="20" borderId="10" xfId="0" applyFont="1" applyFill="1" applyBorder="1"/>
    <xf numFmtId="0" fontId="66" fillId="0" borderId="11" xfId="0" applyFont="1" applyBorder="1"/>
    <xf numFmtId="0" fontId="66" fillId="0" borderId="18" xfId="0" applyFont="1" applyBorder="1"/>
    <xf numFmtId="0" fontId="66" fillId="0" borderId="7" xfId="0" applyFont="1" applyBorder="1"/>
    <xf numFmtId="0" fontId="67" fillId="21" borderId="7" xfId="0" applyFont="1" applyFill="1" applyBorder="1"/>
    <xf numFmtId="0" fontId="67" fillId="21" borderId="10" xfId="0" applyFont="1" applyFill="1" applyBorder="1"/>
    <xf numFmtId="3" fontId="66" fillId="0" borderId="5" xfId="0" applyNumberFormat="1" applyFont="1" applyBorder="1"/>
    <xf numFmtId="3" fontId="66" fillId="0" borderId="10" xfId="0" applyNumberFormat="1" applyFont="1" applyBorder="1"/>
    <xf numFmtId="3" fontId="0" fillId="0" borderId="0" xfId="0" applyNumberFormat="1"/>
    <xf numFmtId="49" fontId="56" fillId="3" borderId="22" xfId="0" applyNumberFormat="1" applyFont="1" applyFill="1" applyBorder="1" applyAlignment="1">
      <alignment horizontal="center" vertical="center"/>
    </xf>
    <xf numFmtId="0" fontId="66" fillId="0" borderId="5" xfId="0" applyFont="1" applyBorder="1"/>
    <xf numFmtId="0" fontId="66" fillId="0" borderId="10" xfId="0" applyFont="1" applyBorder="1"/>
    <xf numFmtId="0" fontId="67" fillId="21" borderId="23" xfId="0" applyFont="1" applyFill="1" applyBorder="1"/>
    <xf numFmtId="0" fontId="67" fillId="21" borderId="24" xfId="0" applyFont="1" applyFill="1" applyBorder="1"/>
    <xf numFmtId="0" fontId="65" fillId="18" borderId="2" xfId="0" applyFont="1" applyFill="1" applyBorder="1"/>
    <xf numFmtId="14" fontId="65" fillId="18" borderId="2" xfId="0" applyNumberFormat="1" applyFont="1" applyFill="1" applyBorder="1"/>
    <xf numFmtId="0" fontId="65" fillId="18" borderId="11" xfId="0" applyFont="1" applyFill="1" applyBorder="1"/>
    <xf numFmtId="0" fontId="65" fillId="0" borderId="7" xfId="0" applyFont="1" applyBorder="1"/>
    <xf numFmtId="0" fontId="65" fillId="0" borderId="19" xfId="0" applyFont="1" applyBorder="1"/>
    <xf numFmtId="0" fontId="66" fillId="0" borderId="19" xfId="0" applyFont="1" applyBorder="1"/>
    <xf numFmtId="0" fontId="69" fillId="20" borderId="10" xfId="0" applyFont="1" applyFill="1" applyBorder="1"/>
    <xf numFmtId="0" fontId="66" fillId="24" borderId="7" xfId="0" applyFont="1" applyFill="1" applyBorder="1"/>
    <xf numFmtId="0" fontId="66" fillId="24" borderId="5" xfId="0" applyFont="1" applyFill="1" applyBorder="1"/>
    <xf numFmtId="0" fontId="66" fillId="24" borderId="10" xfId="0" applyFont="1" applyFill="1" applyBorder="1"/>
    <xf numFmtId="0" fontId="65" fillId="0" borderId="5" xfId="0" applyFont="1" applyBorder="1"/>
    <xf numFmtId="0" fontId="67" fillId="24" borderId="10" xfId="0" applyFont="1" applyFill="1" applyBorder="1"/>
    <xf numFmtId="3" fontId="66" fillId="0" borderId="6" xfId="0" applyNumberFormat="1" applyFont="1" applyBorder="1"/>
    <xf numFmtId="0" fontId="67" fillId="21" borderId="2" xfId="0" applyFont="1" applyFill="1" applyBorder="1"/>
    <xf numFmtId="0" fontId="70" fillId="18" borderId="31" xfId="0" applyFont="1" applyFill="1" applyBorder="1"/>
    <xf numFmtId="0" fontId="70" fillId="18" borderId="19" xfId="0" applyFont="1" applyFill="1" applyBorder="1"/>
    <xf numFmtId="0" fontId="70" fillId="18" borderId="18" xfId="0" applyFont="1" applyFill="1" applyBorder="1"/>
    <xf numFmtId="0" fontId="73" fillId="3" borderId="5" xfId="0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72" fillId="3" borderId="5" xfId="0" applyFont="1" applyFill="1" applyBorder="1" applyAlignment="1">
      <alignment horizontal="center" vertical="center"/>
    </xf>
    <xf numFmtId="49" fontId="75" fillId="0" borderId="33" xfId="0" applyNumberFormat="1" applyFont="1" applyBorder="1" applyAlignment="1">
      <alignment horizontal="center" vertical="center"/>
    </xf>
    <xf numFmtId="3" fontId="7" fillId="0" borderId="5" xfId="292" applyNumberFormat="1" applyBorder="1" applyAlignment="1">
      <alignment vertical="center"/>
    </xf>
    <xf numFmtId="0" fontId="7" fillId="0" borderId="7" xfId="292" applyBorder="1" applyAlignment="1">
      <alignment vertical="center"/>
    </xf>
    <xf numFmtId="3" fontId="76" fillId="0" borderId="7" xfId="0" applyNumberFormat="1" applyFont="1" applyBorder="1" applyAlignment="1">
      <alignment horizontal="center" vertical="center"/>
    </xf>
    <xf numFmtId="49" fontId="75" fillId="0" borderId="34" xfId="0" applyNumberFormat="1" applyFont="1" applyBorder="1" applyAlignment="1">
      <alignment horizontal="center" vertical="center"/>
    </xf>
    <xf numFmtId="0" fontId="7" fillId="0" borderId="5" xfId="292" applyBorder="1" applyAlignment="1">
      <alignment vertical="center"/>
    </xf>
    <xf numFmtId="3" fontId="76" fillId="0" borderId="5" xfId="0" applyNumberFormat="1" applyFont="1" applyBorder="1" applyAlignment="1">
      <alignment horizontal="center" vertical="center"/>
    </xf>
    <xf numFmtId="49" fontId="75" fillId="0" borderId="35" xfId="0" applyNumberFormat="1" applyFont="1" applyBorder="1" applyAlignment="1">
      <alignment horizontal="center" vertical="center"/>
    </xf>
    <xf numFmtId="3" fontId="7" fillId="0" borderId="10" xfId="292" applyNumberFormat="1" applyBorder="1" applyAlignment="1">
      <alignment vertical="center"/>
    </xf>
    <xf numFmtId="3" fontId="76" fillId="0" borderId="10" xfId="0" applyNumberFormat="1" applyFont="1" applyBorder="1" applyAlignment="1">
      <alignment horizontal="center" vertical="center"/>
    </xf>
    <xf numFmtId="165" fontId="54" fillId="0" borderId="0" xfId="289" applyNumberFormat="1" applyFont="1" applyAlignment="1">
      <alignment vertical="center"/>
    </xf>
    <xf numFmtId="3" fontId="7" fillId="0" borderId="7" xfId="292" applyNumberFormat="1" applyBorder="1" applyAlignment="1">
      <alignment vertical="center"/>
    </xf>
    <xf numFmtId="0" fontId="7" fillId="0" borderId="7" xfId="292" applyBorder="1" applyAlignment="1">
      <alignment horizontal="center" vertical="center"/>
    </xf>
    <xf numFmtId="0" fontId="24" fillId="0" borderId="0" xfId="0" applyFont="1" applyAlignment="1">
      <alignment vertical="center"/>
    </xf>
    <xf numFmtId="3" fontId="24" fillId="0" borderId="0" xfId="0" applyNumberFormat="1" applyFont="1" applyAlignment="1">
      <alignment vertical="center"/>
    </xf>
    <xf numFmtId="3" fontId="24" fillId="0" borderId="0" xfId="0" applyNumberFormat="1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24" fillId="0" borderId="3" xfId="0" applyNumberFormat="1" applyFont="1" applyBorder="1" applyAlignment="1">
      <alignment horizontal="left" vertical="center"/>
    </xf>
    <xf numFmtId="1" fontId="24" fillId="0" borderId="0" xfId="0" applyNumberFormat="1" applyFont="1" applyAlignment="1">
      <alignment horizontal="center" vertical="center"/>
    </xf>
    <xf numFmtId="0" fontId="24" fillId="5" borderId="0" xfId="0" applyFont="1" applyFill="1" applyAlignment="1">
      <alignment vertical="center"/>
    </xf>
    <xf numFmtId="0" fontId="24" fillId="4" borderId="0" xfId="0" applyFont="1" applyFill="1" applyAlignment="1">
      <alignment vertical="center"/>
    </xf>
    <xf numFmtId="165" fontId="52" fillId="0" borderId="0" xfId="289" applyNumberFormat="1" applyFont="1" applyAlignment="1">
      <alignment vertical="center"/>
    </xf>
    <xf numFmtId="1" fontId="51" fillId="0" borderId="0" xfId="0" applyNumberFormat="1" applyFont="1" applyAlignment="1">
      <alignment vertical="center"/>
    </xf>
    <xf numFmtId="49" fontId="75" fillId="11" borderId="33" xfId="0" applyNumberFormat="1" applyFont="1" applyFill="1" applyBorder="1" applyAlignment="1">
      <alignment horizontal="center" vertical="center"/>
    </xf>
    <xf numFmtId="49" fontId="75" fillId="11" borderId="34" xfId="0" applyNumberFormat="1" applyFont="1" applyFill="1" applyBorder="1" applyAlignment="1">
      <alignment horizontal="center" vertical="center"/>
    </xf>
    <xf numFmtId="49" fontId="75" fillId="11" borderId="35" xfId="0" applyNumberFormat="1" applyFont="1" applyFill="1" applyBorder="1" applyAlignment="1">
      <alignment horizontal="center" vertical="center"/>
    </xf>
    <xf numFmtId="0" fontId="66" fillId="0" borderId="12" xfId="0" applyFont="1" applyBorder="1"/>
    <xf numFmtId="3" fontId="66" fillId="0" borderId="12" xfId="0" applyNumberFormat="1" applyFont="1" applyBorder="1"/>
    <xf numFmtId="0" fontId="67" fillId="19" borderId="12" xfId="0" applyFont="1" applyFill="1" applyBorder="1"/>
    <xf numFmtId="0" fontId="66" fillId="20" borderId="12" xfId="0" applyFont="1" applyFill="1" applyBorder="1"/>
    <xf numFmtId="0" fontId="67" fillId="21" borderId="12" xfId="0" applyFont="1" applyFill="1" applyBorder="1"/>
    <xf numFmtId="3" fontId="6" fillId="0" borderId="5" xfId="309" applyNumberFormat="1" applyBorder="1" applyAlignment="1">
      <alignment vertical="center"/>
    </xf>
    <xf numFmtId="3" fontId="6" fillId="0" borderId="7" xfId="309" applyNumberFormat="1" applyBorder="1" applyAlignment="1">
      <alignment vertical="center"/>
    </xf>
    <xf numFmtId="0" fontId="79" fillId="18" borderId="4" xfId="0" applyFont="1" applyFill="1" applyBorder="1"/>
    <xf numFmtId="0" fontId="68" fillId="18" borderId="19" xfId="0" applyFont="1" applyFill="1" applyBorder="1"/>
    <xf numFmtId="0" fontId="71" fillId="0" borderId="37" xfId="0" applyFont="1" applyBorder="1"/>
    <xf numFmtId="0" fontId="71" fillId="0" borderId="18" xfId="0" applyFont="1" applyBorder="1"/>
    <xf numFmtId="0" fontId="78" fillId="21" borderId="10" xfId="0" applyFont="1" applyFill="1" applyBorder="1"/>
    <xf numFmtId="0" fontId="69" fillId="0" borderId="7" xfId="0" applyFont="1" applyBorder="1"/>
    <xf numFmtId="3" fontId="54" fillId="0" borderId="0" xfId="0" applyNumberFormat="1" applyFont="1" applyAlignment="1">
      <alignment horizontal="center" vertical="center"/>
    </xf>
    <xf numFmtId="0" fontId="54" fillId="4" borderId="0" xfId="0" applyFont="1" applyFill="1" applyAlignment="1">
      <alignment vertical="center"/>
    </xf>
    <xf numFmtId="14" fontId="23" fillId="3" borderId="2" xfId="311" applyNumberFormat="1" applyFont="1" applyFill="1" applyBorder="1" applyAlignment="1">
      <alignment horizontal="center" vertical="center"/>
    </xf>
    <xf numFmtId="0" fontId="5" fillId="0" borderId="7" xfId="313" applyBorder="1" applyAlignment="1">
      <alignment horizontal="center" vertical="center"/>
    </xf>
    <xf numFmtId="0" fontId="5" fillId="0" borderId="7" xfId="313" applyBorder="1" applyAlignment="1">
      <alignment vertical="center"/>
    </xf>
    <xf numFmtId="0" fontId="5" fillId="0" borderId="5" xfId="313" applyBorder="1" applyAlignment="1">
      <alignment horizontal="center" vertical="center"/>
    </xf>
    <xf numFmtId="165" fontId="53" fillId="0" borderId="0" xfId="289" applyNumberFormat="1" applyFont="1" applyAlignment="1">
      <alignment vertical="center"/>
    </xf>
    <xf numFmtId="14" fontId="23" fillId="3" borderId="11" xfId="311" applyNumberFormat="1" applyFont="1" applyFill="1" applyBorder="1" applyAlignment="1">
      <alignment horizontal="center" vertical="center"/>
    </xf>
    <xf numFmtId="3" fontId="29" fillId="0" borderId="0" xfId="0" applyNumberFormat="1" applyFont="1" applyAlignment="1">
      <alignment vertical="center"/>
    </xf>
    <xf numFmtId="0" fontId="5" fillId="0" borderId="5" xfId="313" applyBorder="1" applyAlignment="1">
      <alignment vertical="center"/>
    </xf>
    <xf numFmtId="165" fontId="53" fillId="0" borderId="0" xfId="0" applyNumberFormat="1" applyFont="1" applyAlignment="1">
      <alignment vertical="center"/>
    </xf>
    <xf numFmtId="0" fontId="82" fillId="0" borderId="19" xfId="0" applyFont="1" applyBorder="1"/>
    <xf numFmtId="0" fontId="7" fillId="0" borderId="5" xfId="292" applyBorder="1" applyAlignment="1">
      <alignment horizontal="center" vertical="center"/>
    </xf>
    <xf numFmtId="0" fontId="7" fillId="0" borderId="10" xfId="292" applyBorder="1" applyAlignment="1">
      <alignment horizontal="center" vertical="center"/>
    </xf>
    <xf numFmtId="0" fontId="7" fillId="0" borderId="10" xfId="292" applyBorder="1" applyAlignment="1">
      <alignment vertical="center"/>
    </xf>
    <xf numFmtId="3" fontId="5" fillId="0" borderId="7" xfId="313" applyNumberFormat="1" applyBorder="1" applyAlignment="1">
      <alignment vertical="center"/>
    </xf>
    <xf numFmtId="3" fontId="5" fillId="0" borderId="10" xfId="312" applyNumberFormat="1" applyBorder="1" applyAlignment="1">
      <alignment vertical="center"/>
    </xf>
    <xf numFmtId="3" fontId="5" fillId="0" borderId="7" xfId="312" applyNumberFormat="1" applyBorder="1" applyAlignment="1">
      <alignment vertical="center"/>
    </xf>
    <xf numFmtId="0" fontId="5" fillId="0" borderId="10" xfId="313" applyBorder="1" applyAlignment="1">
      <alignment horizontal="center" vertical="center"/>
    </xf>
    <xf numFmtId="0" fontId="5" fillId="0" borderId="10" xfId="313" applyBorder="1" applyAlignment="1">
      <alignment vertical="center"/>
    </xf>
    <xf numFmtId="3" fontId="7" fillId="0" borderId="7" xfId="297" applyNumberFormat="1" applyBorder="1" applyAlignment="1">
      <alignment vertical="center"/>
    </xf>
    <xf numFmtId="3" fontId="5" fillId="0" borderId="5" xfId="313" applyNumberFormat="1" applyBorder="1" applyAlignment="1">
      <alignment vertical="center"/>
    </xf>
    <xf numFmtId="3" fontId="7" fillId="0" borderId="5" xfId="297" applyNumberFormat="1" applyBorder="1" applyAlignment="1">
      <alignment vertical="center"/>
    </xf>
    <xf numFmtId="3" fontId="5" fillId="0" borderId="10" xfId="313" applyNumberFormat="1" applyBorder="1" applyAlignment="1">
      <alignment vertical="center"/>
    </xf>
    <xf numFmtId="3" fontId="7" fillId="0" borderId="10" xfId="297" applyNumberFormat="1" applyBorder="1" applyAlignment="1">
      <alignment vertical="center"/>
    </xf>
    <xf numFmtId="3" fontId="7" fillId="0" borderId="7" xfId="293" applyNumberFormat="1" applyBorder="1" applyAlignment="1">
      <alignment vertical="center"/>
    </xf>
    <xf numFmtId="3" fontId="7" fillId="0" borderId="5" xfId="293" applyNumberFormat="1" applyBorder="1" applyAlignment="1">
      <alignment vertical="center"/>
    </xf>
    <xf numFmtId="0" fontId="5" fillId="0" borderId="5" xfId="320" applyBorder="1" applyAlignment="1">
      <alignment horizontal="center" vertical="center"/>
    </xf>
    <xf numFmtId="0" fontId="5" fillId="0" borderId="5" xfId="320" applyBorder="1" applyAlignment="1">
      <alignment vertical="center"/>
    </xf>
    <xf numFmtId="0" fontId="54" fillId="25" borderId="7" xfId="292" applyFont="1" applyFill="1" applyBorder="1" applyAlignment="1">
      <alignment horizontal="center" vertical="center"/>
    </xf>
    <xf numFmtId="0" fontId="54" fillId="25" borderId="7" xfId="293" applyFont="1" applyFill="1" applyBorder="1" applyAlignment="1">
      <alignment vertical="center"/>
    </xf>
    <xf numFmtId="0" fontId="54" fillId="25" borderId="7" xfId="292" applyFont="1" applyFill="1" applyBorder="1" applyAlignment="1">
      <alignment vertical="center"/>
    </xf>
    <xf numFmtId="0" fontId="23" fillId="0" borderId="7" xfId="313" applyFont="1" applyBorder="1" applyAlignment="1">
      <alignment horizontal="center" vertical="center"/>
    </xf>
    <xf numFmtId="0" fontId="66" fillId="20" borderId="2" xfId="0" applyFont="1" applyFill="1" applyBorder="1"/>
    <xf numFmtId="3" fontId="66" fillId="0" borderId="17" xfId="0" applyNumberFormat="1" applyFont="1" applyBorder="1"/>
    <xf numFmtId="14" fontId="23" fillId="11" borderId="2" xfId="311" applyNumberFormat="1" applyFont="1" applyFill="1" applyBorder="1" applyAlignment="1">
      <alignment horizontal="center" vertical="center"/>
    </xf>
    <xf numFmtId="14" fontId="23" fillId="11" borderId="11" xfId="311" applyNumberFormat="1" applyFont="1" applyFill="1" applyBorder="1" applyAlignment="1">
      <alignment horizontal="center" vertical="center"/>
    </xf>
    <xf numFmtId="3" fontId="76" fillId="0" borderId="38" xfId="0" applyNumberFormat="1" applyFont="1" applyBorder="1" applyAlignment="1">
      <alignment horizontal="center" vertical="center"/>
    </xf>
    <xf numFmtId="3" fontId="76" fillId="0" borderId="19" xfId="0" applyNumberFormat="1" applyFont="1" applyBorder="1" applyAlignment="1">
      <alignment horizontal="center" vertical="center"/>
    </xf>
    <xf numFmtId="3" fontId="76" fillId="0" borderId="4" xfId="0" applyNumberFormat="1" applyFont="1" applyBorder="1" applyAlignment="1">
      <alignment horizontal="center" vertical="center"/>
    </xf>
    <xf numFmtId="0" fontId="66" fillId="26" borderId="10" xfId="0" applyFont="1" applyFill="1" applyBorder="1"/>
    <xf numFmtId="0" fontId="69" fillId="26" borderId="7" xfId="0" applyFont="1" applyFill="1" applyBorder="1"/>
    <xf numFmtId="0" fontId="66" fillId="20" borderId="39" xfId="0" applyFont="1" applyFill="1" applyBorder="1"/>
    <xf numFmtId="0" fontId="66" fillId="20" borderId="40" xfId="0" applyFont="1" applyFill="1" applyBorder="1"/>
    <xf numFmtId="0" fontId="66" fillId="26" borderId="7" xfId="0" applyFont="1" applyFill="1" applyBorder="1"/>
    <xf numFmtId="0" fontId="66" fillId="20" borderId="30" xfId="0" applyFont="1" applyFill="1" applyBorder="1"/>
    <xf numFmtId="0" fontId="66" fillId="20" borderId="11" xfId="0" applyFont="1" applyFill="1" applyBorder="1"/>
    <xf numFmtId="0" fontId="78" fillId="19" borderId="7" xfId="0" applyFont="1" applyFill="1" applyBorder="1"/>
    <xf numFmtId="0" fontId="0" fillId="0" borderId="5" xfId="0" applyBorder="1"/>
    <xf numFmtId="10" fontId="0" fillId="0" borderId="5" xfId="280" applyNumberFormat="1" applyFont="1" applyBorder="1"/>
    <xf numFmtId="0" fontId="0" fillId="0" borderId="5" xfId="0" applyBorder="1" applyAlignment="1">
      <alignment horizontal="center"/>
    </xf>
    <xf numFmtId="10" fontId="0" fillId="0" borderId="5" xfId="280" applyNumberFormat="1" applyFont="1" applyBorder="1" applyAlignment="1">
      <alignment horizontal="center"/>
    </xf>
    <xf numFmtId="166" fontId="0" fillId="0" borderId="5" xfId="280" applyNumberFormat="1" applyFont="1" applyBorder="1"/>
    <xf numFmtId="9" fontId="0" fillId="0" borderId="0" xfId="0" applyNumberFormat="1"/>
    <xf numFmtId="49" fontId="0" fillId="0" borderId="0" xfId="0" applyNumberFormat="1"/>
    <xf numFmtId="0" fontId="0" fillId="0" borderId="0" xfId="0" applyAlignment="1">
      <alignment vertical="top"/>
    </xf>
    <xf numFmtId="0" fontId="83" fillId="0" borderId="0" xfId="0" applyFont="1" applyAlignment="1">
      <alignment vertical="center"/>
    </xf>
    <xf numFmtId="3" fontId="84" fillId="0" borderId="0" xfId="0" applyNumberFormat="1" applyFont="1"/>
    <xf numFmtId="3" fontId="85" fillId="0" borderId="0" xfId="0" applyNumberFormat="1" applyFont="1" applyAlignment="1">
      <alignment vertical="center"/>
    </xf>
    <xf numFmtId="3" fontId="86" fillId="0" borderId="0" xfId="0" applyNumberFormat="1" applyFont="1" applyAlignment="1">
      <alignment vertical="center"/>
    </xf>
    <xf numFmtId="0" fontId="87" fillId="4" borderId="0" xfId="0" applyFont="1" applyFill="1"/>
    <xf numFmtId="49" fontId="29" fillId="0" borderId="41" xfId="0" applyNumberFormat="1" applyFont="1" applyBorder="1" applyAlignment="1">
      <alignment vertical="center"/>
    </xf>
    <xf numFmtId="14" fontId="23" fillId="3" borderId="42" xfId="311" applyNumberFormat="1" applyFont="1" applyFill="1" applyBorder="1" applyAlignment="1">
      <alignment horizontal="center" vertical="center"/>
    </xf>
    <xf numFmtId="49" fontId="56" fillId="3" borderId="43" xfId="0" applyNumberFormat="1" applyFont="1" applyFill="1" applyBorder="1" applyAlignment="1">
      <alignment horizontal="center" vertical="center"/>
    </xf>
    <xf numFmtId="49" fontId="75" fillId="0" borderId="44" xfId="0" applyNumberFormat="1" applyFont="1" applyBorder="1" applyAlignment="1">
      <alignment horizontal="center" vertical="center"/>
    </xf>
    <xf numFmtId="3" fontId="66" fillId="0" borderId="42" xfId="0" applyNumberFormat="1" applyFont="1" applyBorder="1"/>
    <xf numFmtId="0" fontId="66" fillId="20" borderId="43" xfId="0" applyFont="1" applyFill="1" applyBorder="1"/>
    <xf numFmtId="3" fontId="5" fillId="0" borderId="43" xfId="313" applyNumberFormat="1" applyBorder="1" applyAlignment="1">
      <alignment vertical="center"/>
    </xf>
    <xf numFmtId="3" fontId="76" fillId="0" borderId="43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center" vertical="center"/>
    </xf>
    <xf numFmtId="0" fontId="53" fillId="13" borderId="43" xfId="0" applyFont="1" applyFill="1" applyBorder="1" applyAlignment="1">
      <alignment horizontal="center" vertical="center"/>
    </xf>
    <xf numFmtId="0" fontId="53" fillId="13" borderId="43" xfId="0" applyFont="1" applyFill="1" applyBorder="1" applyAlignment="1">
      <alignment vertical="center"/>
    </xf>
    <xf numFmtId="3" fontId="53" fillId="13" borderId="43" xfId="0" applyNumberFormat="1" applyFont="1" applyFill="1" applyBorder="1" applyAlignment="1">
      <alignment horizontal="center" vertical="center"/>
    </xf>
    <xf numFmtId="0" fontId="54" fillId="0" borderId="41" xfId="0" applyFont="1" applyBorder="1" applyAlignment="1">
      <alignment vertical="center"/>
    </xf>
    <xf numFmtId="0" fontId="61" fillId="15" borderId="43" xfId="0" applyFont="1" applyFill="1" applyBorder="1" applyAlignment="1">
      <alignment horizontal="center" vertical="center"/>
    </xf>
    <xf numFmtId="3" fontId="61" fillId="15" borderId="43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vertical="center"/>
    </xf>
    <xf numFmtId="165" fontId="54" fillId="0" borderId="41" xfId="289" applyNumberFormat="1" applyFont="1" applyBorder="1" applyAlignment="1">
      <alignment vertical="center"/>
    </xf>
    <xf numFmtId="165" fontId="53" fillId="0" borderId="41" xfId="289" applyNumberFormat="1" applyFont="1" applyBorder="1" applyAlignment="1">
      <alignment vertical="center"/>
    </xf>
    <xf numFmtId="0" fontId="0" fillId="0" borderId="41" xfId="0" applyBorder="1"/>
    <xf numFmtId="49" fontId="56" fillId="3" borderId="11" xfId="0" applyNumberFormat="1" applyFont="1" applyFill="1" applyBorder="1" applyAlignment="1">
      <alignment horizontal="center" vertical="center"/>
    </xf>
    <xf numFmtId="49" fontId="75" fillId="0" borderId="11" xfId="0" applyNumberFormat="1" applyFont="1" applyBorder="1" applyAlignment="1">
      <alignment horizontal="center" vertical="center"/>
    </xf>
    <xf numFmtId="3" fontId="5" fillId="0" borderId="11" xfId="313" applyNumberFormat="1" applyBorder="1" applyAlignment="1">
      <alignment vertical="center"/>
    </xf>
    <xf numFmtId="3" fontId="76" fillId="0" borderId="11" xfId="0" applyNumberFormat="1" applyFont="1" applyBorder="1" applyAlignment="1">
      <alignment horizontal="center" vertical="center"/>
    </xf>
    <xf numFmtId="0" fontId="53" fillId="12" borderId="7" xfId="0" applyFont="1" applyFill="1" applyBorder="1" applyAlignment="1">
      <alignment horizontal="center" vertical="center"/>
    </xf>
    <xf numFmtId="0" fontId="53" fillId="12" borderId="7" xfId="0" applyFont="1" applyFill="1" applyBorder="1" applyAlignment="1">
      <alignment vertical="center"/>
    </xf>
    <xf numFmtId="3" fontId="53" fillId="12" borderId="7" xfId="0" applyNumberFormat="1" applyFont="1" applyFill="1" applyBorder="1" applyAlignment="1">
      <alignment horizontal="center" vertical="center"/>
    </xf>
    <xf numFmtId="0" fontId="61" fillId="14" borderId="7" xfId="0" applyFont="1" applyFill="1" applyBorder="1" applyAlignment="1">
      <alignment horizontal="center" vertical="center"/>
    </xf>
    <xf numFmtId="3" fontId="61" fillId="14" borderId="7" xfId="0" applyNumberFormat="1" applyFont="1" applyFill="1" applyBorder="1" applyAlignment="1">
      <alignment horizontal="center" vertical="center"/>
    </xf>
    <xf numFmtId="0" fontId="54" fillId="25" borderId="10" xfId="292" applyFont="1" applyFill="1" applyBorder="1" applyAlignment="1">
      <alignment horizontal="center" vertical="center"/>
    </xf>
    <xf numFmtId="0" fontId="54" fillId="25" borderId="10" xfId="292" applyFont="1" applyFill="1" applyBorder="1" applyAlignment="1">
      <alignment vertical="center"/>
    </xf>
    <xf numFmtId="3" fontId="7" fillId="0" borderId="12" xfId="293" applyNumberFormat="1" applyBorder="1" applyAlignment="1">
      <alignment vertical="center"/>
    </xf>
    <xf numFmtId="0" fontId="7" fillId="0" borderId="12" xfId="292" applyBorder="1" applyAlignment="1">
      <alignment vertical="center"/>
    </xf>
    <xf numFmtId="3" fontId="7" fillId="0" borderId="2" xfId="292" applyNumberFormat="1" applyBorder="1" applyAlignment="1">
      <alignment vertical="center"/>
    </xf>
    <xf numFmtId="3" fontId="7" fillId="0" borderId="12" xfId="292" applyNumberFormat="1" applyBorder="1" applyAlignment="1">
      <alignment vertical="center"/>
    </xf>
    <xf numFmtId="3" fontId="5" fillId="0" borderId="6" xfId="313" applyNumberFormat="1" applyBorder="1" applyAlignment="1">
      <alignment vertical="center"/>
    </xf>
    <xf numFmtId="0" fontId="5" fillId="0" borderId="6" xfId="313" applyBorder="1" applyAlignment="1">
      <alignment horizontal="center" vertical="center"/>
    </xf>
    <xf numFmtId="0" fontId="5" fillId="0" borderId="6" xfId="313" applyBorder="1" applyAlignment="1">
      <alignment vertical="center"/>
    </xf>
    <xf numFmtId="3" fontId="5" fillId="0" borderId="5" xfId="312" applyNumberFormat="1" applyBorder="1" applyAlignment="1">
      <alignment vertical="center"/>
    </xf>
    <xf numFmtId="0" fontId="54" fillId="25" borderId="7" xfId="313" applyFont="1" applyFill="1" applyBorder="1" applyAlignment="1">
      <alignment horizontal="left" vertical="center"/>
    </xf>
    <xf numFmtId="3" fontId="5" fillId="27" borderId="10" xfId="313" applyNumberFormat="1" applyFill="1" applyBorder="1" applyAlignment="1">
      <alignment vertical="center"/>
    </xf>
    <xf numFmtId="2" fontId="0" fillId="0" borderId="0" xfId="0" applyNumberFormat="1"/>
    <xf numFmtId="3" fontId="5" fillId="22" borderId="7" xfId="313" applyNumberFormat="1" applyFill="1" applyBorder="1" applyAlignment="1">
      <alignment vertical="center"/>
    </xf>
    <xf numFmtId="3" fontId="23" fillId="0" borderId="7" xfId="293" applyNumberFormat="1" applyFont="1" applyBorder="1" applyAlignment="1">
      <alignment vertical="center"/>
    </xf>
    <xf numFmtId="3" fontId="5" fillId="22" borderId="5" xfId="313" applyNumberFormat="1" applyFill="1" applyBorder="1" applyAlignment="1">
      <alignment vertical="center"/>
    </xf>
    <xf numFmtId="3" fontId="23" fillId="0" borderId="5" xfId="293" applyNumberFormat="1" applyFont="1" applyBorder="1" applyAlignment="1">
      <alignment vertical="center"/>
    </xf>
    <xf numFmtId="0" fontId="7" fillId="22" borderId="10" xfId="292" applyFill="1" applyBorder="1" applyAlignment="1">
      <alignment horizontal="center" vertical="center"/>
    </xf>
    <xf numFmtId="0" fontId="7" fillId="22" borderId="10" xfId="292" applyFill="1" applyBorder="1" applyAlignment="1">
      <alignment vertical="center"/>
    </xf>
    <xf numFmtId="3" fontId="5" fillId="22" borderId="10" xfId="313" applyNumberFormat="1" applyFill="1" applyBorder="1" applyAlignment="1">
      <alignment vertical="center"/>
    </xf>
    <xf numFmtId="3" fontId="23" fillId="0" borderId="10" xfId="297" applyNumberFormat="1" applyFont="1" applyBorder="1" applyAlignment="1">
      <alignment vertical="center"/>
    </xf>
    <xf numFmtId="3" fontId="7" fillId="0" borderId="12" xfId="297" applyNumberFormat="1" applyBorder="1" applyAlignment="1">
      <alignment vertical="center"/>
    </xf>
    <xf numFmtId="0" fontId="5" fillId="0" borderId="12" xfId="313" applyBorder="1" applyAlignment="1">
      <alignment horizontal="center" vertical="center"/>
    </xf>
    <xf numFmtId="0" fontId="7" fillId="0" borderId="6" xfId="292" applyBorder="1" applyAlignment="1">
      <alignment horizontal="center" vertical="center"/>
    </xf>
    <xf numFmtId="0" fontId="7" fillId="0" borderId="2" xfId="292" applyBorder="1" applyAlignment="1">
      <alignment vertical="center"/>
    </xf>
    <xf numFmtId="0" fontId="5" fillId="25" borderId="7" xfId="313" applyFill="1" applyBorder="1" applyAlignment="1">
      <alignment horizontal="center" vertical="center"/>
    </xf>
    <xf numFmtId="0" fontId="5" fillId="25" borderId="7" xfId="313" applyFill="1" applyBorder="1" applyAlignment="1">
      <alignment vertical="center"/>
    </xf>
    <xf numFmtId="0" fontId="5" fillId="25" borderId="10" xfId="313" applyFill="1" applyBorder="1" applyAlignment="1">
      <alignment horizontal="center" vertical="center"/>
    </xf>
    <xf numFmtId="0" fontId="5" fillId="25" borderId="10" xfId="313" applyFill="1" applyBorder="1" applyAlignment="1">
      <alignment vertical="center"/>
    </xf>
    <xf numFmtId="0" fontId="66" fillId="0" borderId="6" xfId="0" applyFont="1" applyBorder="1"/>
    <xf numFmtId="49" fontId="0" fillId="3" borderId="15" xfId="0" applyNumberFormat="1" applyFill="1" applyBorder="1" applyAlignment="1">
      <alignment horizontal="center" vertical="center"/>
    </xf>
    <xf numFmtId="49" fontId="0" fillId="3" borderId="45" xfId="0" applyNumberForma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72" fillId="3" borderId="27" xfId="0" applyFont="1" applyFill="1" applyBorder="1" applyAlignment="1">
      <alignment horizontal="center" vertical="center"/>
    </xf>
    <xf numFmtId="14" fontId="23" fillId="3" borderId="16" xfId="311" applyNumberFormat="1" applyFont="1" applyFill="1" applyBorder="1" applyAlignment="1">
      <alignment horizontal="center" vertical="center"/>
    </xf>
    <xf numFmtId="14" fontId="23" fillId="3" borderId="21" xfId="311" applyNumberFormat="1" applyFont="1" applyFill="1" applyBorder="1" applyAlignment="1">
      <alignment horizontal="center" vertical="center"/>
    </xf>
    <xf numFmtId="14" fontId="23" fillId="3" borderId="20" xfId="311" applyNumberFormat="1" applyFont="1" applyFill="1" applyBorder="1" applyAlignment="1">
      <alignment horizontal="center" vertical="center"/>
    </xf>
    <xf numFmtId="49" fontId="75" fillId="0" borderId="50" xfId="0" applyNumberFormat="1" applyFont="1" applyBorder="1" applyAlignment="1">
      <alignment horizontal="center" vertical="center"/>
    </xf>
    <xf numFmtId="0" fontId="66" fillId="0" borderId="22" xfId="0" applyFont="1" applyBorder="1"/>
    <xf numFmtId="3" fontId="7" fillId="0" borderId="22" xfId="297" applyNumberFormat="1" applyBorder="1" applyAlignment="1">
      <alignment vertical="center"/>
    </xf>
    <xf numFmtId="0" fontId="67" fillId="24" borderId="49" xfId="0" applyFont="1" applyFill="1" applyBorder="1"/>
    <xf numFmtId="14" fontId="23" fillId="11" borderId="16" xfId="311" applyNumberFormat="1" applyFont="1" applyFill="1" applyBorder="1" applyAlignment="1">
      <alignment horizontal="center" vertical="center"/>
    </xf>
    <xf numFmtId="0" fontId="66" fillId="24" borderId="28" xfId="0" applyFont="1" applyFill="1" applyBorder="1"/>
    <xf numFmtId="0" fontId="66" fillId="24" borderId="27" xfId="0" applyFont="1" applyFill="1" applyBorder="1"/>
    <xf numFmtId="14" fontId="23" fillId="11" borderId="21" xfId="311" applyNumberFormat="1" applyFont="1" applyFill="1" applyBorder="1" applyAlignment="1">
      <alignment horizontal="center" vertical="center"/>
    </xf>
    <xf numFmtId="0" fontId="66" fillId="24" borderId="49" xfId="0" applyFont="1" applyFill="1" applyBorder="1"/>
    <xf numFmtId="0" fontId="82" fillId="0" borderId="4" xfId="0" applyFont="1" applyBorder="1"/>
    <xf numFmtId="0" fontId="82" fillId="0" borderId="38" xfId="0" applyFont="1" applyBorder="1"/>
    <xf numFmtId="0" fontId="0" fillId="18" borderId="15" xfId="0" applyFill="1" applyBorder="1"/>
    <xf numFmtId="0" fontId="0" fillId="18" borderId="45" xfId="0" applyFill="1" applyBorder="1"/>
    <xf numFmtId="0" fontId="0" fillId="18" borderId="46" xfId="0" applyFill="1" applyBorder="1"/>
    <xf numFmtId="0" fontId="67" fillId="19" borderId="2" xfId="0" applyFont="1" applyFill="1" applyBorder="1"/>
    <xf numFmtId="0" fontId="65" fillId="0" borderId="12" xfId="0" applyFont="1" applyBorder="1"/>
    <xf numFmtId="3" fontId="66" fillId="0" borderId="2" xfId="0" applyNumberFormat="1" applyFont="1" applyBorder="1"/>
    <xf numFmtId="0" fontId="67" fillId="21" borderId="19" xfId="0" applyFont="1" applyFill="1" applyBorder="1"/>
    <xf numFmtId="0" fontId="67" fillId="21" borderId="14" xfId="0" applyFont="1" applyFill="1" applyBorder="1"/>
    <xf numFmtId="0" fontId="74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7" fillId="21" borderId="13" xfId="0" applyFont="1" applyFill="1" applyBorder="1"/>
    <xf numFmtId="0" fontId="67" fillId="21" borderId="52" xfId="0" applyFont="1" applyFill="1" applyBorder="1"/>
    <xf numFmtId="0" fontId="5" fillId="0" borderId="23" xfId="313" applyBorder="1" applyAlignment="1">
      <alignment vertical="center"/>
    </xf>
    <xf numFmtId="0" fontId="5" fillId="0" borderId="3" xfId="313" applyBorder="1" applyAlignment="1">
      <alignment vertical="center"/>
    </xf>
    <xf numFmtId="0" fontId="78" fillId="24" borderId="10" xfId="0" applyFont="1" applyFill="1" applyBorder="1"/>
    <xf numFmtId="0" fontId="78" fillId="24" borderId="7" xfId="0" applyFont="1" applyFill="1" applyBorder="1"/>
    <xf numFmtId="0" fontId="78" fillId="24" borderId="2" xfId="0" applyFont="1" applyFill="1" applyBorder="1"/>
    <xf numFmtId="0" fontId="66" fillId="20" borderId="6" xfId="0" applyFont="1" applyFill="1" applyBorder="1"/>
    <xf numFmtId="0" fontId="67" fillId="24" borderId="2" xfId="0" applyFont="1" applyFill="1" applyBorder="1"/>
    <xf numFmtId="0" fontId="66" fillId="24" borderId="12" xfId="0" applyFont="1" applyFill="1" applyBorder="1"/>
    <xf numFmtId="0" fontId="66" fillId="23" borderId="7" xfId="0" applyFont="1" applyFill="1" applyBorder="1"/>
    <xf numFmtId="0" fontId="69" fillId="23" borderId="5" xfId="0" applyFont="1" applyFill="1" applyBorder="1"/>
    <xf numFmtId="0" fontId="66" fillId="23" borderId="10" xfId="0" applyFont="1" applyFill="1" applyBorder="1"/>
    <xf numFmtId="0" fontId="66" fillId="28" borderId="5" xfId="0" applyFont="1" applyFill="1" applyBorder="1"/>
    <xf numFmtId="0" fontId="66" fillId="28" borderId="11" xfId="0" applyFont="1" applyFill="1" applyBorder="1"/>
    <xf numFmtId="0" fontId="66" fillId="0" borderId="53" xfId="0" applyFont="1" applyBorder="1"/>
    <xf numFmtId="0" fontId="89" fillId="18" borderId="5" xfId="0" applyFont="1" applyFill="1" applyBorder="1" applyAlignment="1">
      <alignment horizontal="center"/>
    </xf>
    <xf numFmtId="0" fontId="89" fillId="18" borderId="5" xfId="0" applyFont="1" applyFill="1" applyBorder="1"/>
    <xf numFmtId="0" fontId="88" fillId="18" borderId="5" xfId="0" applyFont="1" applyFill="1" applyBorder="1" applyAlignment="1">
      <alignment horizontal="center"/>
    </xf>
    <xf numFmtId="0" fontId="90" fillId="18" borderId="79" xfId="0" applyFont="1" applyFill="1" applyBorder="1"/>
    <xf numFmtId="0" fontId="90" fillId="18" borderId="79" xfId="0" applyFont="1" applyFill="1" applyBorder="1" applyAlignment="1">
      <alignment horizontal="center"/>
    </xf>
    <xf numFmtId="1" fontId="91" fillId="0" borderId="83" xfId="0" applyNumberFormat="1" applyFont="1" applyBorder="1" applyAlignment="1">
      <alignment horizontal="center" vertical="center" wrapText="1"/>
    </xf>
    <xf numFmtId="1" fontId="91" fillId="32" borderId="83" xfId="0" applyNumberFormat="1" applyFont="1" applyFill="1" applyBorder="1" applyAlignment="1">
      <alignment horizontal="center" vertical="center" wrapText="1"/>
    </xf>
    <xf numFmtId="10" fontId="92" fillId="32" borderId="17" xfId="0" applyNumberFormat="1" applyFont="1" applyFill="1" applyBorder="1" applyAlignment="1">
      <alignment horizontal="left" vertical="center" wrapText="1"/>
    </xf>
    <xf numFmtId="10" fontId="92" fillId="0" borderId="17" xfId="0" applyNumberFormat="1" applyFont="1" applyBorder="1" applyAlignment="1">
      <alignment horizontal="left" vertical="center" wrapText="1"/>
    </xf>
    <xf numFmtId="1" fontId="38" fillId="0" borderId="83" xfId="0" applyNumberFormat="1" applyFont="1" applyBorder="1" applyAlignment="1">
      <alignment horizontal="center" vertical="center" wrapText="1"/>
    </xf>
    <xf numFmtId="1" fontId="38" fillId="32" borderId="83" xfId="0" applyNumberFormat="1" applyFont="1" applyFill="1" applyBorder="1" applyAlignment="1">
      <alignment horizontal="center" vertical="center" wrapText="1"/>
    </xf>
    <xf numFmtId="0" fontId="96" fillId="19" borderId="5" xfId="0" applyFont="1" applyFill="1" applyBorder="1" applyAlignment="1">
      <alignment vertical="center" wrapText="1"/>
    </xf>
    <xf numFmtId="0" fontId="95" fillId="0" borderId="5" xfId="0" applyFont="1" applyBorder="1" applyAlignment="1">
      <alignment horizontal="center" vertical="center" wrapText="1"/>
    </xf>
    <xf numFmtId="1" fontId="95" fillId="0" borderId="5" xfId="0" applyNumberFormat="1" applyFont="1" applyBorder="1" applyAlignment="1">
      <alignment horizontal="center" vertical="center" wrapText="1"/>
    </xf>
    <xf numFmtId="0" fontId="95" fillId="0" borderId="7" xfId="0" applyFont="1" applyBorder="1" applyAlignment="1">
      <alignment horizontal="center" vertical="center" wrapText="1"/>
    </xf>
    <xf numFmtId="1" fontId="95" fillId="0" borderId="7" xfId="0" applyNumberFormat="1" applyFont="1" applyBorder="1" applyAlignment="1">
      <alignment horizontal="center" vertical="center" wrapText="1"/>
    </xf>
    <xf numFmtId="0" fontId="95" fillId="0" borderId="6" xfId="0" applyFont="1" applyBorder="1" applyAlignment="1">
      <alignment horizontal="center" vertical="center" wrapText="1"/>
    </xf>
    <xf numFmtId="0" fontId="95" fillId="0" borderId="53" xfId="0" applyFont="1" applyBorder="1" applyAlignment="1">
      <alignment horizontal="center" vertical="center" wrapText="1"/>
    </xf>
    <xf numFmtId="1" fontId="95" fillId="0" borderId="53" xfId="0" applyNumberFormat="1" applyFont="1" applyBorder="1" applyAlignment="1">
      <alignment horizontal="center" vertical="center" wrapText="1"/>
    </xf>
    <xf numFmtId="1" fontId="95" fillId="31" borderId="63" xfId="0" applyNumberFormat="1" applyFont="1" applyFill="1" applyBorder="1" applyAlignment="1">
      <alignment horizontal="center" vertical="center" wrapText="1"/>
    </xf>
    <xf numFmtId="1" fontId="97" fillId="4" borderId="64" xfId="0" applyNumberFormat="1" applyFont="1" applyFill="1" applyBorder="1" applyAlignment="1">
      <alignment horizontal="center" vertical="center" wrapText="1"/>
    </xf>
    <xf numFmtId="3" fontId="95" fillId="4" borderId="61" xfId="0" applyNumberFormat="1" applyFont="1" applyFill="1" applyBorder="1" applyAlignment="1">
      <alignment horizontal="center" vertical="center" wrapText="1"/>
    </xf>
    <xf numFmtId="1" fontId="97" fillId="30" borderId="64" xfId="0" applyNumberFormat="1" applyFont="1" applyFill="1" applyBorder="1" applyAlignment="1">
      <alignment horizontal="center" vertical="center" wrapText="1"/>
    </xf>
    <xf numFmtId="1" fontId="97" fillId="0" borderId="3" xfId="0" applyNumberFormat="1" applyFont="1" applyBorder="1" applyAlignment="1">
      <alignment horizontal="center" vertical="center" wrapText="1"/>
    </xf>
    <xf numFmtId="0" fontId="96" fillId="19" borderId="53" xfId="0" applyFont="1" applyFill="1" applyBorder="1" applyAlignment="1">
      <alignment vertical="center" wrapText="1"/>
    </xf>
    <xf numFmtId="0" fontId="95" fillId="0" borderId="22" xfId="0" applyFont="1" applyBorder="1" applyAlignment="1">
      <alignment horizontal="center" vertical="center" wrapText="1"/>
    </xf>
    <xf numFmtId="0" fontId="96" fillId="19" borderId="6" xfId="0" applyFont="1" applyFill="1" applyBorder="1" applyAlignment="1">
      <alignment vertical="center" wrapText="1"/>
    </xf>
    <xf numFmtId="0" fontId="97" fillId="4" borderId="53" xfId="0" applyFont="1" applyFill="1" applyBorder="1" applyAlignment="1">
      <alignment vertical="center" wrapText="1"/>
    </xf>
    <xf numFmtId="0" fontId="97" fillId="4" borderId="5" xfId="0" applyFont="1" applyFill="1" applyBorder="1" applyAlignment="1">
      <alignment vertical="center" wrapText="1"/>
    </xf>
    <xf numFmtId="0" fontId="97" fillId="4" borderId="22" xfId="0" applyFont="1" applyFill="1" applyBorder="1" applyAlignment="1">
      <alignment vertical="center" wrapText="1"/>
    </xf>
    <xf numFmtId="0" fontId="96" fillId="21" borderId="53" xfId="0" applyFont="1" applyFill="1" applyBorder="1" applyAlignment="1">
      <alignment vertical="center" wrapText="1"/>
    </xf>
    <xf numFmtId="0" fontId="96" fillId="21" borderId="7" xfId="0" applyFont="1" applyFill="1" applyBorder="1" applyAlignment="1">
      <alignment vertical="center" wrapText="1"/>
    </xf>
    <xf numFmtId="0" fontId="96" fillId="21" borderId="5" xfId="0" applyFont="1" applyFill="1" applyBorder="1" applyAlignment="1">
      <alignment vertical="center" wrapText="1"/>
    </xf>
    <xf numFmtId="0" fontId="96" fillId="21" borderId="2" xfId="0" applyFont="1" applyFill="1" applyBorder="1" applyAlignment="1">
      <alignment vertical="center" wrapText="1"/>
    </xf>
    <xf numFmtId="0" fontId="96" fillId="21" borderId="6" xfId="0" applyFont="1" applyFill="1" applyBorder="1" applyAlignment="1">
      <alignment vertical="center" wrapText="1"/>
    </xf>
    <xf numFmtId="0" fontId="96" fillId="21" borderId="29" xfId="0" applyFont="1" applyFill="1" applyBorder="1" applyAlignment="1">
      <alignment vertical="center" wrapText="1"/>
    </xf>
    <xf numFmtId="0" fontId="96" fillId="21" borderId="22" xfId="0" applyFont="1" applyFill="1" applyBorder="1" applyAlignment="1">
      <alignment vertical="center" wrapText="1"/>
    </xf>
    <xf numFmtId="10" fontId="92" fillId="0" borderId="92" xfId="0" applyNumberFormat="1" applyFont="1" applyBorder="1" applyAlignment="1">
      <alignment horizontal="left" vertical="center" wrapText="1"/>
    </xf>
    <xf numFmtId="10" fontId="102" fillId="0" borderId="17" xfId="0" applyNumberFormat="1" applyFont="1" applyBorder="1" applyAlignment="1">
      <alignment horizontal="left" vertical="center" wrapText="1"/>
    </xf>
    <xf numFmtId="1" fontId="95" fillId="0" borderId="3" xfId="0" applyNumberFormat="1" applyFont="1" applyBorder="1" applyAlignment="1">
      <alignment horizontal="center" vertical="center" wrapText="1"/>
    </xf>
    <xf numFmtId="0" fontId="95" fillId="0" borderId="17" xfId="0" applyFont="1" applyBorder="1" applyAlignment="1">
      <alignment horizontal="center" vertical="center" wrapText="1"/>
    </xf>
    <xf numFmtId="1" fontId="97" fillId="0" borderId="17" xfId="0" applyNumberFormat="1" applyFont="1" applyBorder="1" applyAlignment="1">
      <alignment horizontal="center" vertical="center" wrapText="1"/>
    </xf>
    <xf numFmtId="1" fontId="95" fillId="0" borderId="17" xfId="0" applyNumberFormat="1" applyFont="1" applyBorder="1" applyAlignment="1">
      <alignment horizontal="center" vertical="center" wrapText="1"/>
    </xf>
    <xf numFmtId="1" fontId="95" fillId="31" borderId="45" xfId="0" applyNumberFormat="1" applyFont="1" applyFill="1" applyBorder="1" applyAlignment="1">
      <alignment horizontal="center" vertical="center" wrapText="1"/>
    </xf>
    <xf numFmtId="1" fontId="97" fillId="4" borderId="94" xfId="0" applyNumberFormat="1" applyFont="1" applyFill="1" applyBorder="1" applyAlignment="1">
      <alignment horizontal="center" vertical="center" wrapText="1"/>
    </xf>
    <xf numFmtId="0" fontId="95" fillId="0" borderId="99" xfId="0" applyFont="1" applyBorder="1" applyAlignment="1">
      <alignment horizontal="center" vertical="center" wrapText="1"/>
    </xf>
    <xf numFmtId="3" fontId="95" fillId="4" borderId="103" xfId="0" applyNumberFormat="1" applyFont="1" applyFill="1" applyBorder="1" applyAlignment="1">
      <alignment horizontal="center" vertical="center" wrapText="1"/>
    </xf>
    <xf numFmtId="1" fontId="97" fillId="30" borderId="94" xfId="0" applyNumberFormat="1" applyFont="1" applyFill="1" applyBorder="1" applyAlignment="1">
      <alignment horizontal="center" vertical="center" wrapText="1"/>
    </xf>
    <xf numFmtId="1" fontId="95" fillId="0" borderId="22" xfId="0" applyNumberFormat="1" applyFont="1" applyBorder="1" applyAlignment="1">
      <alignment horizontal="center" vertical="center" wrapText="1"/>
    </xf>
    <xf numFmtId="1" fontId="95" fillId="31" borderId="29" xfId="0" applyNumberFormat="1" applyFont="1" applyFill="1" applyBorder="1" applyAlignment="1">
      <alignment horizontal="center" vertical="center" wrapText="1"/>
    </xf>
    <xf numFmtId="1" fontId="97" fillId="4" borderId="13" xfId="0" applyNumberFormat="1" applyFont="1" applyFill="1" applyBorder="1" applyAlignment="1">
      <alignment horizontal="center" vertical="center" wrapText="1"/>
    </xf>
    <xf numFmtId="1" fontId="97" fillId="0" borderId="54" xfId="0" applyNumberFormat="1" applyFont="1" applyBorder="1" applyAlignment="1">
      <alignment horizontal="center" vertical="center" wrapText="1"/>
    </xf>
    <xf numFmtId="3" fontId="94" fillId="4" borderId="61" xfId="0" applyNumberFormat="1" applyFont="1" applyFill="1" applyBorder="1" applyAlignment="1">
      <alignment horizontal="center" vertical="center" wrapText="1"/>
    </xf>
    <xf numFmtId="1" fontId="104" fillId="30" borderId="64" xfId="0" applyNumberFormat="1" applyFont="1" applyFill="1" applyBorder="1" applyAlignment="1">
      <alignment horizontal="center" vertical="center" wrapText="1"/>
    </xf>
    <xf numFmtId="1" fontId="104" fillId="4" borderId="64" xfId="0" applyNumberFormat="1" applyFont="1" applyFill="1" applyBorder="1" applyAlignment="1">
      <alignment horizontal="center" vertical="center" wrapText="1"/>
    </xf>
    <xf numFmtId="3" fontId="95" fillId="0" borderId="5" xfId="0" applyNumberFormat="1" applyFont="1" applyBorder="1" applyAlignment="1">
      <alignment horizontal="center" vertical="center" wrapText="1"/>
    </xf>
    <xf numFmtId="49" fontId="39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0" fontId="97" fillId="32" borderId="17" xfId="0" applyNumberFormat="1" applyFont="1" applyFill="1" applyBorder="1" applyAlignment="1">
      <alignment horizontal="left" vertical="center" wrapText="1"/>
    </xf>
    <xf numFmtId="3" fontId="95" fillId="0" borderId="22" xfId="0" applyNumberFormat="1" applyFont="1" applyBorder="1" applyAlignment="1">
      <alignment horizontal="center" vertical="center" wrapText="1"/>
    </xf>
    <xf numFmtId="10" fontId="97" fillId="0" borderId="17" xfId="0" applyNumberFormat="1" applyFont="1" applyBorder="1" applyAlignment="1">
      <alignment horizontal="left" vertical="center" wrapText="1"/>
    </xf>
    <xf numFmtId="0" fontId="40" fillId="0" borderId="0" xfId="0" applyFont="1" applyAlignment="1">
      <alignment wrapText="1"/>
    </xf>
    <xf numFmtId="1" fontId="95" fillId="0" borderId="102" xfId="0" applyNumberFormat="1" applyFont="1" applyBorder="1" applyAlignment="1">
      <alignment horizontal="center" vertical="center" wrapText="1"/>
    </xf>
    <xf numFmtId="0" fontId="97" fillId="0" borderId="17" xfId="0" applyFont="1" applyBorder="1" applyAlignment="1">
      <alignment vertical="center" wrapText="1"/>
    </xf>
    <xf numFmtId="0" fontId="107" fillId="15" borderId="5" xfId="0" applyFont="1" applyFill="1" applyBorder="1" applyAlignment="1">
      <alignment horizontal="center" vertical="center" wrapText="1"/>
    </xf>
    <xf numFmtId="0" fontId="107" fillId="15" borderId="5" xfId="0" applyFont="1" applyFill="1" applyBorder="1" applyAlignment="1">
      <alignment vertical="center" wrapText="1"/>
    </xf>
    <xf numFmtId="3" fontId="107" fillId="15" borderId="5" xfId="0" applyNumberFormat="1" applyFont="1" applyFill="1" applyBorder="1" applyAlignment="1">
      <alignment horizontal="center" vertical="center" wrapText="1"/>
    </xf>
    <xf numFmtId="0" fontId="107" fillId="14" borderId="5" xfId="0" applyFont="1" applyFill="1" applyBorder="1" applyAlignment="1">
      <alignment horizontal="center" vertical="center" wrapText="1"/>
    </xf>
    <xf numFmtId="0" fontId="107" fillId="14" borderId="5" xfId="0" applyFont="1" applyFill="1" applyBorder="1" applyAlignment="1">
      <alignment vertical="center" wrapText="1"/>
    </xf>
    <xf numFmtId="3" fontId="107" fillId="14" borderId="5" xfId="0" applyNumberFormat="1" applyFont="1" applyFill="1" applyBorder="1" applyAlignment="1">
      <alignment horizontal="center" vertical="center" wrapText="1"/>
    </xf>
    <xf numFmtId="0" fontId="108" fillId="0" borderId="5" xfId="0" applyFont="1" applyBorder="1" applyAlignment="1">
      <alignment horizontal="center" vertical="center" wrapText="1"/>
    </xf>
    <xf numFmtId="0" fontId="108" fillId="0" borderId="5" xfId="0" applyFont="1" applyBorder="1" applyAlignment="1">
      <alignment vertical="center" wrapText="1"/>
    </xf>
    <xf numFmtId="3" fontId="108" fillId="0" borderId="5" xfId="0" applyNumberFormat="1" applyFont="1" applyBorder="1" applyAlignment="1">
      <alignment horizontal="center" vertical="center" wrapText="1"/>
    </xf>
    <xf numFmtId="0" fontId="107" fillId="16" borderId="5" xfId="0" applyFont="1" applyFill="1" applyBorder="1" applyAlignment="1">
      <alignment horizontal="center" vertical="center" wrapText="1"/>
    </xf>
    <xf numFmtId="0" fontId="107" fillId="16" borderId="5" xfId="0" applyFont="1" applyFill="1" applyBorder="1" applyAlignment="1">
      <alignment vertical="center" wrapText="1"/>
    </xf>
    <xf numFmtId="3" fontId="107" fillId="16" borderId="5" xfId="0" applyNumberFormat="1" applyFont="1" applyFill="1" applyBorder="1" applyAlignment="1">
      <alignment horizontal="center" vertical="center" wrapText="1"/>
    </xf>
    <xf numFmtId="1" fontId="95" fillId="31" borderId="80" xfId="0" applyNumberFormat="1" applyFont="1" applyFill="1" applyBorder="1" applyAlignment="1">
      <alignment horizontal="center" vertical="center" wrapText="1"/>
    </xf>
    <xf numFmtId="1" fontId="97" fillId="4" borderId="80" xfId="0" applyNumberFormat="1" applyFont="1" applyFill="1" applyBorder="1" applyAlignment="1">
      <alignment horizontal="center" vertical="center" wrapText="1"/>
    </xf>
    <xf numFmtId="0" fontId="107" fillId="16" borderId="0" xfId="0" applyFont="1" applyFill="1" applyAlignment="1">
      <alignment horizontal="center" vertical="center" wrapText="1"/>
    </xf>
    <xf numFmtId="3" fontId="95" fillId="0" borderId="19" xfId="0" applyNumberFormat="1" applyFont="1" applyBorder="1" applyAlignment="1">
      <alignment horizontal="center" vertical="center" wrapText="1"/>
    </xf>
    <xf numFmtId="3" fontId="95" fillId="0" borderId="68" xfId="0" applyNumberFormat="1" applyFont="1" applyBorder="1" applyAlignment="1">
      <alignment horizontal="center" vertical="center" wrapText="1"/>
    </xf>
    <xf numFmtId="3" fontId="95" fillId="0" borderId="4" xfId="0" applyNumberFormat="1" applyFont="1" applyBorder="1" applyAlignment="1">
      <alignment horizontal="center" vertical="center" wrapText="1"/>
    </xf>
    <xf numFmtId="0" fontId="109" fillId="0" borderId="5" xfId="0" applyFont="1" applyBorder="1" applyAlignment="1">
      <alignment horizontal="center" vertical="center" wrapText="1"/>
    </xf>
    <xf numFmtId="3" fontId="109" fillId="0" borderId="5" xfId="0" applyNumberFormat="1" applyFont="1" applyBorder="1" applyAlignment="1">
      <alignment horizontal="center" vertical="center" wrapText="1"/>
    </xf>
    <xf numFmtId="3" fontId="95" fillId="0" borderId="40" xfId="0" applyNumberFormat="1" applyFont="1" applyBorder="1" applyAlignment="1">
      <alignment horizontal="center" vertical="center" wrapText="1"/>
    </xf>
    <xf numFmtId="1" fontId="95" fillId="31" borderId="6" xfId="0" applyNumberFormat="1" applyFont="1" applyFill="1" applyBorder="1" applyAlignment="1">
      <alignment horizontal="center" vertical="center" wrapText="1"/>
    </xf>
    <xf numFmtId="1" fontId="97" fillId="4" borderId="6" xfId="0" applyNumberFormat="1" applyFont="1" applyFill="1" applyBorder="1" applyAlignment="1">
      <alignment horizontal="center" vertical="center" wrapText="1"/>
    </xf>
    <xf numFmtId="1" fontId="95" fillId="31" borderId="2" xfId="0" applyNumberFormat="1" applyFont="1" applyFill="1" applyBorder="1" applyAlignment="1">
      <alignment horizontal="center" vertical="center" wrapText="1"/>
    </xf>
    <xf numFmtId="1" fontId="97" fillId="4" borderId="2" xfId="0" applyNumberFormat="1" applyFont="1" applyFill="1" applyBorder="1" applyAlignment="1">
      <alignment horizontal="center" vertical="center" wrapText="1"/>
    </xf>
    <xf numFmtId="3" fontId="95" fillId="0" borderId="62" xfId="0" applyNumberFormat="1" applyFont="1" applyBorder="1" applyAlignment="1">
      <alignment horizontal="center" vertical="center" wrapText="1"/>
    </xf>
    <xf numFmtId="1" fontId="95" fillId="31" borderId="87" xfId="0" applyNumberFormat="1" applyFont="1" applyFill="1" applyBorder="1" applyAlignment="1">
      <alignment horizontal="center" vertical="center" wrapText="1"/>
    </xf>
    <xf numFmtId="1" fontId="97" fillId="4" borderId="87" xfId="0" applyNumberFormat="1" applyFont="1" applyFill="1" applyBorder="1" applyAlignment="1">
      <alignment horizontal="center" vertical="center" wrapText="1"/>
    </xf>
    <xf numFmtId="3" fontId="95" fillId="0" borderId="98" xfId="0" applyNumberFormat="1" applyFont="1" applyBorder="1" applyAlignment="1">
      <alignment horizontal="center" vertical="center" wrapText="1"/>
    </xf>
    <xf numFmtId="3" fontId="95" fillId="0" borderId="100" xfId="0" applyNumberFormat="1" applyFont="1" applyBorder="1" applyAlignment="1">
      <alignment horizontal="center" vertical="center" wrapText="1"/>
    </xf>
    <xf numFmtId="3" fontId="95" fillId="0" borderId="101" xfId="0" applyNumberFormat="1" applyFont="1" applyBorder="1" applyAlignment="1">
      <alignment horizontal="center" vertical="center" wrapText="1"/>
    </xf>
    <xf numFmtId="3" fontId="95" fillId="0" borderId="104" xfId="0" applyNumberFormat="1" applyFont="1" applyBorder="1" applyAlignment="1">
      <alignment horizontal="center" vertical="center" wrapText="1"/>
    </xf>
    <xf numFmtId="0" fontId="39" fillId="0" borderId="0" xfId="0" applyFont="1"/>
    <xf numFmtId="3" fontId="110" fillId="4" borderId="61" xfId="0" applyNumberFormat="1" applyFont="1" applyFill="1" applyBorder="1" applyAlignment="1">
      <alignment horizontal="center" vertical="center" wrapText="1"/>
    </xf>
    <xf numFmtId="1" fontId="111" fillId="30" borderId="64" xfId="0" applyNumberFormat="1" applyFont="1" applyFill="1" applyBorder="1" applyAlignment="1">
      <alignment horizontal="center" vertical="center" wrapText="1"/>
    </xf>
    <xf numFmtId="1" fontId="111" fillId="4" borderId="64" xfId="0" applyNumberFormat="1" applyFont="1" applyFill="1" applyBorder="1" applyAlignment="1">
      <alignment horizontal="center" vertical="center" wrapText="1"/>
    </xf>
    <xf numFmtId="3" fontId="95" fillId="0" borderId="99" xfId="0" applyNumberFormat="1" applyFont="1" applyBorder="1" applyAlignment="1">
      <alignment horizontal="center" vertical="center" wrapText="1"/>
    </xf>
    <xf numFmtId="3" fontId="95" fillId="0" borderId="17" xfId="0" applyNumberFormat="1" applyFont="1" applyBorder="1" applyAlignment="1">
      <alignment horizontal="center" vertical="center" wrapText="1"/>
    </xf>
    <xf numFmtId="0" fontId="96" fillId="19" borderId="17" xfId="0" applyFont="1" applyFill="1" applyBorder="1" applyAlignment="1">
      <alignment vertical="center" wrapText="1"/>
    </xf>
    <xf numFmtId="3" fontId="95" fillId="0" borderId="7" xfId="0" applyNumberFormat="1" applyFont="1" applyBorder="1" applyAlignment="1">
      <alignment horizontal="center" vertical="center" wrapText="1"/>
    </xf>
    <xf numFmtId="0" fontId="96" fillId="19" borderId="99" xfId="0" applyFont="1" applyFill="1" applyBorder="1" applyAlignment="1">
      <alignment vertical="center" wrapText="1"/>
    </xf>
    <xf numFmtId="1" fontId="95" fillId="31" borderId="102" xfId="0" applyNumberFormat="1" applyFont="1" applyFill="1" applyBorder="1" applyAlignment="1">
      <alignment horizontal="center" vertical="center" wrapText="1"/>
    </xf>
    <xf numFmtId="1" fontId="40" fillId="0" borderId="5" xfId="0" applyNumberFormat="1" applyFont="1" applyBorder="1" applyAlignment="1">
      <alignment horizontal="center" vertical="center" wrapText="1"/>
    </xf>
    <xf numFmtId="0" fontId="4" fillId="0" borderId="0" xfId="321" applyAlignment="1">
      <alignment vertical="center"/>
    </xf>
    <xf numFmtId="0" fontId="4" fillId="33" borderId="0" xfId="321" applyFill="1" applyAlignment="1">
      <alignment vertical="center"/>
    </xf>
    <xf numFmtId="0" fontId="75" fillId="0" borderId="0" xfId="321" applyFont="1" applyAlignment="1">
      <alignment vertical="center"/>
    </xf>
    <xf numFmtId="0" fontId="4" fillId="0" borderId="0" xfId="321" applyAlignment="1">
      <alignment horizontal="center" vertical="center"/>
    </xf>
    <xf numFmtId="0" fontId="4" fillId="22" borderId="0" xfId="321" applyFill="1" applyAlignment="1">
      <alignment vertical="center"/>
    </xf>
    <xf numFmtId="0" fontId="75" fillId="22" borderId="0" xfId="321" applyFont="1" applyFill="1" applyAlignment="1">
      <alignment vertical="center"/>
    </xf>
    <xf numFmtId="9" fontId="0" fillId="22" borderId="0" xfId="322" applyFont="1" applyFill="1" applyBorder="1" applyAlignment="1">
      <alignment vertical="center"/>
    </xf>
    <xf numFmtId="20" fontId="4" fillId="22" borderId="0" xfId="321" applyNumberFormat="1" applyFill="1" applyAlignment="1">
      <alignment vertical="center"/>
    </xf>
    <xf numFmtId="164" fontId="0" fillId="22" borderId="0" xfId="323" applyFont="1" applyFill="1" applyBorder="1" applyAlignment="1">
      <alignment vertical="center"/>
    </xf>
    <xf numFmtId="0" fontId="4" fillId="22" borderId="0" xfId="321" applyFill="1" applyAlignment="1">
      <alignment horizontal="right" vertical="center"/>
    </xf>
    <xf numFmtId="0" fontId="4" fillId="22" borderId="0" xfId="321" applyFill="1" applyAlignment="1">
      <alignment horizontal="center" vertical="center"/>
    </xf>
    <xf numFmtId="167" fontId="112" fillId="22" borderId="0" xfId="321" applyNumberFormat="1" applyFont="1" applyFill="1" applyAlignment="1">
      <alignment vertical="center"/>
    </xf>
    <xf numFmtId="0" fontId="112" fillId="0" borderId="0" xfId="321" applyFont="1" applyAlignment="1">
      <alignment vertical="center"/>
    </xf>
    <xf numFmtId="168" fontId="4" fillId="0" borderId="19" xfId="321" applyNumberFormat="1" applyBorder="1" applyAlignment="1">
      <alignment vertical="center"/>
    </xf>
    <xf numFmtId="0" fontId="4" fillId="0" borderId="91" xfId="321" applyBorder="1" applyAlignment="1">
      <alignment vertical="center"/>
    </xf>
    <xf numFmtId="0" fontId="4" fillId="0" borderId="23" xfId="321" applyBorder="1" applyAlignment="1">
      <alignment vertical="center"/>
    </xf>
    <xf numFmtId="0" fontId="75" fillId="0" borderId="19" xfId="321" applyFont="1" applyBorder="1" applyAlignment="1">
      <alignment vertical="center"/>
    </xf>
    <xf numFmtId="0" fontId="75" fillId="0" borderId="91" xfId="321" applyFont="1" applyBorder="1" applyAlignment="1">
      <alignment vertical="center"/>
    </xf>
    <xf numFmtId="9" fontId="0" fillId="0" borderId="91" xfId="322" applyFont="1" applyBorder="1" applyAlignment="1">
      <alignment vertical="center"/>
    </xf>
    <xf numFmtId="0" fontId="4" fillId="4" borderId="91" xfId="321" applyFill="1" applyBorder="1" applyAlignment="1">
      <alignment vertical="center"/>
    </xf>
    <xf numFmtId="20" fontId="4" fillId="4" borderId="91" xfId="321" applyNumberFormat="1" applyFill="1" applyBorder="1" applyAlignment="1">
      <alignment vertical="center"/>
    </xf>
    <xf numFmtId="20" fontId="4" fillId="0" borderId="23" xfId="321" applyNumberFormat="1" applyBorder="1" applyAlignment="1">
      <alignment vertical="center"/>
    </xf>
    <xf numFmtId="1" fontId="4" fillId="33" borderId="0" xfId="321" applyNumberFormat="1" applyFill="1" applyAlignment="1">
      <alignment horizontal="right" vertical="center"/>
    </xf>
    <xf numFmtId="0" fontId="4" fillId="4" borderId="19" xfId="321" applyFill="1" applyBorder="1" applyAlignment="1">
      <alignment horizontal="center" vertical="center"/>
    </xf>
    <xf numFmtId="1" fontId="4" fillId="33" borderId="7" xfId="321" applyNumberFormat="1" applyFill="1" applyBorder="1" applyAlignment="1">
      <alignment vertical="center"/>
    </xf>
    <xf numFmtId="0" fontId="23" fillId="0" borderId="91" xfId="321" applyFont="1" applyBorder="1" applyAlignment="1">
      <alignment horizontal="center" vertical="center"/>
    </xf>
    <xf numFmtId="167" fontId="112" fillId="0" borderId="23" xfId="321" applyNumberFormat="1" applyFont="1" applyBorder="1" applyAlignment="1">
      <alignment vertical="center"/>
    </xf>
    <xf numFmtId="168" fontId="4" fillId="0" borderId="14" xfId="321" applyNumberFormat="1" applyBorder="1" applyAlignment="1">
      <alignment vertical="center"/>
    </xf>
    <xf numFmtId="0" fontId="4" fillId="0" borderId="13" xfId="321" applyBorder="1" applyAlignment="1">
      <alignment vertical="center"/>
    </xf>
    <xf numFmtId="0" fontId="75" fillId="35" borderId="14" xfId="321" applyFont="1" applyFill="1" applyBorder="1" applyAlignment="1">
      <alignment vertical="center"/>
    </xf>
    <xf numFmtId="0" fontId="75" fillId="35" borderId="0" xfId="321" applyFont="1" applyFill="1" applyAlignment="1">
      <alignment vertical="center"/>
    </xf>
    <xf numFmtId="0" fontId="4" fillId="35" borderId="0" xfId="321" applyFill="1" applyAlignment="1">
      <alignment vertical="center"/>
    </xf>
    <xf numFmtId="9" fontId="0" fillId="35" borderId="0" xfId="322" applyFont="1" applyFill="1" applyBorder="1" applyAlignment="1">
      <alignment vertical="center"/>
    </xf>
    <xf numFmtId="20" fontId="4" fillId="35" borderId="0" xfId="321" applyNumberFormat="1" applyFill="1" applyAlignment="1">
      <alignment vertical="center"/>
    </xf>
    <xf numFmtId="164" fontId="0" fillId="35" borderId="0" xfId="323" applyFont="1" applyFill="1" applyBorder="1" applyAlignment="1">
      <alignment vertical="center"/>
    </xf>
    <xf numFmtId="20" fontId="4" fillId="35" borderId="13" xfId="321" applyNumberFormat="1" applyFill="1" applyBorder="1" applyAlignment="1">
      <alignment vertical="center"/>
    </xf>
    <xf numFmtId="0" fontId="4" fillId="4" borderId="14" xfId="321" applyFill="1" applyBorder="1" applyAlignment="1">
      <alignment horizontal="center" vertical="center"/>
    </xf>
    <xf numFmtId="1" fontId="4" fillId="33" borderId="2" xfId="321" applyNumberFormat="1" applyFill="1" applyBorder="1" applyAlignment="1">
      <alignment vertical="center"/>
    </xf>
    <xf numFmtId="0" fontId="23" fillId="0" borderId="0" xfId="321" applyFont="1" applyAlignment="1">
      <alignment horizontal="center" vertical="center"/>
    </xf>
    <xf numFmtId="167" fontId="112" fillId="0" borderId="13" xfId="321" applyNumberFormat="1" applyFont="1" applyBorder="1" applyAlignment="1">
      <alignment vertical="center"/>
    </xf>
    <xf numFmtId="0" fontId="75" fillId="0" borderId="14" xfId="321" applyFont="1" applyBorder="1" applyAlignment="1">
      <alignment vertical="center"/>
    </xf>
    <xf numFmtId="9" fontId="0" fillId="0" borderId="0" xfId="322" applyFont="1" applyBorder="1" applyAlignment="1">
      <alignment vertical="center"/>
    </xf>
    <xf numFmtId="0" fontId="4" fillId="4" borderId="0" xfId="321" applyFill="1" applyAlignment="1">
      <alignment vertical="center"/>
    </xf>
    <xf numFmtId="20" fontId="4" fillId="4" borderId="0" xfId="321" applyNumberFormat="1" applyFill="1" applyAlignment="1">
      <alignment vertical="center"/>
    </xf>
    <xf numFmtId="164" fontId="0" fillId="34" borderId="0" xfId="323" applyFont="1" applyFill="1" applyBorder="1" applyAlignment="1">
      <alignment vertical="center"/>
    </xf>
    <xf numFmtId="20" fontId="4" fillId="0" borderId="13" xfId="321" applyNumberFormat="1" applyBorder="1" applyAlignment="1">
      <alignment vertical="center"/>
    </xf>
    <xf numFmtId="0" fontId="75" fillId="35" borderId="0" xfId="321" applyFont="1" applyFill="1" applyAlignment="1">
      <alignment vertical="center" wrapText="1"/>
    </xf>
    <xf numFmtId="0" fontId="75" fillId="0" borderId="0" xfId="321" applyFont="1" applyAlignment="1">
      <alignment vertical="center" wrapText="1"/>
    </xf>
    <xf numFmtId="168" fontId="4" fillId="0" borderId="40" xfId="321" applyNumberFormat="1" applyBorder="1" applyAlignment="1">
      <alignment vertical="center"/>
    </xf>
    <xf numFmtId="0" fontId="4" fillId="0" borderId="108" xfId="321" applyBorder="1" applyAlignment="1">
      <alignment vertical="center"/>
    </xf>
    <xf numFmtId="0" fontId="4" fillId="0" borderId="51" xfId="321" applyBorder="1" applyAlignment="1">
      <alignment vertical="center"/>
    </xf>
    <xf numFmtId="0" fontId="23" fillId="33" borderId="0" xfId="321" applyFont="1" applyFill="1" applyAlignment="1">
      <alignment vertical="center"/>
    </xf>
    <xf numFmtId="168" fontId="4" fillId="0" borderId="0" xfId="321" applyNumberFormat="1" applyAlignment="1">
      <alignment vertical="center"/>
    </xf>
    <xf numFmtId="0" fontId="113" fillId="0" borderId="4" xfId="321" applyFont="1" applyBorder="1" applyAlignment="1">
      <alignment vertical="center"/>
    </xf>
    <xf numFmtId="0" fontId="113" fillId="0" borderId="32" xfId="321" applyFont="1" applyBorder="1" applyAlignment="1">
      <alignment vertical="center"/>
    </xf>
    <xf numFmtId="0" fontId="23" fillId="0" borderId="32" xfId="321" applyFont="1" applyBorder="1" applyAlignment="1">
      <alignment vertical="center"/>
    </xf>
    <xf numFmtId="9" fontId="23" fillId="0" borderId="32" xfId="322" applyFont="1" applyBorder="1" applyAlignment="1">
      <alignment vertical="center"/>
    </xf>
    <xf numFmtId="1" fontId="53" fillId="0" borderId="32" xfId="321" applyNumberFormat="1" applyFont="1" applyBorder="1" applyAlignment="1">
      <alignment vertical="center"/>
    </xf>
    <xf numFmtId="169" fontId="23" fillId="0" borderId="32" xfId="323" applyNumberFormat="1" applyFont="1" applyBorder="1" applyAlignment="1">
      <alignment vertical="center"/>
    </xf>
    <xf numFmtId="0" fontId="23" fillId="0" borderId="3" xfId="321" applyFont="1" applyBorder="1" applyAlignment="1">
      <alignment vertical="center"/>
    </xf>
    <xf numFmtId="0" fontId="23" fillId="0" borderId="0" xfId="321" applyFont="1" applyAlignment="1">
      <alignment vertical="center"/>
    </xf>
    <xf numFmtId="0" fontId="23" fillId="33" borderId="40" xfId="321" applyFont="1" applyFill="1" applyBorder="1" applyAlignment="1">
      <alignment horizontal="center" vertical="center"/>
    </xf>
    <xf numFmtId="1" fontId="23" fillId="33" borderId="6" xfId="321" applyNumberFormat="1" applyFont="1" applyFill="1" applyBorder="1" applyAlignment="1">
      <alignment vertical="center"/>
    </xf>
    <xf numFmtId="0" fontId="23" fillId="4" borderId="108" xfId="321" applyFont="1" applyFill="1" applyBorder="1" applyAlignment="1">
      <alignment vertical="center"/>
    </xf>
    <xf numFmtId="0" fontId="23" fillId="4" borderId="0" xfId="321" applyFont="1" applyFill="1" applyAlignment="1">
      <alignment vertical="center"/>
    </xf>
    <xf numFmtId="0" fontId="23" fillId="33" borderId="0" xfId="321" applyFont="1" applyFill="1" applyAlignment="1">
      <alignment horizontal="center" vertical="center"/>
    </xf>
    <xf numFmtId="167" fontId="114" fillId="33" borderId="13" xfId="321" applyNumberFormat="1" applyFont="1" applyFill="1" applyBorder="1" applyAlignment="1">
      <alignment vertical="center"/>
    </xf>
    <xf numFmtId="0" fontId="75" fillId="35" borderId="19" xfId="321" applyFont="1" applyFill="1" applyBorder="1" applyAlignment="1">
      <alignment vertical="center"/>
    </xf>
    <xf numFmtId="0" fontId="75" fillId="35" borderId="91" xfId="321" applyFont="1" applyFill="1" applyBorder="1" applyAlignment="1">
      <alignment vertical="center"/>
    </xf>
    <xf numFmtId="0" fontId="4" fillId="35" borderId="91" xfId="321" applyFill="1" applyBorder="1" applyAlignment="1">
      <alignment vertical="center"/>
    </xf>
    <xf numFmtId="9" fontId="0" fillId="35" borderId="91" xfId="322" applyFont="1" applyFill="1" applyBorder="1" applyAlignment="1">
      <alignment vertical="center"/>
    </xf>
    <xf numFmtId="20" fontId="4" fillId="35" borderId="91" xfId="321" applyNumberFormat="1" applyFill="1" applyBorder="1" applyAlignment="1">
      <alignment vertical="center"/>
    </xf>
    <xf numFmtId="20" fontId="4" fillId="35" borderId="23" xfId="321" applyNumberFormat="1" applyFill="1" applyBorder="1" applyAlignment="1">
      <alignment vertical="center"/>
    </xf>
    <xf numFmtId="9" fontId="115" fillId="35" borderId="0" xfId="322" applyFont="1" applyFill="1" applyBorder="1" applyAlignment="1">
      <alignment vertical="center" wrapText="1"/>
    </xf>
    <xf numFmtId="0" fontId="115" fillId="35" borderId="0" xfId="321" applyFont="1" applyFill="1" applyAlignment="1">
      <alignment vertical="center"/>
    </xf>
    <xf numFmtId="0" fontId="115" fillId="0" borderId="0" xfId="321" applyFont="1" applyAlignment="1">
      <alignment vertical="center"/>
    </xf>
    <xf numFmtId="0" fontId="113" fillId="0" borderId="40" xfId="321" applyFont="1" applyBorder="1" applyAlignment="1">
      <alignment vertical="center"/>
    </xf>
    <xf numFmtId="0" fontId="113" fillId="0" borderId="108" xfId="321" applyFont="1" applyBorder="1" applyAlignment="1">
      <alignment vertical="center"/>
    </xf>
    <xf numFmtId="0" fontId="23" fillId="0" borderId="108" xfId="321" applyFont="1" applyBorder="1" applyAlignment="1">
      <alignment vertical="center"/>
    </xf>
    <xf numFmtId="9" fontId="23" fillId="0" borderId="108" xfId="322" applyFont="1" applyBorder="1" applyAlignment="1">
      <alignment vertical="center"/>
    </xf>
    <xf numFmtId="1" fontId="53" fillId="0" borderId="0" xfId="321" applyNumberFormat="1" applyFont="1" applyAlignment="1">
      <alignment vertical="center"/>
    </xf>
    <xf numFmtId="169" fontId="23" fillId="0" borderId="108" xfId="323" applyNumberFormat="1" applyFont="1" applyBorder="1" applyAlignment="1">
      <alignment vertical="center"/>
    </xf>
    <xf numFmtId="0" fontId="23" fillId="0" borderId="51" xfId="321" applyFont="1" applyBorder="1" applyAlignment="1">
      <alignment vertical="center"/>
    </xf>
    <xf numFmtId="9" fontId="0" fillId="33" borderId="0" xfId="322" applyFont="1" applyFill="1" applyAlignment="1">
      <alignment vertical="center"/>
    </xf>
    <xf numFmtId="9" fontId="75" fillId="0" borderId="19" xfId="322" applyFont="1" applyBorder="1" applyAlignment="1">
      <alignment vertical="center"/>
    </xf>
    <xf numFmtId="9" fontId="75" fillId="0" borderId="91" xfId="322" applyFont="1" applyBorder="1" applyAlignment="1">
      <alignment vertical="center"/>
    </xf>
    <xf numFmtId="9" fontId="75" fillId="0" borderId="91" xfId="322" applyFont="1" applyBorder="1" applyAlignment="1">
      <alignment vertical="center" wrapText="1"/>
    </xf>
    <xf numFmtId="9" fontId="0" fillId="0" borderId="91" xfId="322" applyFont="1" applyFill="1" applyBorder="1" applyAlignment="1">
      <alignment vertical="center"/>
    </xf>
    <xf numFmtId="9" fontId="75" fillId="35" borderId="14" xfId="322" applyFont="1" applyFill="1" applyBorder="1" applyAlignment="1">
      <alignment vertical="center"/>
    </xf>
    <xf numFmtId="9" fontId="75" fillId="35" borderId="0" xfId="322" applyFont="1" applyFill="1" applyBorder="1" applyAlignment="1">
      <alignment vertical="center"/>
    </xf>
    <xf numFmtId="9" fontId="75" fillId="35" borderId="0" xfId="322" applyFont="1" applyFill="1" applyBorder="1" applyAlignment="1">
      <alignment vertical="center" wrapText="1"/>
    </xf>
    <xf numFmtId="9" fontId="75" fillId="0" borderId="14" xfId="322" applyFont="1" applyBorder="1" applyAlignment="1">
      <alignment vertical="center"/>
    </xf>
    <xf numFmtId="9" fontId="75" fillId="0" borderId="0" xfId="322" applyFont="1" applyBorder="1" applyAlignment="1">
      <alignment vertical="center"/>
    </xf>
    <xf numFmtId="9" fontId="75" fillId="0" borderId="0" xfId="322" applyFont="1" applyBorder="1" applyAlignment="1">
      <alignment vertical="center" wrapText="1"/>
    </xf>
    <xf numFmtId="9" fontId="0" fillId="0" borderId="0" xfId="322" applyFont="1" applyFill="1" applyBorder="1" applyAlignment="1">
      <alignment vertical="center"/>
    </xf>
    <xf numFmtId="9" fontId="115" fillId="35" borderId="0" xfId="322" applyFont="1" applyFill="1" applyBorder="1" applyAlignment="1">
      <alignment vertical="center"/>
    </xf>
    <xf numFmtId="9" fontId="23" fillId="0" borderId="0" xfId="322" applyFont="1" applyBorder="1" applyAlignment="1">
      <alignment vertical="center"/>
    </xf>
    <xf numFmtId="169" fontId="23" fillId="0" borderId="0" xfId="323" applyNumberFormat="1" applyFont="1" applyBorder="1" applyAlignment="1">
      <alignment vertical="center"/>
    </xf>
    <xf numFmtId="0" fontId="23" fillId="33" borderId="108" xfId="321" applyFont="1" applyFill="1" applyBorder="1" applyAlignment="1">
      <alignment horizontal="center" vertical="center"/>
    </xf>
    <xf numFmtId="167" fontId="114" fillId="4" borderId="51" xfId="321" applyNumberFormat="1" applyFont="1" applyFill="1" applyBorder="1" applyAlignment="1">
      <alignment vertical="center"/>
    </xf>
    <xf numFmtId="0" fontId="116" fillId="33" borderId="0" xfId="321" applyFont="1" applyFill="1" applyAlignment="1">
      <alignment vertical="center"/>
    </xf>
    <xf numFmtId="0" fontId="113" fillId="0" borderId="0" xfId="321" applyFont="1" applyAlignment="1">
      <alignment vertical="center"/>
    </xf>
    <xf numFmtId="0" fontId="116" fillId="0" borderId="0" xfId="321" applyFont="1" applyAlignment="1">
      <alignment vertical="center"/>
    </xf>
    <xf numFmtId="9" fontId="23" fillId="0" borderId="0" xfId="322" applyFont="1" applyAlignment="1">
      <alignment vertical="center"/>
    </xf>
    <xf numFmtId="20" fontId="116" fillId="22" borderId="0" xfId="321" applyNumberFormat="1" applyFont="1" applyFill="1" applyAlignment="1">
      <alignment vertical="center"/>
    </xf>
    <xf numFmtId="1" fontId="116" fillId="0" borderId="0" xfId="321" applyNumberFormat="1" applyFont="1" applyAlignment="1">
      <alignment vertical="center"/>
    </xf>
    <xf numFmtId="20" fontId="116" fillId="0" borderId="0" xfId="321" applyNumberFormat="1" applyFont="1" applyAlignment="1">
      <alignment vertical="center"/>
    </xf>
    <xf numFmtId="1" fontId="116" fillId="33" borderId="0" xfId="321" applyNumberFormat="1" applyFont="1" applyFill="1" applyAlignment="1">
      <alignment vertical="center"/>
    </xf>
    <xf numFmtId="0" fontId="116" fillId="0" borderId="0" xfId="321" applyFont="1" applyAlignment="1">
      <alignment horizontal="center" vertical="center"/>
    </xf>
    <xf numFmtId="1" fontId="116" fillId="33" borderId="0" xfId="321" applyNumberFormat="1" applyFont="1" applyFill="1" applyAlignment="1">
      <alignment horizontal="right" vertical="center"/>
    </xf>
    <xf numFmtId="167" fontId="116" fillId="0" borderId="0" xfId="321" applyNumberFormat="1" applyFont="1" applyAlignment="1">
      <alignment vertical="center"/>
    </xf>
    <xf numFmtId="1" fontId="4" fillId="33" borderId="0" xfId="321" applyNumberFormat="1" applyFill="1" applyAlignment="1">
      <alignment vertical="center"/>
    </xf>
    <xf numFmtId="0" fontId="115" fillId="35" borderId="0" xfId="321" applyFont="1" applyFill="1" applyAlignment="1">
      <alignment vertical="center" wrapText="1"/>
    </xf>
    <xf numFmtId="1" fontId="23" fillId="0" borderId="0" xfId="321" applyNumberFormat="1" applyFont="1" applyAlignment="1">
      <alignment horizontal="right" vertical="center"/>
    </xf>
    <xf numFmtId="0" fontId="76" fillId="35" borderId="0" xfId="321" applyFont="1" applyFill="1" applyAlignment="1">
      <alignment vertical="center" wrapText="1"/>
    </xf>
    <xf numFmtId="0" fontId="76" fillId="0" borderId="0" xfId="321" applyFont="1" applyAlignment="1">
      <alignment vertical="center" wrapText="1"/>
    </xf>
    <xf numFmtId="9" fontId="115" fillId="0" borderId="91" xfId="322" applyFont="1" applyBorder="1" applyAlignment="1">
      <alignment vertical="center" wrapText="1"/>
    </xf>
    <xf numFmtId="0" fontId="75" fillId="0" borderId="91" xfId="321" applyFont="1" applyBorder="1" applyAlignment="1">
      <alignment vertical="center" wrapText="1"/>
    </xf>
    <xf numFmtId="0" fontId="113" fillId="35" borderId="0" xfId="321" applyFont="1" applyFill="1" applyAlignment="1">
      <alignment vertical="center" wrapText="1"/>
    </xf>
    <xf numFmtId="1" fontId="23" fillId="0" borderId="0" xfId="321" applyNumberFormat="1" applyFont="1" applyAlignment="1">
      <alignment vertical="center"/>
    </xf>
    <xf numFmtId="9" fontId="115" fillId="0" borderId="0" xfId="322" applyFont="1" applyBorder="1" applyAlignment="1">
      <alignment vertical="center"/>
    </xf>
    <xf numFmtId="0" fontId="112" fillId="4" borderId="0" xfId="321" applyFont="1" applyFill="1" applyAlignment="1">
      <alignment vertical="center"/>
    </xf>
    <xf numFmtId="0" fontId="112" fillId="0" borderId="0" xfId="321" applyFont="1" applyAlignment="1">
      <alignment horizontal="center" vertical="center"/>
    </xf>
    <xf numFmtId="0" fontId="4" fillId="33" borderId="0" xfId="321" applyFill="1" applyAlignment="1">
      <alignment horizontal="center" vertical="center"/>
    </xf>
    <xf numFmtId="0" fontId="113" fillId="4" borderId="40" xfId="321" applyFont="1" applyFill="1" applyBorder="1" applyAlignment="1">
      <alignment horizontal="center" vertical="center"/>
    </xf>
    <xf numFmtId="0" fontId="113" fillId="4" borderId="108" xfId="321" applyFont="1" applyFill="1" applyBorder="1" applyAlignment="1">
      <alignment horizontal="center" vertical="center"/>
    </xf>
    <xf numFmtId="0" fontId="4" fillId="0" borderId="108" xfId="321" applyBorder="1" applyAlignment="1">
      <alignment horizontal="center" vertical="center"/>
    </xf>
    <xf numFmtId="0" fontId="23" fillId="4" borderId="108" xfId="321" applyFont="1" applyFill="1" applyBorder="1" applyAlignment="1">
      <alignment horizontal="center" vertical="center"/>
    </xf>
    <xf numFmtId="0" fontId="23" fillId="0" borderId="108" xfId="321" applyFont="1" applyBorder="1" applyAlignment="1">
      <alignment horizontal="center" vertical="center"/>
    </xf>
    <xf numFmtId="0" fontId="23" fillId="0" borderId="51" xfId="321" applyFont="1" applyBorder="1" applyAlignment="1">
      <alignment horizontal="center" vertical="center"/>
    </xf>
    <xf numFmtId="166" fontId="23" fillId="0" borderId="0" xfId="322" applyNumberFormat="1" applyFont="1" applyAlignment="1">
      <alignment vertical="center"/>
    </xf>
    <xf numFmtId="0" fontId="4" fillId="4" borderId="0" xfId="321" applyFill="1" applyAlignment="1">
      <alignment horizontal="center" vertical="center"/>
    </xf>
    <xf numFmtId="9" fontId="0" fillId="0" borderId="0" xfId="322" applyFont="1" applyAlignment="1">
      <alignment vertical="center"/>
    </xf>
    <xf numFmtId="164" fontId="0" fillId="34" borderId="0" xfId="323" applyFont="1" applyFill="1" applyAlignment="1">
      <alignment vertical="center"/>
    </xf>
    <xf numFmtId="0" fontId="3" fillId="0" borderId="0" xfId="321" applyFont="1" applyAlignment="1">
      <alignment vertical="center"/>
    </xf>
    <xf numFmtId="0" fontId="3" fillId="0" borderId="0" xfId="321" applyFont="1" applyAlignment="1">
      <alignment horizontal="center" vertical="center"/>
    </xf>
    <xf numFmtId="0" fontId="119" fillId="33" borderId="0" xfId="321" applyFont="1" applyFill="1" applyAlignment="1">
      <alignment vertical="center"/>
    </xf>
    <xf numFmtId="0" fontId="118" fillId="0" borderId="0" xfId="321" applyFont="1" applyAlignment="1">
      <alignment vertical="center"/>
    </xf>
    <xf numFmtId="0" fontId="3" fillId="33" borderId="0" xfId="321" applyFont="1" applyFill="1" applyAlignment="1">
      <alignment vertical="center"/>
    </xf>
    <xf numFmtId="0" fontId="118" fillId="33" borderId="0" xfId="321" applyFont="1" applyFill="1" applyAlignment="1">
      <alignment vertical="center"/>
    </xf>
    <xf numFmtId="0" fontId="3" fillId="22" borderId="0" xfId="321" applyFont="1" applyFill="1" applyAlignment="1">
      <alignment vertical="center"/>
    </xf>
    <xf numFmtId="0" fontId="120" fillId="0" borderId="0" xfId="321" applyFont="1" applyAlignment="1">
      <alignment vertical="center" wrapText="1"/>
    </xf>
    <xf numFmtId="164" fontId="0" fillId="22" borderId="0" xfId="323" applyFont="1" applyFill="1" applyAlignment="1">
      <alignment vertical="center"/>
    </xf>
    <xf numFmtId="9" fontId="0" fillId="22" borderId="0" xfId="322" applyFont="1" applyFill="1" applyAlignment="1">
      <alignment vertical="center"/>
    </xf>
    <xf numFmtId="0" fontId="115" fillId="0" borderId="0" xfId="321" applyFont="1" applyAlignment="1">
      <alignment vertical="center" wrapText="1"/>
    </xf>
    <xf numFmtId="170" fontId="4" fillId="4" borderId="0" xfId="321" applyNumberFormat="1" applyFill="1" applyAlignment="1">
      <alignment vertical="center"/>
    </xf>
    <xf numFmtId="0" fontId="75" fillId="35" borderId="14" xfId="321" applyFont="1" applyFill="1" applyBorder="1" applyAlignment="1">
      <alignment vertical="center" wrapText="1"/>
    </xf>
    <xf numFmtId="0" fontId="75" fillId="0" borderId="14" xfId="321" applyFont="1" applyBorder="1" applyAlignment="1">
      <alignment vertical="center" wrapText="1"/>
    </xf>
    <xf numFmtId="0" fontId="75" fillId="35" borderId="91" xfId="321" applyFont="1" applyFill="1" applyBorder="1" applyAlignment="1">
      <alignment vertical="center" wrapText="1"/>
    </xf>
    <xf numFmtId="2" fontId="4" fillId="0" borderId="0" xfId="321" applyNumberFormat="1" applyAlignment="1">
      <alignment vertical="center"/>
    </xf>
    <xf numFmtId="2" fontId="4" fillId="35" borderId="0" xfId="321" applyNumberFormat="1" applyFill="1" applyAlignment="1">
      <alignment vertical="center"/>
    </xf>
    <xf numFmtId="0" fontId="23" fillId="0" borderId="13" xfId="321" applyFont="1" applyBorder="1" applyAlignment="1">
      <alignment vertical="center"/>
    </xf>
    <xf numFmtId="0" fontId="117" fillId="4" borderId="0" xfId="321" applyFont="1" applyFill="1" applyAlignment="1">
      <alignment horizontal="center" vertical="center"/>
    </xf>
    <xf numFmtId="164" fontId="0" fillId="22" borderId="91" xfId="323" applyFont="1" applyFill="1" applyBorder="1" applyAlignment="1">
      <alignment vertical="center"/>
    </xf>
    <xf numFmtId="164" fontId="0" fillId="12" borderId="0" xfId="323" applyFont="1" applyFill="1" applyAlignment="1">
      <alignment vertical="center"/>
    </xf>
    <xf numFmtId="9" fontId="0" fillId="12" borderId="0" xfId="322" applyFont="1" applyFill="1" applyAlignment="1">
      <alignment vertical="center"/>
    </xf>
    <xf numFmtId="9" fontId="0" fillId="12" borderId="91" xfId="322" applyFont="1" applyFill="1" applyBorder="1" applyAlignment="1">
      <alignment vertical="center"/>
    </xf>
    <xf numFmtId="164" fontId="0" fillId="12" borderId="0" xfId="323" applyFont="1" applyFill="1" applyBorder="1" applyAlignment="1">
      <alignment vertical="center"/>
    </xf>
    <xf numFmtId="9" fontId="0" fillId="12" borderId="0" xfId="322" applyFont="1" applyFill="1" applyBorder="1" applyAlignment="1">
      <alignment vertical="center"/>
    </xf>
    <xf numFmtId="164" fontId="0" fillId="34" borderId="122" xfId="323" applyFont="1" applyFill="1" applyBorder="1" applyAlignment="1">
      <alignment vertical="center"/>
    </xf>
    <xf numFmtId="9" fontId="0" fillId="0" borderId="122" xfId="322" applyFont="1" applyBorder="1" applyAlignment="1">
      <alignment vertical="center"/>
    </xf>
    <xf numFmtId="0" fontId="92" fillId="0" borderId="0" xfId="321" applyFont="1" applyAlignment="1">
      <alignment vertical="center" wrapText="1"/>
    </xf>
    <xf numFmtId="0" fontId="124" fillId="12" borderId="0" xfId="321" applyFont="1" applyFill="1" applyAlignment="1">
      <alignment vertical="center" wrapText="1"/>
    </xf>
    <xf numFmtId="0" fontId="124" fillId="0" borderId="0" xfId="321" applyFont="1" applyAlignment="1">
      <alignment vertical="center" wrapText="1"/>
    </xf>
    <xf numFmtId="0" fontId="0" fillId="0" borderId="0" xfId="0" applyAlignment="1">
      <alignment horizontal="right" vertical="center"/>
    </xf>
    <xf numFmtId="0" fontId="125" fillId="0" borderId="0" xfId="321" applyFont="1" applyAlignment="1">
      <alignment vertical="center"/>
    </xf>
    <xf numFmtId="9" fontId="125" fillId="0" borderId="0" xfId="280" applyFont="1" applyAlignment="1">
      <alignment vertical="center"/>
    </xf>
    <xf numFmtId="0" fontId="23" fillId="0" borderId="113" xfId="321" applyFont="1" applyBorder="1" applyAlignment="1">
      <alignment vertical="center"/>
    </xf>
    <xf numFmtId="9" fontId="115" fillId="12" borderId="0" xfId="322" applyFont="1" applyFill="1" applyAlignment="1">
      <alignment vertical="center" wrapText="1"/>
    </xf>
    <xf numFmtId="0" fontId="115" fillId="0" borderId="0" xfId="0" applyFont="1"/>
    <xf numFmtId="9" fontId="126" fillId="12" borderId="0" xfId="322" applyFont="1" applyFill="1" applyAlignment="1">
      <alignment vertical="center" wrapText="1"/>
    </xf>
    <xf numFmtId="9" fontId="126" fillId="0" borderId="0" xfId="322" applyFont="1" applyAlignment="1">
      <alignment vertical="center" wrapText="1"/>
    </xf>
    <xf numFmtId="0" fontId="97" fillId="0" borderId="17" xfId="0" quotePrefix="1" applyFont="1" applyBorder="1" applyAlignment="1">
      <alignment vertical="center" wrapText="1"/>
    </xf>
    <xf numFmtId="0" fontId="97" fillId="16" borderId="17" xfId="0" applyFont="1" applyFill="1" applyBorder="1" applyAlignment="1">
      <alignment vertical="center" wrapText="1"/>
    </xf>
    <xf numFmtId="1" fontId="38" fillId="32" borderId="17" xfId="0" applyNumberFormat="1" applyFont="1" applyFill="1" applyBorder="1" applyAlignment="1">
      <alignment horizontal="center" vertical="center" wrapText="1"/>
    </xf>
    <xf numFmtId="1" fontId="40" fillId="0" borderId="17" xfId="0" applyNumberFormat="1" applyFont="1" applyBorder="1" applyAlignment="1">
      <alignment horizontal="center" vertical="center" wrapText="1"/>
    </xf>
    <xf numFmtId="1" fontId="40" fillId="32" borderId="17" xfId="0" applyNumberFormat="1" applyFont="1" applyFill="1" applyBorder="1" applyAlignment="1">
      <alignment horizontal="center" vertical="center" wrapText="1"/>
    </xf>
    <xf numFmtId="0" fontId="40" fillId="0" borderId="17" xfId="0" applyFont="1" applyBorder="1" applyAlignment="1">
      <alignment wrapText="1"/>
    </xf>
    <xf numFmtId="0" fontId="106" fillId="0" borderId="17" xfId="0" applyFont="1" applyBorder="1" applyAlignment="1">
      <alignment vertical="center" wrapText="1"/>
    </xf>
    <xf numFmtId="0" fontId="106" fillId="0" borderId="17" xfId="0" applyFont="1" applyBorder="1" applyAlignment="1">
      <alignment horizontal="left" vertical="center" wrapText="1"/>
    </xf>
    <xf numFmtId="0" fontId="106" fillId="0" borderId="17" xfId="0" quotePrefix="1" applyFont="1" applyBorder="1" applyAlignment="1">
      <alignment horizontal="left" vertical="center" wrapText="1"/>
    </xf>
    <xf numFmtId="1" fontId="105" fillId="22" borderId="17" xfId="0" applyNumberFormat="1" applyFont="1" applyFill="1" applyBorder="1" applyAlignment="1">
      <alignment horizontal="left" vertical="center" wrapText="1"/>
    </xf>
    <xf numFmtId="0" fontId="97" fillId="16" borderId="51" xfId="0" applyFont="1" applyFill="1" applyBorder="1" applyAlignment="1">
      <alignment vertical="center" wrapText="1"/>
    </xf>
    <xf numFmtId="0" fontId="97" fillId="16" borderId="125" xfId="0" applyFont="1" applyFill="1" applyBorder="1" applyAlignment="1">
      <alignment vertical="center" wrapText="1"/>
    </xf>
    <xf numFmtId="0" fontId="97" fillId="16" borderId="13" xfId="0" applyFont="1" applyFill="1" applyBorder="1" applyAlignment="1">
      <alignment vertical="center" wrapText="1"/>
    </xf>
    <xf numFmtId="0" fontId="97" fillId="0" borderId="54" xfId="0" applyFont="1" applyBorder="1" applyAlignment="1">
      <alignment vertical="center" wrapText="1"/>
    </xf>
    <xf numFmtId="0" fontId="97" fillId="16" borderId="54" xfId="0" applyFont="1" applyFill="1" applyBorder="1" applyAlignment="1">
      <alignment vertical="center" wrapText="1"/>
    </xf>
    <xf numFmtId="0" fontId="0" fillId="18" borderId="0" xfId="0" applyFill="1"/>
    <xf numFmtId="0" fontId="106" fillId="0" borderId="17" xfId="0" quotePrefix="1" applyFont="1" applyBorder="1" applyAlignment="1">
      <alignment vertical="center" wrapText="1"/>
    </xf>
    <xf numFmtId="10" fontId="106" fillId="0" borderId="17" xfId="0" applyNumberFormat="1" applyFont="1" applyBorder="1" applyAlignment="1">
      <alignment horizontal="left" vertical="center" wrapText="1"/>
    </xf>
    <xf numFmtId="10" fontId="92" fillId="32" borderId="54" xfId="0" applyNumberFormat="1" applyFont="1" applyFill="1" applyBorder="1" applyAlignment="1">
      <alignment horizontal="left" vertical="center" wrapText="1"/>
    </xf>
    <xf numFmtId="0" fontId="97" fillId="16" borderId="128" xfId="0" applyFont="1" applyFill="1" applyBorder="1" applyAlignment="1">
      <alignment vertical="center" wrapText="1"/>
    </xf>
    <xf numFmtId="10" fontId="92" fillId="0" borderId="54" xfId="0" applyNumberFormat="1" applyFont="1" applyBorder="1" applyAlignment="1">
      <alignment horizontal="left" vertical="center" wrapText="1"/>
    </xf>
    <xf numFmtId="0" fontId="97" fillId="16" borderId="106" xfId="0" applyFont="1" applyFill="1" applyBorder="1" applyAlignment="1">
      <alignment vertical="center" wrapText="1"/>
    </xf>
    <xf numFmtId="10" fontId="97" fillId="0" borderId="54" xfId="0" applyNumberFormat="1" applyFont="1" applyBorder="1" applyAlignment="1">
      <alignment horizontal="left" vertical="center" wrapText="1"/>
    </xf>
    <xf numFmtId="0" fontId="97" fillId="16" borderId="64" xfId="0" applyFont="1" applyFill="1" applyBorder="1" applyAlignment="1">
      <alignment vertical="center" wrapText="1"/>
    </xf>
    <xf numFmtId="0" fontId="97" fillId="0" borderId="130" xfId="0" applyFont="1" applyBorder="1" applyAlignment="1">
      <alignment vertical="center" wrapText="1"/>
    </xf>
    <xf numFmtId="10" fontId="97" fillId="0" borderId="130" xfId="0" applyNumberFormat="1" applyFont="1" applyBorder="1" applyAlignment="1">
      <alignment horizontal="left" vertical="center" wrapText="1"/>
    </xf>
    <xf numFmtId="10" fontId="97" fillId="32" borderId="54" xfId="0" applyNumberFormat="1" applyFont="1" applyFill="1" applyBorder="1" applyAlignment="1">
      <alignment horizontal="left" vertical="center" wrapText="1"/>
    </xf>
    <xf numFmtId="10" fontId="97" fillId="0" borderId="126" xfId="0" applyNumberFormat="1" applyFont="1" applyBorder="1" applyAlignment="1">
      <alignment horizontal="left" vertical="center" wrapText="1"/>
    </xf>
    <xf numFmtId="3" fontId="95" fillId="0" borderId="100" xfId="0" applyNumberFormat="1" applyFont="1" applyBorder="1" applyAlignment="1">
      <alignment horizontal="left" vertical="center" wrapText="1"/>
    </xf>
    <xf numFmtId="0" fontId="102" fillId="0" borderId="3" xfId="0" quotePrefix="1" applyFont="1" applyBorder="1" applyAlignment="1">
      <alignment horizontal="left" vertical="top" wrapText="1"/>
    </xf>
    <xf numFmtId="10" fontId="102" fillId="0" borderId="54" xfId="0" applyNumberFormat="1" applyFont="1" applyBorder="1" applyAlignment="1">
      <alignment horizontal="left" vertical="center" wrapText="1"/>
    </xf>
    <xf numFmtId="3" fontId="94" fillId="4" borderId="107" xfId="0" applyNumberFormat="1" applyFont="1" applyFill="1" applyBorder="1" applyAlignment="1">
      <alignment horizontal="center" vertical="center" wrapText="1"/>
    </xf>
    <xf numFmtId="1" fontId="104" fillId="30" borderId="106" xfId="0" applyNumberFormat="1" applyFont="1" applyFill="1" applyBorder="1" applyAlignment="1">
      <alignment horizontal="center" vertical="center" wrapText="1"/>
    </xf>
    <xf numFmtId="1" fontId="104" fillId="4" borderId="106" xfId="0" applyNumberFormat="1" applyFont="1" applyFill="1" applyBorder="1" applyAlignment="1">
      <alignment horizontal="center" vertical="center" wrapText="1"/>
    </xf>
    <xf numFmtId="1" fontId="38" fillId="0" borderId="83" xfId="0" applyNumberFormat="1" applyFont="1" applyBorder="1" applyAlignment="1">
      <alignment horizontal="left" vertical="center" wrapText="1"/>
    </xf>
    <xf numFmtId="10" fontId="106" fillId="0" borderId="93" xfId="0" applyNumberFormat="1" applyFont="1" applyBorder="1" applyAlignment="1">
      <alignment horizontal="left" vertical="center" wrapText="1"/>
    </xf>
    <xf numFmtId="1" fontId="92" fillId="32" borderId="17" xfId="0" applyNumberFormat="1" applyFont="1" applyFill="1" applyBorder="1" applyAlignment="1">
      <alignment horizontal="center" vertical="center"/>
    </xf>
    <xf numFmtId="1" fontId="92" fillId="0" borderId="17" xfId="0" applyNumberFormat="1" applyFont="1" applyBorder="1" applyAlignment="1">
      <alignment horizontal="center" vertical="center"/>
    </xf>
    <xf numFmtId="0" fontId="101" fillId="0" borderId="17" xfId="0" applyFont="1" applyBorder="1" applyAlignment="1">
      <alignment vertical="center" wrapText="1"/>
    </xf>
    <xf numFmtId="1" fontId="40" fillId="0" borderId="17" xfId="0" applyNumberFormat="1" applyFont="1" applyBorder="1" applyAlignment="1">
      <alignment horizontal="left" vertical="center" wrapText="1"/>
    </xf>
    <xf numFmtId="1" fontId="40" fillId="0" borderId="17" xfId="0" quotePrefix="1" applyNumberFormat="1" applyFont="1" applyBorder="1" applyAlignment="1">
      <alignment horizontal="left" vertical="center" wrapText="1"/>
    </xf>
    <xf numFmtId="1" fontId="38" fillId="0" borderId="17" xfId="0" applyNumberFormat="1" applyFont="1" applyBorder="1" applyAlignment="1">
      <alignment horizontal="left" vertical="center" wrapText="1"/>
    </xf>
    <xf numFmtId="0" fontId="101" fillId="0" borderId="17" xfId="0" quotePrefix="1" applyFont="1" applyBorder="1" applyAlignment="1">
      <alignment vertical="center" wrapText="1"/>
    </xf>
    <xf numFmtId="0" fontId="103" fillId="0" borderId="17" xfId="0" applyFont="1" applyBorder="1" applyAlignment="1">
      <alignment vertical="center" wrapText="1"/>
    </xf>
    <xf numFmtId="1" fontId="97" fillId="4" borderId="128" xfId="0" applyNumberFormat="1" applyFont="1" applyFill="1" applyBorder="1" applyAlignment="1">
      <alignment horizontal="center" vertical="center" wrapText="1"/>
    </xf>
    <xf numFmtId="1" fontId="97" fillId="0" borderId="126" xfId="0" applyNumberFormat="1" applyFont="1" applyBorder="1" applyAlignment="1">
      <alignment horizontal="center" vertical="center" wrapText="1"/>
    </xf>
    <xf numFmtId="1" fontId="97" fillId="4" borderId="76" xfId="0" applyNumberFormat="1" applyFont="1" applyFill="1" applyBorder="1" applyAlignment="1">
      <alignment horizontal="center" vertical="center" wrapText="1"/>
    </xf>
    <xf numFmtId="1" fontId="97" fillId="4" borderId="125" xfId="0" applyNumberFormat="1" applyFont="1" applyFill="1" applyBorder="1" applyAlignment="1">
      <alignment horizontal="center" vertical="center" wrapText="1"/>
    </xf>
    <xf numFmtId="1" fontId="97" fillId="4" borderId="51" xfId="0" applyNumberFormat="1" applyFont="1" applyFill="1" applyBorder="1" applyAlignment="1">
      <alignment horizontal="center" vertical="center" wrapText="1"/>
    </xf>
    <xf numFmtId="1" fontId="97" fillId="0" borderId="130" xfId="0" applyNumberFormat="1" applyFont="1" applyBorder="1" applyAlignment="1">
      <alignment horizontal="center" vertical="center" wrapText="1"/>
    </xf>
    <xf numFmtId="1" fontId="38" fillId="32" borderId="83" xfId="0" applyNumberFormat="1" applyFont="1" applyFill="1" applyBorder="1" applyAlignment="1">
      <alignment horizontal="left" vertical="center" wrapText="1"/>
    </xf>
    <xf numFmtId="10" fontId="92" fillId="32" borderId="54" xfId="0" quotePrefix="1" applyNumberFormat="1" applyFont="1" applyFill="1" applyBorder="1" applyAlignment="1">
      <alignment horizontal="left" vertical="center" wrapText="1"/>
    </xf>
    <xf numFmtId="10" fontId="92" fillId="0" borderId="54" xfId="0" quotePrefix="1" applyNumberFormat="1" applyFont="1" applyBorder="1" applyAlignment="1">
      <alignment horizontal="left" vertical="center" wrapText="1"/>
    </xf>
    <xf numFmtId="10" fontId="92" fillId="0" borderId="17" xfId="0" quotePrefix="1" applyNumberFormat="1" applyFont="1" applyBorder="1" applyAlignment="1">
      <alignment horizontal="left" vertical="center" wrapText="1"/>
    </xf>
    <xf numFmtId="1" fontId="94" fillId="31" borderId="80" xfId="0" applyNumberFormat="1" applyFont="1" applyFill="1" applyBorder="1" applyAlignment="1">
      <alignment horizontal="center" vertical="center" wrapText="1"/>
    </xf>
    <xf numFmtId="1" fontId="104" fillId="4" borderId="80" xfId="0" applyNumberFormat="1" applyFont="1" applyFill="1" applyBorder="1" applyAlignment="1">
      <alignment horizontal="center" vertical="center" wrapText="1"/>
    </xf>
    <xf numFmtId="1" fontId="128" fillId="0" borderId="83" xfId="0" applyNumberFormat="1" applyFont="1" applyBorder="1" applyAlignment="1">
      <alignment horizontal="center" vertical="center" wrapText="1"/>
    </xf>
    <xf numFmtId="1" fontId="129" fillId="0" borderId="83" xfId="0" applyNumberFormat="1" applyFont="1" applyBorder="1" applyAlignment="1">
      <alignment horizontal="center" vertical="center" wrapText="1"/>
    </xf>
    <xf numFmtId="1" fontId="0" fillId="32" borderId="83" xfId="0" applyNumberFormat="1" applyFill="1" applyBorder="1" applyAlignment="1">
      <alignment horizontal="center" vertical="center" wrapText="1"/>
    </xf>
    <xf numFmtId="1" fontId="94" fillId="31" borderId="87" xfId="0" applyNumberFormat="1" applyFont="1" applyFill="1" applyBorder="1" applyAlignment="1">
      <alignment horizontal="center" vertical="center" wrapText="1"/>
    </xf>
    <xf numFmtId="1" fontId="104" fillId="4" borderId="87" xfId="0" applyNumberFormat="1" applyFont="1" applyFill="1" applyBorder="1" applyAlignment="1">
      <alignment horizontal="center" vertical="center" wrapText="1"/>
    </xf>
    <xf numFmtId="1" fontId="91" fillId="0" borderId="83" xfId="0" applyNumberFormat="1" applyFont="1" applyBorder="1" applyAlignment="1">
      <alignment horizontal="left" vertical="center" wrapText="1"/>
    </xf>
    <xf numFmtId="1" fontId="95" fillId="0" borderId="6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left" wrapText="1"/>
    </xf>
    <xf numFmtId="0" fontId="40" fillId="0" borderId="17" xfId="0" applyFont="1" applyBorder="1" applyAlignment="1">
      <alignment horizontal="left" wrapText="1"/>
    </xf>
    <xf numFmtId="1" fontId="35" fillId="0" borderId="17" xfId="0" quotePrefix="1" applyNumberFormat="1" applyFont="1" applyBorder="1" applyAlignment="1">
      <alignment horizontal="left" vertical="center" wrapText="1"/>
    </xf>
    <xf numFmtId="1" fontId="35" fillId="0" borderId="17" xfId="0" applyNumberFormat="1" applyFont="1" applyBorder="1" applyAlignment="1">
      <alignment horizontal="center" vertical="center" wrapText="1"/>
    </xf>
    <xf numFmtId="10" fontId="102" fillId="0" borderId="54" xfId="0" quotePrefix="1" applyNumberFormat="1" applyFont="1" applyBorder="1" applyAlignment="1">
      <alignment horizontal="left" vertical="center" wrapText="1"/>
    </xf>
    <xf numFmtId="1" fontId="38" fillId="22" borderId="17" xfId="0" applyNumberFormat="1" applyFont="1" applyFill="1" applyBorder="1" applyAlignment="1">
      <alignment horizontal="left" vertical="center" wrapText="1"/>
    </xf>
    <xf numFmtId="0" fontId="97" fillId="0" borderId="55" xfId="0" applyFont="1" applyBorder="1" applyAlignment="1">
      <alignment vertical="center" wrapText="1"/>
    </xf>
    <xf numFmtId="0" fontId="97" fillId="16" borderId="56" xfId="0" applyFont="1" applyFill="1" applyBorder="1" applyAlignment="1">
      <alignment vertical="center" wrapText="1"/>
    </xf>
    <xf numFmtId="1" fontId="95" fillId="0" borderId="86" xfId="0" applyNumberFormat="1" applyFont="1" applyBorder="1" applyAlignment="1">
      <alignment horizontal="center" vertical="center" wrapText="1"/>
    </xf>
    <xf numFmtId="10" fontId="92" fillId="32" borderId="92" xfId="0" applyNumberFormat="1" applyFont="1" applyFill="1" applyBorder="1" applyAlignment="1">
      <alignment horizontal="left" vertical="center" wrapText="1"/>
    </xf>
    <xf numFmtId="1" fontId="128" fillId="32" borderId="83" xfId="0" applyNumberFormat="1" applyFont="1" applyFill="1" applyBorder="1" applyAlignment="1">
      <alignment horizontal="center" vertical="center" wrapText="1"/>
    </xf>
    <xf numFmtId="0" fontId="96" fillId="0" borderId="17" xfId="0" applyFont="1" applyBorder="1" applyAlignment="1">
      <alignment vertical="center" wrapText="1"/>
    </xf>
    <xf numFmtId="0" fontId="96" fillId="0" borderId="99" xfId="0" applyFont="1" applyBorder="1" applyAlignment="1">
      <alignment vertical="center" wrapText="1"/>
    </xf>
    <xf numFmtId="0" fontId="96" fillId="0" borderId="102" xfId="0" applyFont="1" applyBorder="1" applyAlignment="1">
      <alignment vertical="center" wrapText="1"/>
    </xf>
    <xf numFmtId="0" fontId="95" fillId="23" borderId="5" xfId="0" applyFont="1" applyFill="1" applyBorder="1"/>
    <xf numFmtId="0" fontId="130" fillId="0" borderId="0" xfId="0" applyFont="1" applyAlignment="1">
      <alignment vertical="center"/>
    </xf>
    <xf numFmtId="1" fontId="131" fillId="32" borderId="83" xfId="0" applyNumberFormat="1" applyFont="1" applyFill="1" applyBorder="1" applyAlignment="1">
      <alignment horizontal="center" vertical="center" wrapText="1"/>
    </xf>
    <xf numFmtId="1" fontId="131" fillId="0" borderId="83" xfId="0" applyNumberFormat="1" applyFont="1" applyBorder="1" applyAlignment="1">
      <alignment horizontal="center" vertical="center" wrapText="1"/>
    </xf>
    <xf numFmtId="10" fontId="98" fillId="0" borderId="84" xfId="0" applyNumberFormat="1" applyFont="1" applyBorder="1" applyAlignment="1">
      <alignment horizontal="left" vertical="center" wrapText="1"/>
    </xf>
    <xf numFmtId="0" fontId="92" fillId="0" borderId="17" xfId="0" applyFont="1" applyBorder="1" applyAlignment="1">
      <alignment vertical="center" wrapText="1"/>
    </xf>
    <xf numFmtId="1" fontId="121" fillId="0" borderId="83" xfId="0" applyNumberFormat="1" applyFont="1" applyBorder="1" applyAlignment="1">
      <alignment horizontal="center" vertical="center" wrapText="1"/>
    </xf>
    <xf numFmtId="10" fontId="92" fillId="0" borderId="84" xfId="0" quotePrefix="1" applyNumberFormat="1" applyFont="1" applyBorder="1" applyAlignment="1">
      <alignment horizontal="left" vertical="center" wrapText="1"/>
    </xf>
    <xf numFmtId="1" fontId="94" fillId="31" borderId="14" xfId="0" applyNumberFormat="1" applyFont="1" applyFill="1" applyBorder="1" applyAlignment="1">
      <alignment horizontal="center" vertical="center" wrapText="1"/>
    </xf>
    <xf numFmtId="1" fontId="104" fillId="4" borderId="2" xfId="0" applyNumberFormat="1" applyFont="1" applyFill="1" applyBorder="1" applyAlignment="1">
      <alignment horizontal="center" vertical="center" wrapText="1"/>
    </xf>
    <xf numFmtId="1" fontId="38" fillId="38" borderId="83" xfId="0" applyNumberFormat="1" applyFont="1" applyFill="1" applyBorder="1" applyAlignment="1">
      <alignment horizontal="center" vertical="center" wrapText="1"/>
    </xf>
    <xf numFmtId="0" fontId="38" fillId="0" borderId="17" xfId="0" applyFont="1" applyBorder="1" applyAlignment="1">
      <alignment horizontal="left" wrapText="1"/>
    </xf>
    <xf numFmtId="0" fontId="38" fillId="37" borderId="17" xfId="0" applyFont="1" applyFill="1" applyBorder="1" applyAlignment="1">
      <alignment horizontal="left" wrapText="1"/>
    </xf>
    <xf numFmtId="1" fontId="40" fillId="32" borderId="55" xfId="0" applyNumberFormat="1" applyFont="1" applyFill="1" applyBorder="1" applyAlignment="1">
      <alignment horizontal="center" vertical="center" wrapText="1"/>
    </xf>
    <xf numFmtId="1" fontId="40" fillId="0" borderId="55" xfId="0" applyNumberFormat="1" applyFont="1" applyBorder="1" applyAlignment="1">
      <alignment horizontal="left" vertical="center" wrapText="1"/>
    </xf>
    <xf numFmtId="1" fontId="40" fillId="32" borderId="55" xfId="0" applyNumberFormat="1" applyFont="1" applyFill="1" applyBorder="1" applyAlignment="1">
      <alignment horizontal="left" vertical="center" wrapText="1"/>
    </xf>
    <xf numFmtId="0" fontId="97" fillId="0" borderId="55" xfId="0" applyFont="1" applyBorder="1" applyAlignment="1">
      <alignment horizontal="left" vertical="center" wrapText="1"/>
    </xf>
    <xf numFmtId="0" fontId="97" fillId="16" borderId="93" xfId="0" applyFont="1" applyFill="1" applyBorder="1" applyAlignment="1">
      <alignment vertical="center" wrapText="1"/>
    </xf>
    <xf numFmtId="0" fontId="40" fillId="0" borderId="56" xfId="0" applyFont="1" applyBorder="1" applyAlignment="1">
      <alignment horizontal="left" wrapText="1"/>
    </xf>
    <xf numFmtId="1" fontId="94" fillId="31" borderId="6" xfId="0" applyNumberFormat="1" applyFont="1" applyFill="1" applyBorder="1" applyAlignment="1">
      <alignment horizontal="center" vertical="center" wrapText="1"/>
    </xf>
    <xf numFmtId="1" fontId="104" fillId="4" borderId="6" xfId="0" applyNumberFormat="1" applyFont="1" applyFill="1" applyBorder="1" applyAlignment="1">
      <alignment horizontal="center" vertical="center" wrapText="1"/>
    </xf>
    <xf numFmtId="0" fontId="38" fillId="0" borderId="17" xfId="0" applyFont="1" applyBorder="1" applyAlignment="1">
      <alignment horizontal="left" vertical="center" wrapText="1"/>
    </xf>
    <xf numFmtId="10" fontId="127" fillId="0" borderId="17" xfId="0" applyNumberFormat="1" applyFont="1" applyBorder="1" applyAlignment="1">
      <alignment horizontal="left" vertical="center" wrapText="1"/>
    </xf>
    <xf numFmtId="0" fontId="132" fillId="0" borderId="0" xfId="0" applyFont="1"/>
    <xf numFmtId="0" fontId="132" fillId="0" borderId="0" xfId="0" applyFont="1" applyAlignment="1">
      <alignment wrapText="1"/>
    </xf>
    <xf numFmtId="0" fontId="132" fillId="0" borderId="17" xfId="0" applyFont="1" applyBorder="1" applyAlignment="1">
      <alignment vertical="center"/>
    </xf>
    <xf numFmtId="1" fontId="40" fillId="0" borderId="3" xfId="0" applyNumberFormat="1" applyFont="1" applyBorder="1" applyAlignment="1">
      <alignment horizontal="center" vertical="center" wrapText="1"/>
    </xf>
    <xf numFmtId="0" fontId="132" fillId="0" borderId="17" xfId="0" applyFont="1" applyBorder="1" applyAlignment="1">
      <alignment wrapText="1"/>
    </xf>
    <xf numFmtId="0" fontId="92" fillId="0" borderId="84" xfId="0" applyFont="1" applyBorder="1" applyAlignment="1">
      <alignment vertical="center" wrapText="1"/>
    </xf>
    <xf numFmtId="1" fontId="38" fillId="0" borderId="17" xfId="0" applyNumberFormat="1" applyFont="1" applyBorder="1" applyAlignment="1">
      <alignment horizontal="center" vertical="center" wrapText="1"/>
    </xf>
    <xf numFmtId="1" fontId="128" fillId="0" borderId="17" xfId="0" applyNumberFormat="1" applyFont="1" applyBorder="1" applyAlignment="1">
      <alignment horizontal="center" vertical="center" wrapText="1"/>
    </xf>
    <xf numFmtId="1" fontId="128" fillId="32" borderId="17" xfId="0" applyNumberFormat="1" applyFont="1" applyFill="1" applyBorder="1" applyAlignment="1">
      <alignment horizontal="center" vertical="center" wrapText="1"/>
    </xf>
    <xf numFmtId="1" fontId="40" fillId="0" borderId="55" xfId="0" applyNumberFormat="1" applyFont="1" applyBorder="1" applyAlignment="1">
      <alignment horizontal="center" vertical="center" wrapText="1"/>
    </xf>
    <xf numFmtId="0" fontId="97" fillId="16" borderId="134" xfId="0" applyFont="1" applyFill="1" applyBorder="1" applyAlignment="1">
      <alignment vertical="center" wrapText="1"/>
    </xf>
    <xf numFmtId="1" fontId="92" fillId="0" borderId="92" xfId="0" applyNumberFormat="1" applyFont="1" applyBorder="1" applyAlignment="1">
      <alignment horizontal="center" vertical="center"/>
    </xf>
    <xf numFmtId="10" fontId="92" fillId="0" borderId="92" xfId="0" quotePrefix="1" applyNumberFormat="1" applyFont="1" applyBorder="1" applyAlignment="1">
      <alignment horizontal="left" vertical="center" wrapText="1"/>
    </xf>
    <xf numFmtId="49" fontId="40" fillId="0" borderId="0" xfId="0" applyNumberFormat="1" applyFont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4" borderId="5" xfId="0" applyFont="1" applyFill="1" applyBorder="1" applyAlignment="1">
      <alignment horizontal="center" vertical="center" wrapText="1"/>
    </xf>
    <xf numFmtId="0" fontId="40" fillId="4" borderId="5" xfId="0" applyFont="1" applyFill="1" applyBorder="1" applyAlignment="1">
      <alignment vertical="center" wrapText="1"/>
    </xf>
    <xf numFmtId="3" fontId="40" fillId="4" borderId="5" xfId="0" applyNumberFormat="1" applyFont="1" applyFill="1" applyBorder="1" applyAlignment="1">
      <alignment horizontal="center" vertical="center" wrapText="1"/>
    </xf>
    <xf numFmtId="0" fontId="40" fillId="13" borderId="5" xfId="0" applyFont="1" applyFill="1" applyBorder="1" applyAlignment="1">
      <alignment horizontal="center" vertical="center" wrapText="1"/>
    </xf>
    <xf numFmtId="0" fontId="40" fillId="13" borderId="5" xfId="0" applyFont="1" applyFill="1" applyBorder="1" applyAlignment="1">
      <alignment vertical="center" wrapText="1"/>
    </xf>
    <xf numFmtId="3" fontId="40" fillId="13" borderId="5" xfId="0" applyNumberFormat="1" applyFont="1" applyFill="1" applyBorder="1" applyAlignment="1">
      <alignment horizontal="center" vertical="center" wrapText="1"/>
    </xf>
    <xf numFmtId="0" fontId="40" fillId="12" borderId="5" xfId="0" applyFont="1" applyFill="1" applyBorder="1" applyAlignment="1">
      <alignment horizontal="center" vertical="center" wrapText="1"/>
    </xf>
    <xf numFmtId="0" fontId="40" fillId="12" borderId="5" xfId="0" applyFont="1" applyFill="1" applyBorder="1" applyAlignment="1">
      <alignment vertical="center" wrapText="1"/>
    </xf>
    <xf numFmtId="3" fontId="40" fillId="12" borderId="5" xfId="0" applyNumberFormat="1" applyFont="1" applyFill="1" applyBorder="1" applyAlignment="1">
      <alignment horizontal="center" vertical="center" wrapText="1"/>
    </xf>
    <xf numFmtId="0" fontId="40" fillId="4" borderId="80" xfId="0" applyFont="1" applyFill="1" applyBorder="1" applyAlignment="1">
      <alignment horizontal="center" vertical="center" wrapText="1"/>
    </xf>
    <xf numFmtId="3" fontId="40" fillId="0" borderId="5" xfId="0" applyNumberFormat="1" applyFont="1" applyBorder="1" applyAlignment="1">
      <alignment horizontal="center" vertical="center" wrapText="1"/>
    </xf>
    <xf numFmtId="0" fontId="132" fillId="0" borderId="17" xfId="0" applyFont="1" applyBorder="1" applyAlignment="1">
      <alignment horizontal="left" vertical="center" wrapText="1"/>
    </xf>
    <xf numFmtId="3" fontId="40" fillId="0" borderId="0" xfId="0" applyNumberFormat="1" applyFont="1" applyAlignment="1">
      <alignment vertical="center" wrapText="1"/>
    </xf>
    <xf numFmtId="0" fontId="40" fillId="4" borderId="95" xfId="0" applyFont="1" applyFill="1" applyBorder="1" applyAlignment="1">
      <alignment horizontal="center" vertical="center" wrapText="1"/>
    </xf>
    <xf numFmtId="165" fontId="40" fillId="0" borderId="0" xfId="289" applyNumberFormat="1" applyFont="1" applyAlignment="1">
      <alignment vertical="center" wrapText="1"/>
    </xf>
    <xf numFmtId="0" fontId="40" fillId="4" borderId="102" xfId="0" applyFont="1" applyFill="1" applyBorder="1" applyAlignment="1">
      <alignment horizontal="center" vertical="center" wrapText="1"/>
    </xf>
    <xf numFmtId="0" fontId="92" fillId="0" borderId="17" xfId="0" applyFont="1" applyBorder="1" applyAlignment="1">
      <alignment horizontal="left" vertical="center" wrapText="1"/>
    </xf>
    <xf numFmtId="0" fontId="39" fillId="4" borderId="80" xfId="0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horizontal="center" vertical="center" wrapText="1"/>
    </xf>
    <xf numFmtId="0" fontId="40" fillId="4" borderId="6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 wrapText="1"/>
    </xf>
    <xf numFmtId="0" fontId="133" fillId="0" borderId="0" xfId="0" applyFont="1" applyAlignment="1">
      <alignment wrapText="1"/>
    </xf>
    <xf numFmtId="0" fontId="40" fillId="4" borderId="87" xfId="0" applyFont="1" applyFill="1" applyBorder="1" applyAlignment="1">
      <alignment horizontal="center" vertical="center" wrapText="1"/>
    </xf>
    <xf numFmtId="0" fontId="39" fillId="4" borderId="87" xfId="0" applyFont="1" applyFill="1" applyBorder="1" applyAlignment="1">
      <alignment horizontal="center" vertical="center" wrapText="1"/>
    </xf>
    <xf numFmtId="0" fontId="39" fillId="4" borderId="6" xfId="0" applyFont="1" applyFill="1" applyBorder="1" applyAlignment="1">
      <alignment horizontal="center" vertical="center" wrapText="1"/>
    </xf>
    <xf numFmtId="10" fontId="92" fillId="0" borderId="126" xfId="0" applyNumberFormat="1" applyFont="1" applyBorder="1" applyAlignment="1">
      <alignment horizontal="left" vertical="center" wrapText="1"/>
    </xf>
    <xf numFmtId="0" fontId="92" fillId="0" borderId="54" xfId="0" applyFont="1" applyBorder="1" applyAlignment="1">
      <alignment vertical="center" wrapText="1"/>
    </xf>
    <xf numFmtId="0" fontId="92" fillId="0" borderId="76" xfId="0" applyFont="1" applyBorder="1" applyAlignment="1">
      <alignment vertical="center" wrapText="1"/>
    </xf>
    <xf numFmtId="1" fontId="35" fillId="0" borderId="17" xfId="0" applyNumberFormat="1" applyFont="1" applyBorder="1" applyAlignment="1">
      <alignment horizontal="left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horizontal="center" vertical="center" wrapText="1"/>
    </xf>
    <xf numFmtId="0" fontId="92" fillId="0" borderId="133" xfId="0" applyFont="1" applyBorder="1" applyAlignment="1">
      <alignment vertical="center" wrapText="1"/>
    </xf>
    <xf numFmtId="0" fontId="92" fillId="4" borderId="133" xfId="0" applyFont="1" applyFill="1" applyBorder="1" applyAlignment="1">
      <alignment vertical="center" wrapText="1"/>
    </xf>
    <xf numFmtId="0" fontId="92" fillId="0" borderId="17" xfId="0" quotePrefix="1" applyFont="1" applyBorder="1" applyAlignment="1">
      <alignment horizontal="left" vertical="center" wrapText="1"/>
    </xf>
    <xf numFmtId="0" fontId="90" fillId="18" borderId="79" xfId="0" applyFont="1" applyFill="1" applyBorder="1" applyAlignment="1">
      <alignment horizontal="center" vertical="center"/>
    </xf>
    <xf numFmtId="0" fontId="117" fillId="36" borderId="0" xfId="321" applyFont="1" applyFill="1" applyAlignment="1">
      <alignment horizontal="center" vertical="center"/>
    </xf>
    <xf numFmtId="0" fontId="23" fillId="4" borderId="0" xfId="321" applyFont="1" applyFill="1" applyAlignment="1">
      <alignment horizontal="center" vertical="center"/>
    </xf>
    <xf numFmtId="0" fontId="113" fillId="4" borderId="108" xfId="321" applyFont="1" applyFill="1" applyBorder="1" applyAlignment="1">
      <alignment horizontal="center" vertical="center" wrapText="1"/>
    </xf>
    <xf numFmtId="0" fontId="113" fillId="4" borderId="40" xfId="321" applyFont="1" applyFill="1" applyBorder="1" applyAlignment="1">
      <alignment horizontal="center" vertical="center" wrapText="1"/>
    </xf>
    <xf numFmtId="20" fontId="116" fillId="22" borderId="111" xfId="321" applyNumberFormat="1" applyFont="1" applyFill="1" applyBorder="1" applyAlignment="1">
      <alignment vertical="center"/>
    </xf>
    <xf numFmtId="20" fontId="116" fillId="0" borderId="110" xfId="321" applyNumberFormat="1" applyFont="1" applyBorder="1" applyAlignment="1">
      <alignment vertical="center"/>
    </xf>
    <xf numFmtId="1" fontId="116" fillId="0" borderId="111" xfId="321" applyNumberFormat="1" applyFont="1" applyBorder="1" applyAlignment="1">
      <alignment vertical="center"/>
    </xf>
    <xf numFmtId="1" fontId="53" fillId="0" borderId="111" xfId="321" applyNumberFormat="1" applyFont="1" applyBorder="1" applyAlignment="1">
      <alignment vertical="center"/>
    </xf>
    <xf numFmtId="9" fontId="23" fillId="0" borderId="111" xfId="322" applyFont="1" applyBorder="1" applyAlignment="1">
      <alignment vertical="center"/>
    </xf>
    <xf numFmtId="0" fontId="116" fillId="0" borderId="111" xfId="321" applyFont="1" applyBorder="1" applyAlignment="1">
      <alignment vertical="center"/>
    </xf>
    <xf numFmtId="0" fontId="113" fillId="0" borderId="111" xfId="321" applyFont="1" applyBorder="1" applyAlignment="1">
      <alignment vertical="center" wrapText="1"/>
    </xf>
    <xf numFmtId="0" fontId="113" fillId="0" borderId="112" xfId="321" applyFont="1" applyBorder="1" applyAlignment="1">
      <alignment vertical="center" wrapText="1"/>
    </xf>
    <xf numFmtId="9" fontId="75" fillId="0" borderId="114" xfId="322" applyFont="1" applyBorder="1" applyAlignment="1">
      <alignment vertical="center" wrapText="1"/>
    </xf>
    <xf numFmtId="9" fontId="75" fillId="12" borderId="0" xfId="322" applyFont="1" applyFill="1" applyBorder="1" applyAlignment="1">
      <alignment vertical="center" wrapText="1"/>
    </xf>
    <xf numFmtId="9" fontId="75" fillId="12" borderId="114" xfId="322" applyFont="1" applyFill="1" applyBorder="1" applyAlignment="1">
      <alignment vertical="center" wrapText="1"/>
    </xf>
    <xf numFmtId="9" fontId="115" fillId="0" borderId="0" xfId="322" applyFont="1" applyBorder="1" applyAlignment="1">
      <alignment vertical="center" wrapText="1"/>
    </xf>
    <xf numFmtId="9" fontId="75" fillId="0" borderId="116" xfId="322" applyFont="1" applyBorder="1" applyAlignment="1">
      <alignment vertical="center" wrapText="1"/>
    </xf>
    <xf numFmtId="0" fontId="23" fillId="0" borderId="117" xfId="321" applyFont="1" applyBorder="1" applyAlignment="1">
      <alignment vertical="center"/>
    </xf>
    <xf numFmtId="0" fontId="113" fillId="0" borderId="108" xfId="321" applyFont="1" applyBorder="1" applyAlignment="1">
      <alignment vertical="center" wrapText="1"/>
    </xf>
    <xf numFmtId="0" fontId="113" fillId="0" borderId="118" xfId="321" applyFont="1" applyBorder="1" applyAlignment="1">
      <alignment vertical="center" wrapText="1"/>
    </xf>
    <xf numFmtId="0" fontId="75" fillId="0" borderId="114" xfId="321" applyFont="1" applyBorder="1" applyAlignment="1">
      <alignment vertical="center" wrapText="1"/>
    </xf>
    <xf numFmtId="0" fontId="115" fillId="12" borderId="0" xfId="321" applyFont="1" applyFill="1" applyAlignment="1">
      <alignment vertical="center" wrapText="1"/>
    </xf>
    <xf numFmtId="0" fontId="75" fillId="12" borderId="0" xfId="321" applyFont="1" applyFill="1" applyAlignment="1">
      <alignment vertical="center" wrapText="1"/>
    </xf>
    <xf numFmtId="0" fontId="75" fillId="12" borderId="114" xfId="321" applyFont="1" applyFill="1" applyBorder="1" applyAlignment="1">
      <alignment vertical="center" wrapText="1"/>
    </xf>
    <xf numFmtId="9" fontId="115" fillId="12" borderId="0" xfId="322" applyFont="1" applyFill="1" applyBorder="1" applyAlignment="1">
      <alignment vertical="center" wrapText="1"/>
    </xf>
    <xf numFmtId="0" fontId="75" fillId="12" borderId="91" xfId="321" applyFont="1" applyFill="1" applyBorder="1" applyAlignment="1">
      <alignment vertical="center" wrapText="1"/>
    </xf>
    <xf numFmtId="0" fontId="75" fillId="12" borderId="116" xfId="321" applyFont="1" applyFill="1" applyBorder="1" applyAlignment="1">
      <alignment vertical="center" wrapText="1"/>
    </xf>
    <xf numFmtId="0" fontId="23" fillId="0" borderId="119" xfId="321" applyFont="1" applyBorder="1" applyAlignment="1">
      <alignment vertical="center"/>
    </xf>
    <xf numFmtId="0" fontId="113" fillId="0" borderId="32" xfId="321" applyFont="1" applyBorder="1" applyAlignment="1">
      <alignment vertical="center" wrapText="1"/>
    </xf>
    <xf numFmtId="0" fontId="113" fillId="0" borderId="120" xfId="321" applyFont="1" applyBorder="1" applyAlignment="1">
      <alignment vertical="center" wrapText="1"/>
    </xf>
    <xf numFmtId="0" fontId="113" fillId="12" borderId="0" xfId="321" applyFont="1" applyFill="1" applyAlignment="1">
      <alignment vertical="center" wrapText="1"/>
    </xf>
    <xf numFmtId="0" fontId="75" fillId="0" borderId="122" xfId="321" applyFont="1" applyBorder="1" applyAlignment="1">
      <alignment vertical="center" wrapText="1"/>
    </xf>
    <xf numFmtId="0" fontId="75" fillId="0" borderId="123" xfId="321" applyFont="1" applyBorder="1" applyAlignment="1">
      <alignment vertical="center" wrapText="1"/>
    </xf>
    <xf numFmtId="0" fontId="75" fillId="22" borderId="0" xfId="321" applyFont="1" applyFill="1" applyAlignment="1">
      <alignment vertical="center" wrapText="1"/>
    </xf>
    <xf numFmtId="167" fontId="114" fillId="33" borderId="51" xfId="321" applyNumberFormat="1" applyFont="1" applyFill="1" applyBorder="1" applyAlignment="1">
      <alignment vertical="center"/>
    </xf>
    <xf numFmtId="169" fontId="23" fillId="0" borderId="0" xfId="323" applyNumberFormat="1" applyFont="1" applyAlignment="1">
      <alignment vertical="center"/>
    </xf>
    <xf numFmtId="9" fontId="75" fillId="0" borderId="0" xfId="322" applyFont="1" applyAlignment="1">
      <alignment vertical="center" wrapText="1"/>
    </xf>
    <xf numFmtId="9" fontId="75" fillId="12" borderId="0" xfId="322" applyFont="1" applyFill="1" applyAlignment="1">
      <alignment vertical="center" wrapText="1"/>
    </xf>
    <xf numFmtId="9" fontId="115" fillId="0" borderId="0" xfId="322" applyFont="1" applyAlignment="1">
      <alignment vertical="center" wrapText="1"/>
    </xf>
    <xf numFmtId="1" fontId="23" fillId="33" borderId="2" xfId="321" applyNumberFormat="1" applyFont="1" applyFill="1" applyBorder="1" applyAlignment="1">
      <alignment vertical="center"/>
    </xf>
    <xf numFmtId="0" fontId="23" fillId="33" borderId="14" xfId="321" applyFont="1" applyFill="1" applyBorder="1" applyAlignment="1">
      <alignment horizontal="center" vertical="center"/>
    </xf>
    <xf numFmtId="0" fontId="113" fillId="0" borderId="0" xfId="321" applyFont="1" applyAlignment="1">
      <alignment vertical="center" wrapText="1"/>
    </xf>
    <xf numFmtId="0" fontId="113" fillId="0" borderId="114" xfId="321" applyFont="1" applyBorder="1" applyAlignment="1">
      <alignment vertical="center" wrapText="1"/>
    </xf>
    <xf numFmtId="0" fontId="90" fillId="18" borderId="17" xfId="0" applyFont="1" applyFill="1" applyBorder="1" applyAlignment="1">
      <alignment horizontal="center" vertical="center"/>
    </xf>
    <xf numFmtId="0" fontId="90" fillId="18" borderId="0" xfId="0" applyFont="1" applyFill="1" applyAlignment="1">
      <alignment horizontal="center" vertical="center"/>
    </xf>
    <xf numFmtId="0" fontId="89" fillId="18" borderId="3" xfId="0" applyFont="1" applyFill="1" applyBorder="1" applyAlignment="1">
      <alignment horizontal="center"/>
    </xf>
    <xf numFmtId="0" fontId="89" fillId="18" borderId="54" xfId="0" applyFont="1" applyFill="1" applyBorder="1" applyAlignment="1">
      <alignment horizontal="center"/>
    </xf>
    <xf numFmtId="0" fontId="89" fillId="18" borderId="17" xfId="0" applyFont="1" applyFill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60" fillId="4" borderId="0" xfId="0" applyFont="1" applyFill="1" applyAlignment="1">
      <alignment vertical="center"/>
    </xf>
    <xf numFmtId="10" fontId="97" fillId="0" borderId="129" xfId="0" applyNumberFormat="1" applyFont="1" applyBorder="1" applyAlignment="1">
      <alignment horizontal="left" vertical="center" wrapText="1"/>
    </xf>
    <xf numFmtId="10" fontId="116" fillId="4" borderId="17" xfId="0" applyNumberFormat="1" applyFont="1" applyFill="1" applyBorder="1" applyAlignment="1">
      <alignment horizontal="left" vertical="center" wrapText="1"/>
    </xf>
    <xf numFmtId="0" fontId="89" fillId="18" borderId="6" xfId="0" applyFont="1" applyFill="1" applyBorder="1" applyAlignment="1">
      <alignment horizontal="center"/>
    </xf>
    <xf numFmtId="10" fontId="100" fillId="4" borderId="17" xfId="0" applyNumberFormat="1" applyFont="1" applyFill="1" applyBorder="1" applyAlignment="1">
      <alignment horizontal="left" vertical="center" wrapText="1"/>
    </xf>
    <xf numFmtId="1" fontId="97" fillId="0" borderId="84" xfId="0" applyNumberFormat="1" applyFont="1" applyBorder="1" applyAlignment="1">
      <alignment horizontal="center" vertical="center" wrapText="1"/>
    </xf>
    <xf numFmtId="1" fontId="100" fillId="0" borderId="17" xfId="0" applyNumberFormat="1" applyFont="1" applyBorder="1" applyAlignment="1">
      <alignment horizontal="center" vertical="center"/>
    </xf>
    <xf numFmtId="0" fontId="95" fillId="0" borderId="17" xfId="0" applyFont="1" applyBorder="1" applyAlignment="1">
      <alignment vertical="center" wrapText="1"/>
    </xf>
    <xf numFmtId="10" fontId="97" fillId="0" borderId="93" xfId="0" applyNumberFormat="1" applyFont="1" applyBorder="1" applyAlignment="1">
      <alignment horizontal="left" vertical="center" wrapText="1"/>
    </xf>
    <xf numFmtId="10" fontId="99" fillId="11" borderId="17" xfId="0" applyNumberFormat="1" applyFont="1" applyFill="1" applyBorder="1" applyAlignment="1">
      <alignment horizontal="left" vertical="center" wrapText="1"/>
    </xf>
    <xf numFmtId="1" fontId="97" fillId="0" borderId="17" xfId="0" applyNumberFormat="1" applyFont="1" applyBorder="1" applyAlignment="1">
      <alignment horizontal="center" vertical="center"/>
    </xf>
    <xf numFmtId="1" fontId="97" fillId="32" borderId="17" xfId="0" applyNumberFormat="1" applyFont="1" applyFill="1" applyBorder="1" applyAlignment="1">
      <alignment horizontal="center" vertical="center"/>
    </xf>
    <xf numFmtId="0" fontId="97" fillId="0" borderId="94" xfId="0" applyFont="1" applyBorder="1" applyAlignment="1">
      <alignment vertical="center" wrapText="1"/>
    </xf>
    <xf numFmtId="0" fontId="134" fillId="0" borderId="0" xfId="332"/>
    <xf numFmtId="9" fontId="134" fillId="0" borderId="0" xfId="332" applyNumberFormat="1"/>
    <xf numFmtId="172" fontId="134" fillId="0" borderId="0" xfId="332" applyNumberFormat="1"/>
    <xf numFmtId="10" fontId="135" fillId="0" borderId="0" xfId="332" applyNumberFormat="1" applyFont="1"/>
    <xf numFmtId="10" fontId="135" fillId="29" borderId="70" xfId="332" applyNumberFormat="1" applyFont="1" applyFill="1" applyBorder="1" applyAlignment="1">
      <alignment horizontal="center"/>
    </xf>
    <xf numFmtId="10" fontId="135" fillId="29" borderId="102" xfId="332" applyNumberFormat="1" applyFont="1" applyFill="1" applyBorder="1" applyAlignment="1">
      <alignment horizontal="center"/>
    </xf>
    <xf numFmtId="0" fontId="135" fillId="39" borderId="101" xfId="332" applyFont="1" applyFill="1" applyBorder="1" applyAlignment="1">
      <alignment horizontal="center"/>
    </xf>
    <xf numFmtId="172" fontId="135" fillId="40" borderId="69" xfId="332" applyNumberFormat="1" applyFont="1" applyFill="1" applyBorder="1" applyAlignment="1">
      <alignment horizontal="center" vertical="center"/>
    </xf>
    <xf numFmtId="172" fontId="135" fillId="40" borderId="17" xfId="332" applyNumberFormat="1" applyFont="1" applyFill="1" applyBorder="1" applyAlignment="1">
      <alignment horizontal="center" vertical="center"/>
    </xf>
    <xf numFmtId="0" fontId="135" fillId="0" borderId="100" xfId="332" applyFont="1" applyBorder="1" applyAlignment="1">
      <alignment horizontal="center"/>
    </xf>
    <xf numFmtId="173" fontId="135" fillId="40" borderId="69" xfId="333" applyNumberFormat="1" applyFont="1" applyFill="1" applyBorder="1" applyAlignment="1">
      <alignment vertical="center"/>
    </xf>
    <xf numFmtId="173" fontId="135" fillId="40" borderId="17" xfId="333" applyNumberFormat="1" applyFont="1" applyFill="1" applyBorder="1" applyAlignment="1">
      <alignment vertical="center"/>
    </xf>
    <xf numFmtId="9" fontId="135" fillId="40" borderId="69" xfId="333" applyFont="1" applyFill="1" applyBorder="1" applyAlignment="1">
      <alignment horizontal="center" vertical="center"/>
    </xf>
    <xf numFmtId="9" fontId="135" fillId="40" borderId="17" xfId="333" applyFont="1" applyFill="1" applyBorder="1" applyAlignment="1">
      <alignment horizontal="center" vertical="center"/>
    </xf>
    <xf numFmtId="1" fontId="134" fillId="0" borderId="17" xfId="332" applyNumberFormat="1" applyBorder="1" applyAlignment="1">
      <alignment horizontal="center" vertical="center"/>
    </xf>
    <xf numFmtId="9" fontId="135" fillId="40" borderId="77" xfId="333" applyFont="1" applyFill="1" applyBorder="1" applyAlignment="1">
      <alignment horizontal="center" vertical="center"/>
    </xf>
    <xf numFmtId="9" fontId="135" fillId="40" borderId="56" xfId="333" applyFont="1" applyFill="1" applyBorder="1" applyAlignment="1">
      <alignment horizontal="center" vertical="center"/>
    </xf>
    <xf numFmtId="9" fontId="135" fillId="40" borderId="54" xfId="333" applyFont="1" applyFill="1" applyBorder="1" applyAlignment="1">
      <alignment horizontal="center" vertical="center"/>
    </xf>
    <xf numFmtId="0" fontId="135" fillId="4" borderId="100" xfId="332" applyFont="1" applyFill="1" applyBorder="1" applyAlignment="1">
      <alignment horizontal="center"/>
    </xf>
    <xf numFmtId="43" fontId="134" fillId="41" borderId="17" xfId="332" applyNumberFormat="1" applyFill="1" applyBorder="1" applyAlignment="1">
      <alignment horizontal="center" vertical="center"/>
    </xf>
    <xf numFmtId="20" fontId="134" fillId="0" borderId="85" xfId="332" applyNumberFormat="1" applyBorder="1" applyAlignment="1">
      <alignment horizontal="center" vertical="center"/>
    </xf>
    <xf numFmtId="20" fontId="134" fillId="0" borderId="99" xfId="332" applyNumberFormat="1" applyBorder="1" applyAlignment="1">
      <alignment horizontal="center" vertical="center"/>
    </xf>
    <xf numFmtId="0" fontId="135" fillId="0" borderId="98" xfId="332" applyFont="1" applyBorder="1" applyAlignment="1">
      <alignment horizontal="center" vertical="center"/>
    </xf>
    <xf numFmtId="43" fontId="134" fillId="0" borderId="5" xfId="332" applyNumberFormat="1" applyBorder="1" applyAlignment="1" applyProtection="1">
      <alignment horizontal="center" vertical="center"/>
      <protection locked="0"/>
    </xf>
    <xf numFmtId="0" fontId="134" fillId="0" borderId="5" xfId="332" applyBorder="1" applyAlignment="1">
      <alignment horizontal="left" vertical="center" wrapText="1"/>
    </xf>
    <xf numFmtId="0" fontId="134" fillId="0" borderId="5" xfId="332" applyBorder="1" applyAlignment="1" applyProtection="1">
      <alignment horizontal="center" vertical="center"/>
      <protection locked="0"/>
    </xf>
    <xf numFmtId="0" fontId="134" fillId="0" borderId="5" xfId="332" applyBorder="1"/>
    <xf numFmtId="9" fontId="0" fillId="0" borderId="5" xfId="333" applyFont="1" applyBorder="1" applyAlignment="1" applyProtection="1">
      <alignment horizontal="center" vertical="center"/>
      <protection locked="0"/>
    </xf>
    <xf numFmtId="174" fontId="134" fillId="0" borderId="5" xfId="332" applyNumberFormat="1" applyBorder="1" applyAlignment="1" applyProtection="1">
      <alignment horizontal="center"/>
      <protection locked="0"/>
    </xf>
    <xf numFmtId="0" fontId="134" fillId="0" borderId="0" xfId="332" applyAlignment="1">
      <alignment horizontal="center"/>
    </xf>
    <xf numFmtId="0" fontId="102" fillId="42" borderId="135" xfId="332" applyFont="1" applyFill="1" applyBorder="1" applyAlignment="1">
      <alignment horizontal="center" vertical="top" wrapText="1"/>
    </xf>
    <xf numFmtId="0" fontId="137" fillId="0" borderId="17" xfId="332" applyFont="1" applyBorder="1" applyAlignment="1">
      <alignment horizontal="center" vertical="center"/>
    </xf>
    <xf numFmtId="0" fontId="134" fillId="42" borderId="136" xfId="332" applyFill="1" applyBorder="1"/>
    <xf numFmtId="172" fontId="134" fillId="42" borderId="138" xfId="332" applyNumberFormat="1" applyFill="1" applyBorder="1" applyAlignment="1">
      <alignment horizontal="left" vertical="center"/>
    </xf>
    <xf numFmtId="0" fontId="134" fillId="42" borderId="113" xfId="332" applyFill="1" applyBorder="1"/>
    <xf numFmtId="43" fontId="0" fillId="42" borderId="136" xfId="334" applyFont="1" applyFill="1" applyBorder="1" applyAlignment="1">
      <alignment vertical="center"/>
    </xf>
    <xf numFmtId="172" fontId="134" fillId="42" borderId="138" xfId="332" applyNumberFormat="1" applyFill="1" applyBorder="1" applyAlignment="1">
      <alignment horizontal="center" vertical="center"/>
    </xf>
    <xf numFmtId="10" fontId="0" fillId="42" borderId="136" xfId="333" applyNumberFormat="1" applyFont="1" applyFill="1" applyBorder="1" applyAlignment="1"/>
    <xf numFmtId="0" fontId="140" fillId="0" borderId="0" xfId="332" applyFont="1"/>
    <xf numFmtId="43" fontId="0" fillId="42" borderId="138" xfId="334" applyFont="1" applyFill="1" applyBorder="1" applyAlignment="1">
      <alignment horizontal="center" vertical="center"/>
    </xf>
    <xf numFmtId="0" fontId="134" fillId="42" borderId="110" xfId="332" applyFill="1" applyBorder="1"/>
    <xf numFmtId="0" fontId="134" fillId="42" borderId="112" xfId="332" applyFill="1" applyBorder="1"/>
    <xf numFmtId="0" fontId="134" fillId="42" borderId="114" xfId="332" applyFill="1" applyBorder="1"/>
    <xf numFmtId="0" fontId="141" fillId="0" borderId="0" xfId="332" applyFont="1"/>
    <xf numFmtId="0" fontId="142" fillId="0" borderId="0" xfId="332" applyFont="1"/>
    <xf numFmtId="9" fontId="135" fillId="40" borderId="17" xfId="333" applyFont="1" applyFill="1" applyBorder="1" applyAlignment="1">
      <alignment horizontal="center" vertical="center" wrapText="1"/>
    </xf>
    <xf numFmtId="9" fontId="0" fillId="0" borderId="0" xfId="333" applyFont="1" applyFill="1" applyBorder="1" applyAlignment="1">
      <alignment horizontal="center" vertical="center"/>
    </xf>
    <xf numFmtId="172" fontId="135" fillId="40" borderId="17" xfId="332" applyNumberFormat="1" applyFont="1" applyFill="1" applyBorder="1" applyAlignment="1">
      <alignment vertical="center"/>
    </xf>
    <xf numFmtId="172" fontId="142" fillId="0" borderId="0" xfId="332" applyNumberFormat="1" applyFont="1" applyAlignment="1">
      <alignment horizontal="center" vertical="center"/>
    </xf>
    <xf numFmtId="9" fontId="135" fillId="40" borderId="17" xfId="333" applyFont="1" applyFill="1" applyBorder="1" applyAlignment="1">
      <alignment vertical="center"/>
    </xf>
    <xf numFmtId="0" fontId="135" fillId="40" borderId="17" xfId="333" applyNumberFormat="1" applyFont="1" applyFill="1" applyBorder="1" applyAlignment="1">
      <alignment vertical="center"/>
    </xf>
    <xf numFmtId="172" fontId="142" fillId="0" borderId="0" xfId="332" applyNumberFormat="1" applyFont="1"/>
    <xf numFmtId="10" fontId="135" fillId="29" borderId="102" xfId="332" applyNumberFormat="1" applyFont="1" applyFill="1" applyBorder="1"/>
    <xf numFmtId="43" fontId="134" fillId="41" borderId="69" xfId="332" applyNumberFormat="1" applyFill="1" applyBorder="1" applyAlignment="1">
      <alignment horizontal="center" vertical="center"/>
    </xf>
    <xf numFmtId="1" fontId="134" fillId="0" borderId="69" xfId="332" applyNumberFormat="1" applyBorder="1" applyAlignment="1">
      <alignment horizontal="center" vertical="center"/>
    </xf>
    <xf numFmtId="20" fontId="134" fillId="0" borderId="0" xfId="332" applyNumberFormat="1"/>
    <xf numFmtId="3" fontId="1" fillId="0" borderId="7" xfId="313" applyNumberFormat="1" applyFont="1" applyBorder="1" applyAlignment="1">
      <alignment vertical="center"/>
    </xf>
    <xf numFmtId="3" fontId="1" fillId="0" borderId="2" xfId="313" applyNumberFormat="1" applyFont="1" applyBorder="1" applyAlignment="1">
      <alignment vertical="center"/>
    </xf>
    <xf numFmtId="0" fontId="1" fillId="0" borderId="10" xfId="292" applyFont="1" applyBorder="1" applyAlignment="1">
      <alignment horizontal="center" vertical="center"/>
    </xf>
    <xf numFmtId="0" fontId="1" fillId="0" borderId="10" xfId="292" applyFont="1" applyBorder="1" applyAlignment="1">
      <alignment vertical="center"/>
    </xf>
    <xf numFmtId="3" fontId="1" fillId="0" borderId="7" xfId="292" applyNumberFormat="1" applyFont="1" applyBorder="1" applyAlignment="1">
      <alignment vertical="center"/>
    </xf>
    <xf numFmtId="0" fontId="1" fillId="0" borderId="7" xfId="313" applyFont="1" applyBorder="1" applyAlignment="1">
      <alignment vertical="center"/>
    </xf>
    <xf numFmtId="0" fontId="1" fillId="25" borderId="10" xfId="313" applyFont="1" applyFill="1" applyBorder="1" applyAlignment="1">
      <alignment horizontal="center" vertical="center"/>
    </xf>
    <xf numFmtId="0" fontId="1" fillId="25" borderId="10" xfId="313" applyFont="1" applyFill="1" applyBorder="1" applyAlignment="1">
      <alignment vertical="center"/>
    </xf>
    <xf numFmtId="3" fontId="1" fillId="0" borderId="7" xfId="297" applyNumberFormat="1" applyFont="1" applyBorder="1" applyAlignment="1">
      <alignment vertical="center"/>
    </xf>
    <xf numFmtId="0" fontId="1" fillId="25" borderId="7" xfId="313" applyFont="1" applyFill="1" applyBorder="1" applyAlignment="1">
      <alignment horizontal="center" vertical="center"/>
    </xf>
    <xf numFmtId="0" fontId="1" fillId="25" borderId="7" xfId="313" applyFont="1" applyFill="1" applyBorder="1" applyAlignment="1">
      <alignment vertical="center"/>
    </xf>
    <xf numFmtId="3" fontId="1" fillId="0" borderId="5" xfId="297" applyNumberFormat="1" applyFont="1" applyBorder="1" applyAlignment="1">
      <alignment vertical="center"/>
    </xf>
    <xf numFmtId="3" fontId="1" fillId="0" borderId="2" xfId="297" applyNumberFormat="1" applyFont="1" applyBorder="1" applyAlignment="1">
      <alignment vertical="center"/>
    </xf>
    <xf numFmtId="3" fontId="1" fillId="0" borderId="12" xfId="292" applyNumberFormat="1" applyFont="1" applyBorder="1" applyAlignment="1">
      <alignment vertical="center"/>
    </xf>
    <xf numFmtId="3" fontId="1" fillId="0" borderId="6" xfId="312" applyNumberFormat="1" applyFont="1" applyBorder="1" applyAlignment="1">
      <alignment vertical="center"/>
    </xf>
    <xf numFmtId="0" fontId="1" fillId="0" borderId="7" xfId="292" applyFont="1" applyBorder="1" applyAlignment="1">
      <alignment horizontal="center" vertical="center"/>
    </xf>
    <xf numFmtId="0" fontId="1" fillId="0" borderId="7" xfId="292" applyFont="1" applyBorder="1" applyAlignment="1">
      <alignment vertical="center"/>
    </xf>
    <xf numFmtId="3" fontId="1" fillId="0" borderId="5" xfId="313" applyNumberFormat="1" applyFont="1" applyBorder="1" applyAlignment="1">
      <alignment vertical="center"/>
    </xf>
    <xf numFmtId="3" fontId="1" fillId="0" borderId="10" xfId="313" applyNumberFormat="1" applyFont="1" applyBorder="1" applyAlignment="1">
      <alignment vertical="center"/>
    </xf>
    <xf numFmtId="3" fontId="1" fillId="0" borderId="10" xfId="297" applyNumberFormat="1" applyFont="1" applyBorder="1" applyAlignment="1">
      <alignment vertical="center"/>
    </xf>
    <xf numFmtId="0" fontId="1" fillId="0" borderId="0" xfId="321" applyFont="1" applyAlignment="1">
      <alignment vertical="center"/>
    </xf>
    <xf numFmtId="0" fontId="1" fillId="0" borderId="0" xfId="321" applyFont="1" applyAlignment="1">
      <alignment horizontal="center" vertical="center"/>
    </xf>
    <xf numFmtId="0" fontId="1" fillId="33" borderId="0" xfId="321" applyFont="1" applyFill="1" applyAlignment="1">
      <alignment vertical="center"/>
    </xf>
    <xf numFmtId="0" fontId="1" fillId="0" borderId="0" xfId="321" applyFont="1" applyAlignment="1">
      <alignment horizontal="right" vertical="center"/>
    </xf>
    <xf numFmtId="0" fontId="1" fillId="22" borderId="0" xfId="321" applyFont="1" applyFill="1" applyAlignment="1">
      <alignment horizontal="right" vertical="center"/>
    </xf>
    <xf numFmtId="1" fontId="1" fillId="22" borderId="0" xfId="321" applyNumberFormat="1" applyFont="1" applyFill="1" applyAlignment="1">
      <alignment horizontal="right" vertical="center"/>
    </xf>
    <xf numFmtId="0" fontId="1" fillId="0" borderId="108" xfId="321" applyFont="1" applyBorder="1" applyAlignment="1">
      <alignment horizontal="center" vertical="center"/>
    </xf>
    <xf numFmtId="0" fontId="1" fillId="33" borderId="0" xfId="321" applyFont="1" applyFill="1" applyAlignment="1">
      <alignment horizontal="center" vertical="center"/>
    </xf>
    <xf numFmtId="0" fontId="1" fillId="0" borderId="51" xfId="321" applyFont="1" applyBorder="1" applyAlignment="1">
      <alignment vertical="center"/>
    </xf>
    <xf numFmtId="0" fontId="1" fillId="0" borderId="108" xfId="321" applyFont="1" applyBorder="1" applyAlignment="1">
      <alignment vertical="center"/>
    </xf>
    <xf numFmtId="168" fontId="1" fillId="0" borderId="40" xfId="321" applyNumberFormat="1" applyFont="1" applyBorder="1" applyAlignment="1">
      <alignment vertical="center"/>
    </xf>
    <xf numFmtId="20" fontId="1" fillId="12" borderId="0" xfId="321" applyNumberFormat="1" applyFont="1" applyFill="1" applyAlignment="1">
      <alignment vertical="center"/>
    </xf>
    <xf numFmtId="1" fontId="1" fillId="33" borderId="2" xfId="321" applyNumberFormat="1" applyFont="1" applyFill="1" applyBorder="1" applyAlignment="1">
      <alignment vertical="center"/>
    </xf>
    <xf numFmtId="0" fontId="1" fillId="4" borderId="14" xfId="321" applyFont="1" applyFill="1" applyBorder="1" applyAlignment="1">
      <alignment horizontal="center" vertical="center"/>
    </xf>
    <xf numFmtId="1" fontId="1" fillId="33" borderId="0" xfId="321" applyNumberFormat="1" applyFont="1" applyFill="1" applyAlignment="1">
      <alignment vertical="center"/>
    </xf>
    <xf numFmtId="20" fontId="1" fillId="12" borderId="113" xfId="321" applyNumberFormat="1" applyFont="1" applyFill="1" applyBorder="1" applyAlignment="1">
      <alignment vertical="center"/>
    </xf>
    <xf numFmtId="0" fontId="1" fillId="12" borderId="0" xfId="321" applyFont="1" applyFill="1" applyAlignment="1">
      <alignment vertical="center"/>
    </xf>
    <xf numFmtId="0" fontId="1" fillId="0" borderId="13" xfId="321" applyFont="1" applyBorder="1" applyAlignment="1">
      <alignment vertical="center"/>
    </xf>
    <xf numFmtId="168" fontId="1" fillId="0" borderId="14" xfId="321" applyNumberFormat="1" applyFont="1" applyBorder="1" applyAlignment="1">
      <alignment vertical="center"/>
    </xf>
    <xf numFmtId="20" fontId="1" fillId="4" borderId="0" xfId="321" applyNumberFormat="1" applyFont="1" applyFill="1" applyAlignment="1">
      <alignment vertical="center"/>
    </xf>
    <xf numFmtId="20" fontId="1" fillId="0" borderId="113" xfId="321" applyNumberFormat="1" applyFont="1" applyBorder="1" applyAlignment="1">
      <alignment vertical="center"/>
    </xf>
    <xf numFmtId="0" fontId="1" fillId="4" borderId="0" xfId="321" applyFont="1" applyFill="1" applyAlignment="1">
      <alignment vertical="center"/>
    </xf>
    <xf numFmtId="20" fontId="1" fillId="4" borderId="91" xfId="321" applyNumberFormat="1" applyFont="1" applyFill="1" applyBorder="1" applyAlignment="1">
      <alignment vertical="center"/>
    </xf>
    <xf numFmtId="20" fontId="1" fillId="0" borderId="115" xfId="321" applyNumberFormat="1" applyFont="1" applyBorder="1" applyAlignment="1">
      <alignment vertical="center"/>
    </xf>
    <xf numFmtId="0" fontId="1" fillId="4" borderId="91" xfId="321" applyFont="1" applyFill="1" applyBorder="1" applyAlignment="1">
      <alignment vertical="center"/>
    </xf>
    <xf numFmtId="0" fontId="1" fillId="0" borderId="23" xfId="321" applyFont="1" applyBorder="1" applyAlignment="1">
      <alignment vertical="center"/>
    </xf>
    <xf numFmtId="0" fontId="1" fillId="0" borderId="91" xfId="321" applyFont="1" applyBorder="1" applyAlignment="1">
      <alignment vertical="center"/>
    </xf>
    <xf numFmtId="168" fontId="1" fillId="0" borderId="19" xfId="321" applyNumberFormat="1" applyFont="1" applyBorder="1" applyAlignment="1">
      <alignment vertical="center"/>
    </xf>
    <xf numFmtId="168" fontId="1" fillId="0" borderId="0" xfId="321" applyNumberFormat="1" applyFont="1" applyAlignment="1">
      <alignment vertical="center"/>
    </xf>
    <xf numFmtId="20" fontId="1" fillId="12" borderId="91" xfId="321" applyNumberFormat="1" applyFont="1" applyFill="1" applyBorder="1" applyAlignment="1">
      <alignment vertical="center"/>
    </xf>
    <xf numFmtId="20" fontId="1" fillId="12" borderId="115" xfId="321" applyNumberFormat="1" applyFont="1" applyFill="1" applyBorder="1" applyAlignment="1">
      <alignment vertical="center"/>
    </xf>
    <xf numFmtId="0" fontId="1" fillId="12" borderId="91" xfId="321" applyFont="1" applyFill="1" applyBorder="1" applyAlignment="1">
      <alignment vertical="center"/>
    </xf>
    <xf numFmtId="20" fontId="1" fillId="4" borderId="122" xfId="321" applyNumberFormat="1" applyFont="1" applyFill="1" applyBorder="1" applyAlignment="1">
      <alignment vertical="center"/>
    </xf>
    <xf numFmtId="1" fontId="1" fillId="33" borderId="7" xfId="321" applyNumberFormat="1" applyFont="1" applyFill="1" applyBorder="1" applyAlignment="1">
      <alignment vertical="center"/>
    </xf>
    <xf numFmtId="0" fontId="1" fillId="4" borderId="19" xfId="321" applyFont="1" applyFill="1" applyBorder="1" applyAlignment="1">
      <alignment horizontal="center" vertical="center"/>
    </xf>
    <xf numFmtId="20" fontId="1" fillId="0" borderId="121" xfId="321" applyNumberFormat="1" applyFont="1" applyBorder="1" applyAlignment="1">
      <alignment vertical="center"/>
    </xf>
    <xf numFmtId="0" fontId="1" fillId="4" borderId="122" xfId="321" applyFont="1" applyFill="1" applyBorder="1" applyAlignment="1">
      <alignment vertical="center"/>
    </xf>
    <xf numFmtId="0" fontId="1" fillId="0" borderId="122" xfId="321" applyFont="1" applyBorder="1" applyAlignment="1">
      <alignment vertical="center"/>
    </xf>
    <xf numFmtId="0" fontId="1" fillId="22" borderId="0" xfId="321" applyFont="1" applyFill="1" applyAlignment="1">
      <alignment horizontal="center" vertical="center"/>
    </xf>
    <xf numFmtId="20" fontId="1" fillId="22" borderId="0" xfId="321" applyNumberFormat="1" applyFont="1" applyFill="1" applyAlignment="1">
      <alignment vertical="center"/>
    </xf>
    <xf numFmtId="0" fontId="1" fillId="22" borderId="0" xfId="321" applyFont="1" applyFill="1" applyAlignment="1">
      <alignment vertical="center"/>
    </xf>
    <xf numFmtId="0" fontId="1" fillId="0" borderId="113" xfId="321" applyFont="1" applyBorder="1" applyAlignment="1">
      <alignment vertical="center"/>
    </xf>
    <xf numFmtId="1" fontId="1" fillId="33" borderId="0" xfId="321" applyNumberFormat="1" applyFont="1" applyFill="1" applyAlignment="1">
      <alignment horizontal="right" vertical="center"/>
    </xf>
    <xf numFmtId="171" fontId="1" fillId="0" borderId="0" xfId="289" applyNumberFormat="1" applyFont="1" applyAlignment="1">
      <alignment vertical="center"/>
    </xf>
    <xf numFmtId="43" fontId="1" fillId="12" borderId="0" xfId="289" applyFont="1" applyFill="1" applyAlignment="1">
      <alignment vertical="center"/>
    </xf>
    <xf numFmtId="2" fontId="1" fillId="35" borderId="0" xfId="321" applyNumberFormat="1" applyFont="1" applyFill="1" applyAlignment="1">
      <alignment vertical="center"/>
    </xf>
    <xf numFmtId="2" fontId="1" fillId="0" borderId="109" xfId="321" applyNumberFormat="1" applyFont="1" applyBorder="1" applyAlignment="1">
      <alignment vertical="center"/>
    </xf>
    <xf numFmtId="2" fontId="1" fillId="35" borderId="109" xfId="321" applyNumberFormat="1" applyFont="1" applyFill="1" applyBorder="1" applyAlignment="1">
      <alignment vertical="center"/>
    </xf>
    <xf numFmtId="49" fontId="26" fillId="0" borderId="0" xfId="0" applyNumberFormat="1" applyFont="1" applyAlignment="1">
      <alignment horizontal="center" vertical="center"/>
    </xf>
    <xf numFmtId="49" fontId="72" fillId="3" borderId="6" xfId="0" applyNumberFormat="1" applyFont="1" applyFill="1" applyBorder="1" applyAlignment="1">
      <alignment horizontal="center" vertical="center"/>
    </xf>
    <xf numFmtId="49" fontId="72" fillId="3" borderId="7" xfId="0" applyNumberFormat="1" applyFont="1" applyFill="1" applyBorder="1" applyAlignment="1">
      <alignment horizontal="center" vertical="center"/>
    </xf>
    <xf numFmtId="0" fontId="74" fillId="3" borderId="3" xfId="0" applyFont="1" applyFill="1" applyBorder="1" applyAlignment="1">
      <alignment horizontal="center" vertical="center"/>
    </xf>
    <xf numFmtId="0" fontId="74" fillId="3" borderId="32" xfId="0" applyFont="1" applyFill="1" applyBorder="1" applyAlignment="1">
      <alignment horizontal="center" vertical="center"/>
    </xf>
    <xf numFmtId="0" fontId="74" fillId="3" borderId="4" xfId="0" applyFont="1" applyFill="1" applyBorder="1" applyAlignment="1">
      <alignment horizontal="center" vertical="center"/>
    </xf>
    <xf numFmtId="49" fontId="72" fillId="3" borderId="47" xfId="0" applyNumberFormat="1" applyFont="1" applyFill="1" applyBorder="1" applyAlignment="1">
      <alignment horizontal="center" vertical="center"/>
    </xf>
    <xf numFmtId="49" fontId="72" fillId="3" borderId="26" xfId="0" applyNumberFormat="1" applyFont="1" applyFill="1" applyBorder="1" applyAlignment="1">
      <alignment horizontal="center" vertical="center"/>
    </xf>
    <xf numFmtId="0" fontId="74" fillId="3" borderId="48" xfId="0" applyFont="1" applyFill="1" applyBorder="1" applyAlignment="1">
      <alignment horizontal="center" vertical="center"/>
    </xf>
    <xf numFmtId="0" fontId="68" fillId="18" borderId="6" xfId="0" applyFont="1" applyFill="1" applyBorder="1"/>
    <xf numFmtId="0" fontId="90" fillId="18" borderId="79" xfId="0" applyFont="1" applyFill="1" applyBorder="1" applyAlignment="1">
      <alignment horizontal="center" vertical="center"/>
    </xf>
    <xf numFmtId="0" fontId="39" fillId="30" borderId="59" xfId="0" applyFont="1" applyFill="1" applyBorder="1" applyAlignment="1">
      <alignment horizontal="center" vertical="center" wrapText="1"/>
    </xf>
    <xf numFmtId="0" fontId="39" fillId="30" borderId="62" xfId="0" applyFont="1" applyFill="1" applyBorder="1" applyAlignment="1">
      <alignment horizontal="center" vertical="center" wrapText="1"/>
    </xf>
    <xf numFmtId="3" fontId="95" fillId="0" borderId="5" xfId="0" applyNumberFormat="1" applyFont="1" applyBorder="1" applyAlignment="1">
      <alignment horizontal="center" vertical="center" wrapText="1"/>
    </xf>
    <xf numFmtId="0" fontId="40" fillId="18" borderId="65" xfId="0" applyFont="1" applyFill="1" applyBorder="1" applyAlignment="1">
      <alignment horizontal="center" vertical="center" wrapText="1"/>
    </xf>
    <xf numFmtId="0" fontId="40" fillId="18" borderId="66" xfId="0" applyFont="1" applyFill="1" applyBorder="1" applyAlignment="1">
      <alignment horizontal="center" vertical="center" wrapText="1"/>
    </xf>
    <xf numFmtId="0" fontId="40" fillId="18" borderId="67" xfId="0" applyFont="1" applyFill="1" applyBorder="1" applyAlignment="1">
      <alignment horizontal="center" vertical="center" wrapText="1"/>
    </xf>
    <xf numFmtId="3" fontId="95" fillId="0" borderId="45" xfId="0" applyNumberFormat="1" applyFont="1" applyBorder="1" applyAlignment="1">
      <alignment horizontal="center" vertical="center" wrapText="1"/>
    </xf>
    <xf numFmtId="3" fontId="95" fillId="0" borderId="2" xfId="0" applyNumberFormat="1" applyFont="1" applyBorder="1" applyAlignment="1">
      <alignment horizontal="center" vertical="center" wrapText="1"/>
    </xf>
    <xf numFmtId="3" fontId="95" fillId="0" borderId="29" xfId="0" applyNumberFormat="1" applyFont="1" applyBorder="1" applyAlignment="1">
      <alignment horizontal="center" vertical="center" wrapText="1"/>
    </xf>
    <xf numFmtId="0" fontId="40" fillId="18" borderId="71" xfId="0" applyFont="1" applyFill="1" applyBorder="1" applyAlignment="1">
      <alignment horizontal="center" vertical="center" wrapText="1"/>
    </xf>
    <xf numFmtId="0" fontId="40" fillId="18" borderId="72" xfId="0" applyFont="1" applyFill="1" applyBorder="1" applyAlignment="1">
      <alignment horizontal="center" vertical="center" wrapText="1"/>
    </xf>
    <xf numFmtId="0" fontId="40" fillId="18" borderId="73" xfId="0" applyFont="1" applyFill="1" applyBorder="1" applyAlignment="1">
      <alignment horizontal="center" vertical="center" wrapText="1"/>
    </xf>
    <xf numFmtId="0" fontId="39" fillId="29" borderId="58" xfId="0" applyFont="1" applyFill="1" applyBorder="1" applyAlignment="1">
      <alignment horizontal="center" vertical="center" wrapText="1"/>
    </xf>
    <xf numFmtId="0" fontId="39" fillId="29" borderId="60" xfId="0" applyFont="1" applyFill="1" applyBorder="1" applyAlignment="1">
      <alignment horizontal="center" vertical="center" wrapText="1"/>
    </xf>
    <xf numFmtId="0" fontId="40" fillId="31" borderId="59" xfId="0" applyFont="1" applyFill="1" applyBorder="1" applyAlignment="1">
      <alignment horizontal="center" vertical="center" wrapText="1"/>
    </xf>
    <xf numFmtId="0" fontId="40" fillId="31" borderId="62" xfId="0" applyFont="1" applyFill="1" applyBorder="1" applyAlignment="1">
      <alignment horizontal="center" vertical="center" wrapText="1"/>
    </xf>
    <xf numFmtId="0" fontId="39" fillId="29" borderId="61" xfId="0" applyFont="1" applyFill="1" applyBorder="1" applyAlignment="1">
      <alignment horizontal="center" vertical="center" wrapText="1"/>
    </xf>
    <xf numFmtId="0" fontId="40" fillId="30" borderId="59" xfId="0" applyFont="1" applyFill="1" applyBorder="1" applyAlignment="1">
      <alignment horizontal="center" vertical="center" wrapText="1"/>
    </xf>
    <xf numFmtId="0" fontId="40" fillId="30" borderId="62" xfId="0" applyFont="1" applyFill="1" applyBorder="1" applyAlignment="1">
      <alignment horizontal="center" vertical="center" wrapText="1"/>
    </xf>
    <xf numFmtId="0" fontId="40" fillId="31" borderId="57" xfId="0" applyFont="1" applyFill="1" applyBorder="1" applyAlignment="1">
      <alignment horizontal="center" vertical="center" wrapText="1"/>
    </xf>
    <xf numFmtId="0" fontId="40" fillId="31" borderId="105" xfId="0" applyFont="1" applyFill="1" applyBorder="1" applyAlignment="1">
      <alignment horizontal="center" vertical="center" wrapText="1"/>
    </xf>
    <xf numFmtId="0" fontId="39" fillId="29" borderId="107" xfId="0" applyFont="1" applyFill="1" applyBorder="1" applyAlignment="1">
      <alignment horizontal="center" vertical="center" wrapText="1"/>
    </xf>
    <xf numFmtId="0" fontId="40" fillId="30" borderId="96" xfId="0" applyFont="1" applyFill="1" applyBorder="1" applyAlignment="1">
      <alignment horizontal="center" vertical="center" wrapText="1"/>
    </xf>
    <xf numFmtId="0" fontId="40" fillId="30" borderId="97" xfId="0" applyFont="1" applyFill="1" applyBorder="1" applyAlignment="1">
      <alignment horizontal="center" vertical="center" wrapText="1"/>
    </xf>
    <xf numFmtId="3" fontId="95" fillId="0" borderId="99" xfId="0" applyNumberFormat="1" applyFont="1" applyBorder="1" applyAlignment="1">
      <alignment horizontal="center" vertical="center" wrapText="1"/>
    </xf>
    <xf numFmtId="3" fontId="95" fillId="0" borderId="17" xfId="0" applyNumberFormat="1" applyFont="1" applyBorder="1" applyAlignment="1">
      <alignment horizontal="center" vertical="center" wrapText="1"/>
    </xf>
    <xf numFmtId="3" fontId="95" fillId="0" borderId="102" xfId="0" applyNumberFormat="1" applyFont="1" applyBorder="1" applyAlignment="1">
      <alignment horizontal="center" vertical="center" wrapText="1"/>
    </xf>
    <xf numFmtId="0" fontId="40" fillId="31" borderId="96" xfId="0" applyFont="1" applyFill="1" applyBorder="1" applyAlignment="1">
      <alignment horizontal="center" vertical="center" wrapText="1"/>
    </xf>
    <xf numFmtId="0" fontId="40" fillId="31" borderId="97" xfId="0" applyFont="1" applyFill="1" applyBorder="1" applyAlignment="1">
      <alignment horizontal="center" vertical="center" wrapText="1"/>
    </xf>
    <xf numFmtId="0" fontId="40" fillId="18" borderId="77" xfId="0" applyFont="1" applyFill="1" applyBorder="1" applyAlignment="1">
      <alignment horizontal="center" vertical="center" wrapText="1"/>
    </xf>
    <xf numFmtId="0" fontId="40" fillId="29" borderId="89" xfId="0" applyFont="1" applyFill="1" applyBorder="1" applyAlignment="1">
      <alignment horizontal="center" vertical="center" wrapText="1"/>
    </xf>
    <xf numFmtId="0" fontId="40" fillId="29" borderId="87" xfId="0" applyFont="1" applyFill="1" applyBorder="1" applyAlignment="1">
      <alignment horizontal="center" vertical="center" wrapText="1"/>
    </xf>
    <xf numFmtId="0" fontId="40" fillId="31" borderId="87" xfId="0" applyFont="1" applyFill="1" applyBorder="1" applyAlignment="1">
      <alignment horizontal="center" vertical="center" wrapText="1"/>
    </xf>
    <xf numFmtId="0" fontId="40" fillId="31" borderId="6" xfId="0" applyFont="1" applyFill="1" applyBorder="1" applyAlignment="1">
      <alignment horizontal="center" vertical="center" wrapText="1"/>
    </xf>
    <xf numFmtId="0" fontId="40" fillId="29" borderId="58" xfId="0" applyFont="1" applyFill="1" applyBorder="1" applyAlignment="1">
      <alignment horizontal="center" vertical="center" wrapText="1"/>
    </xf>
    <xf numFmtId="0" fontId="40" fillId="29" borderId="60" xfId="0" applyFont="1" applyFill="1" applyBorder="1" applyAlignment="1">
      <alignment horizontal="center" vertical="center" wrapText="1"/>
    </xf>
    <xf numFmtId="0" fontId="40" fillId="29" borderId="61" xfId="0" applyFont="1" applyFill="1" applyBorder="1" applyAlignment="1">
      <alignment horizontal="center" vertical="center" wrapText="1"/>
    </xf>
    <xf numFmtId="14" fontId="95" fillId="18" borderId="81" xfId="0" applyNumberFormat="1" applyFont="1" applyFill="1" applyBorder="1" applyAlignment="1">
      <alignment horizontal="center" vertical="center" wrapText="1"/>
    </xf>
    <xf numFmtId="14" fontId="95" fillId="18" borderId="74" xfId="0" applyNumberFormat="1" applyFont="1" applyFill="1" applyBorder="1" applyAlignment="1">
      <alignment horizontal="center" vertical="center" wrapText="1"/>
    </xf>
    <xf numFmtId="14" fontId="95" fillId="18" borderId="75" xfId="0" applyNumberFormat="1" applyFont="1" applyFill="1" applyBorder="1" applyAlignment="1">
      <alignment horizontal="center" vertical="center" wrapText="1"/>
    </xf>
    <xf numFmtId="0" fontId="40" fillId="18" borderId="4" xfId="0" applyFont="1" applyFill="1" applyBorder="1" applyAlignment="1">
      <alignment horizontal="center" vertical="center" wrapText="1"/>
    </xf>
    <xf numFmtId="0" fontId="40" fillId="29" borderId="40" xfId="0" applyFont="1" applyFill="1" applyBorder="1" applyAlignment="1">
      <alignment horizontal="center" vertical="center" wrapText="1"/>
    </xf>
    <xf numFmtId="0" fontId="40" fillId="29" borderId="6" xfId="0" applyFont="1" applyFill="1" applyBorder="1" applyAlignment="1">
      <alignment horizontal="center" vertical="center" wrapText="1"/>
    </xf>
    <xf numFmtId="0" fontId="39" fillId="30" borderId="57" xfId="0" applyFont="1" applyFill="1" applyBorder="1" applyAlignment="1">
      <alignment horizontal="center" vertical="center" wrapText="1"/>
    </xf>
    <xf numFmtId="0" fontId="39" fillId="30" borderId="105" xfId="0" applyFont="1" applyFill="1" applyBorder="1" applyAlignment="1">
      <alignment horizontal="center" vertical="center" wrapText="1"/>
    </xf>
    <xf numFmtId="0" fontId="40" fillId="29" borderId="103" xfId="0" applyFont="1" applyFill="1" applyBorder="1" applyAlignment="1">
      <alignment horizontal="center" vertical="center" wrapText="1"/>
    </xf>
    <xf numFmtId="0" fontId="40" fillId="18" borderId="32" xfId="0" applyFont="1" applyFill="1" applyBorder="1" applyAlignment="1">
      <alignment horizontal="center" vertical="center" wrapText="1"/>
    </xf>
    <xf numFmtId="0" fontId="40" fillId="29" borderId="2" xfId="0" applyFont="1" applyFill="1" applyBorder="1" applyAlignment="1">
      <alignment horizontal="center" vertical="center" wrapText="1"/>
    </xf>
    <xf numFmtId="0" fontId="40" fillId="29" borderId="14" xfId="0" applyFont="1" applyFill="1" applyBorder="1" applyAlignment="1">
      <alignment horizontal="center" vertical="center" wrapText="1"/>
    </xf>
    <xf numFmtId="0" fontId="40" fillId="31" borderId="2" xfId="0" applyFont="1" applyFill="1" applyBorder="1" applyAlignment="1">
      <alignment horizontal="center" vertical="center" wrapText="1"/>
    </xf>
    <xf numFmtId="0" fontId="40" fillId="29" borderId="95" xfId="0" applyFont="1" applyFill="1" applyBorder="1" applyAlignment="1">
      <alignment horizontal="center" vertical="center" wrapText="1"/>
    </xf>
    <xf numFmtId="3" fontId="95" fillId="0" borderId="22" xfId="0" applyNumberFormat="1" applyFont="1" applyBorder="1" applyAlignment="1">
      <alignment horizontal="center" vertical="center" wrapText="1"/>
    </xf>
    <xf numFmtId="0" fontId="40" fillId="31" borderId="80" xfId="0" applyFont="1" applyFill="1" applyBorder="1" applyAlignment="1">
      <alignment horizontal="center" vertical="center" wrapText="1"/>
    </xf>
    <xf numFmtId="0" fontId="40" fillId="0" borderId="91" xfId="0" applyFont="1" applyBorder="1" applyAlignment="1">
      <alignment horizontal="center" vertical="center" wrapText="1"/>
    </xf>
    <xf numFmtId="14" fontId="95" fillId="18" borderId="88" xfId="0" applyNumberFormat="1" applyFont="1" applyFill="1" applyBorder="1" applyAlignment="1">
      <alignment horizontal="center" vertical="center" wrapText="1"/>
    </xf>
    <xf numFmtId="14" fontId="95" fillId="18" borderId="57" xfId="0" applyNumberFormat="1" applyFont="1" applyFill="1" applyBorder="1" applyAlignment="1">
      <alignment horizontal="center" vertical="center" wrapText="1"/>
    </xf>
    <xf numFmtId="0" fontId="40" fillId="29" borderId="82" xfId="0" applyFont="1" applyFill="1" applyBorder="1" applyAlignment="1">
      <alignment horizontal="center" vertical="center" wrapText="1"/>
    </xf>
    <xf numFmtId="0" fontId="40" fillId="29" borderId="80" xfId="0" applyFont="1" applyFill="1" applyBorder="1" applyAlignment="1">
      <alignment horizontal="center" vertical="center" wrapText="1"/>
    </xf>
    <xf numFmtId="0" fontId="40" fillId="29" borderId="0" xfId="0" applyFont="1" applyFill="1" applyAlignment="1">
      <alignment horizontal="center" vertical="center" wrapText="1"/>
    </xf>
    <xf numFmtId="0" fontId="40" fillId="18" borderId="98" xfId="0" applyFont="1" applyFill="1" applyBorder="1" applyAlignment="1">
      <alignment horizontal="center" vertical="center" wrapText="1"/>
    </xf>
    <xf numFmtId="0" fontId="40" fillId="18" borderId="100" xfId="0" applyFont="1" applyFill="1" applyBorder="1" applyAlignment="1">
      <alignment horizontal="center" vertical="center" wrapText="1"/>
    </xf>
    <xf numFmtId="0" fontId="40" fillId="29" borderId="101" xfId="0" applyFont="1" applyFill="1" applyBorder="1" applyAlignment="1">
      <alignment horizontal="center" vertical="center" wrapText="1"/>
    </xf>
    <xf numFmtId="0" fontId="40" fillId="29" borderId="102" xfId="0" applyFont="1" applyFill="1" applyBorder="1" applyAlignment="1">
      <alignment horizontal="center" vertical="center" wrapText="1"/>
    </xf>
    <xf numFmtId="0" fontId="40" fillId="31" borderId="102" xfId="0" applyFont="1" applyFill="1" applyBorder="1" applyAlignment="1">
      <alignment horizontal="center" vertical="center" wrapText="1"/>
    </xf>
    <xf numFmtId="0" fontId="93" fillId="18" borderId="78" xfId="0" applyFont="1" applyFill="1" applyBorder="1" applyAlignment="1">
      <alignment horizontal="center" vertical="center"/>
    </xf>
    <xf numFmtId="0" fontId="93" fillId="18" borderId="90" xfId="0" applyFont="1" applyFill="1" applyBorder="1" applyAlignment="1">
      <alignment horizontal="center" vertical="center"/>
    </xf>
    <xf numFmtId="0" fontId="93" fillId="18" borderId="79" xfId="0" applyFont="1" applyFill="1" applyBorder="1"/>
    <xf numFmtId="0" fontId="93" fillId="18" borderId="5" xfId="0" applyFont="1" applyFill="1" applyBorder="1"/>
    <xf numFmtId="0" fontId="93" fillId="18" borderId="79" xfId="0" applyFont="1" applyFill="1" applyBorder="1" applyAlignment="1">
      <alignment horizontal="center"/>
    </xf>
    <xf numFmtId="0" fontId="93" fillId="18" borderId="5" xfId="0" applyFont="1" applyFill="1" applyBorder="1" applyAlignment="1">
      <alignment horizontal="center"/>
    </xf>
    <xf numFmtId="0" fontId="90" fillId="18" borderId="127" xfId="0" applyFont="1" applyFill="1" applyBorder="1" applyAlignment="1">
      <alignment horizontal="center" vertical="center"/>
    </xf>
    <xf numFmtId="0" fontId="46" fillId="29" borderId="58" xfId="0" applyFont="1" applyFill="1" applyBorder="1" applyAlignment="1">
      <alignment horizontal="center" vertical="center" wrapText="1"/>
    </xf>
    <xf numFmtId="0" fontId="46" fillId="29" borderId="61" xfId="0" applyFont="1" applyFill="1" applyBorder="1" applyAlignment="1">
      <alignment horizontal="center" vertical="center" wrapText="1"/>
    </xf>
    <xf numFmtId="0" fontId="46" fillId="30" borderId="59" xfId="0" applyFont="1" applyFill="1" applyBorder="1" applyAlignment="1">
      <alignment horizontal="center" vertical="center" wrapText="1"/>
    </xf>
    <xf numFmtId="0" fontId="46" fillId="30" borderId="62" xfId="0" applyFont="1" applyFill="1" applyBorder="1" applyAlignment="1">
      <alignment horizontal="center" vertical="center" wrapText="1"/>
    </xf>
    <xf numFmtId="0" fontId="40" fillId="18" borderId="19" xfId="0" applyFont="1" applyFill="1" applyBorder="1" applyAlignment="1">
      <alignment horizontal="center" vertical="center" wrapText="1"/>
    </xf>
    <xf numFmtId="0" fontId="54" fillId="0" borderId="6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68" fillId="18" borderId="25" xfId="0" applyFont="1" applyFill="1" applyBorder="1"/>
    <xf numFmtId="0" fontId="80" fillId="18" borderId="32" xfId="0" applyFont="1" applyFill="1" applyBorder="1"/>
    <xf numFmtId="0" fontId="80" fillId="18" borderId="36" xfId="0" applyFont="1" applyFill="1" applyBorder="1"/>
    <xf numFmtId="3" fontId="42" fillId="10" borderId="6" xfId="0" applyNumberFormat="1" applyFont="1" applyFill="1" applyBorder="1" applyAlignment="1">
      <alignment horizontal="center" vertical="center"/>
    </xf>
    <xf numFmtId="3" fontId="42" fillId="10" borderId="7" xfId="0" applyNumberFormat="1" applyFont="1" applyFill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48" fillId="10" borderId="6" xfId="0" applyNumberFormat="1" applyFont="1" applyFill="1" applyBorder="1" applyAlignment="1">
      <alignment horizontal="center" vertical="center"/>
    </xf>
    <xf numFmtId="3" fontId="48" fillId="10" borderId="7" xfId="0" applyNumberFormat="1" applyFont="1" applyFill="1" applyBorder="1" applyAlignment="1">
      <alignment horizontal="center" vertical="center"/>
    </xf>
    <xf numFmtId="0" fontId="39" fillId="29" borderId="0" xfId="0" applyFont="1" applyFill="1" applyAlignment="1">
      <alignment horizontal="center" vertical="center" wrapText="1"/>
    </xf>
    <xf numFmtId="0" fontId="39" fillId="29" borderId="82" xfId="0" applyFont="1" applyFill="1" applyBorder="1" applyAlignment="1">
      <alignment horizontal="center" vertical="center" wrapText="1"/>
    </xf>
    <xf numFmtId="0" fontId="39" fillId="29" borderId="80" xfId="0" applyFont="1" applyFill="1" applyBorder="1" applyAlignment="1">
      <alignment horizontal="center" vertical="center" wrapText="1"/>
    </xf>
    <xf numFmtId="0" fontId="39" fillId="31" borderId="80" xfId="0" applyFont="1" applyFill="1" applyBorder="1" applyAlignment="1">
      <alignment horizontal="center" vertical="center" wrapText="1"/>
    </xf>
    <xf numFmtId="0" fontId="40" fillId="18" borderId="124" xfId="0" applyFont="1" applyFill="1" applyBorder="1" applyAlignment="1">
      <alignment horizontal="center" vertical="center" wrapText="1"/>
    </xf>
    <xf numFmtId="0" fontId="40" fillId="18" borderId="104" xfId="0" applyFont="1" applyFill="1" applyBorder="1" applyAlignment="1">
      <alignment horizontal="center" vertical="center" wrapText="1"/>
    </xf>
    <xf numFmtId="0" fontId="39" fillId="31" borderId="87" xfId="0" applyFont="1" applyFill="1" applyBorder="1" applyAlignment="1">
      <alignment horizontal="center" vertical="center" wrapText="1"/>
    </xf>
    <xf numFmtId="0" fontId="39" fillId="29" borderId="89" xfId="0" applyFont="1" applyFill="1" applyBorder="1" applyAlignment="1">
      <alignment horizontal="center" vertical="center" wrapText="1"/>
    </xf>
    <xf numFmtId="0" fontId="39" fillId="29" borderId="87" xfId="0" applyFont="1" applyFill="1" applyBorder="1" applyAlignment="1">
      <alignment horizontal="center" vertical="center" wrapText="1"/>
    </xf>
    <xf numFmtId="0" fontId="39" fillId="29" borderId="40" xfId="0" applyFont="1" applyFill="1" applyBorder="1" applyAlignment="1">
      <alignment horizontal="center" vertical="center" wrapText="1"/>
    </xf>
    <xf numFmtId="0" fontId="39" fillId="29" borderId="6" xfId="0" applyFont="1" applyFill="1" applyBorder="1" applyAlignment="1">
      <alignment horizontal="center" vertical="center" wrapText="1"/>
    </xf>
    <xf numFmtId="0" fontId="39" fillId="31" borderId="6" xfId="0" applyFont="1" applyFill="1" applyBorder="1" applyAlignment="1">
      <alignment horizontal="center" vertical="center" wrapText="1"/>
    </xf>
    <xf numFmtId="0" fontId="39" fillId="29" borderId="14" xfId="0" applyFont="1" applyFill="1" applyBorder="1" applyAlignment="1">
      <alignment horizontal="center" vertical="center" wrapText="1"/>
    </xf>
    <xf numFmtId="0" fontId="39" fillId="29" borderId="2" xfId="0" applyFont="1" applyFill="1" applyBorder="1" applyAlignment="1">
      <alignment horizontal="center" vertical="center" wrapText="1"/>
    </xf>
    <xf numFmtId="0" fontId="39" fillId="31" borderId="131" xfId="0" applyFont="1" applyFill="1" applyBorder="1" applyAlignment="1">
      <alignment horizontal="center" vertical="center" wrapText="1"/>
    </xf>
    <xf numFmtId="0" fontId="39" fillId="31" borderId="132" xfId="0" applyFont="1" applyFill="1" applyBorder="1" applyAlignment="1">
      <alignment horizontal="center" vertical="center" wrapText="1"/>
    </xf>
    <xf numFmtId="0" fontId="134" fillId="0" borderId="135" xfId="332" applyBorder="1" applyAlignment="1">
      <alignment horizontal="center"/>
    </xf>
    <xf numFmtId="0" fontId="134" fillId="0" borderId="136" xfId="332" applyBorder="1" applyAlignment="1">
      <alignment horizontal="center"/>
    </xf>
    <xf numFmtId="0" fontId="134" fillId="0" borderId="135" xfId="332" applyBorder="1" applyAlignment="1">
      <alignment horizontal="center" vertical="center"/>
    </xf>
    <xf numFmtId="0" fontId="134" fillId="0" borderId="136" xfId="332" applyBorder="1" applyAlignment="1">
      <alignment horizontal="center" vertical="center"/>
    </xf>
    <xf numFmtId="1" fontId="134" fillId="42" borderId="135" xfId="332" applyNumberFormat="1" applyFill="1" applyBorder="1" applyAlignment="1">
      <alignment horizontal="center"/>
    </xf>
    <xf numFmtId="1" fontId="134" fillId="42" borderId="137" xfId="332" applyNumberFormat="1" applyFill="1" applyBorder="1" applyAlignment="1">
      <alignment horizontal="center"/>
    </xf>
    <xf numFmtId="1" fontId="134" fillId="42" borderId="136" xfId="332" applyNumberFormat="1" applyFill="1" applyBorder="1" applyAlignment="1">
      <alignment horizontal="center"/>
    </xf>
    <xf numFmtId="0" fontId="134" fillId="0" borderId="137" xfId="332" applyBorder="1" applyAlignment="1">
      <alignment horizontal="center" vertical="center"/>
    </xf>
    <xf numFmtId="0" fontId="139" fillId="0" borderId="135" xfId="332" applyFont="1" applyBorder="1" applyAlignment="1">
      <alignment horizontal="center" vertical="center"/>
    </xf>
    <xf numFmtId="0" fontId="139" fillId="0" borderId="136" xfId="332" applyFont="1" applyBorder="1" applyAlignment="1">
      <alignment horizontal="center" vertical="center"/>
    </xf>
    <xf numFmtId="0" fontId="134" fillId="42" borderId="135" xfId="332" applyFill="1" applyBorder="1" applyAlignment="1">
      <alignment horizontal="center"/>
    </xf>
    <xf numFmtId="0" fontId="134" fillId="42" borderId="137" xfId="332" applyFill="1" applyBorder="1" applyAlignment="1">
      <alignment horizontal="center"/>
    </xf>
    <xf numFmtId="0" fontId="134" fillId="42" borderId="136" xfId="332" applyFill="1" applyBorder="1" applyAlignment="1">
      <alignment horizontal="center"/>
    </xf>
    <xf numFmtId="10" fontId="0" fillId="42" borderId="135" xfId="333" applyNumberFormat="1" applyFont="1" applyFill="1" applyBorder="1" applyAlignment="1">
      <alignment horizontal="right"/>
    </xf>
    <xf numFmtId="10" fontId="0" fillId="42" borderId="137" xfId="333" applyNumberFormat="1" applyFont="1" applyFill="1" applyBorder="1" applyAlignment="1">
      <alignment horizontal="right"/>
    </xf>
    <xf numFmtId="3" fontId="134" fillId="42" borderId="135" xfId="332" applyNumberFormat="1" applyFill="1" applyBorder="1" applyAlignment="1">
      <alignment horizontal="right"/>
    </xf>
    <xf numFmtId="3" fontId="134" fillId="42" borderId="137" xfId="332" applyNumberFormat="1" applyFill="1" applyBorder="1" applyAlignment="1">
      <alignment horizontal="right"/>
    </xf>
    <xf numFmtId="9" fontId="137" fillId="0" borderId="17" xfId="332" applyNumberFormat="1" applyFont="1" applyBorder="1" applyAlignment="1">
      <alignment horizontal="center" vertical="center"/>
    </xf>
    <xf numFmtId="0" fontId="137" fillId="0" borderId="17" xfId="332" applyFont="1" applyBorder="1" applyAlignment="1">
      <alignment horizontal="center" vertical="center"/>
    </xf>
    <xf numFmtId="0" fontId="136" fillId="42" borderId="139" xfId="332" applyFont="1" applyFill="1" applyBorder="1" applyAlignment="1">
      <alignment horizontal="center" textRotation="90"/>
    </xf>
    <xf numFmtId="0" fontId="136" fillId="42" borderId="114" xfId="332" applyFont="1" applyFill="1" applyBorder="1" applyAlignment="1">
      <alignment horizontal="center" textRotation="90"/>
    </xf>
    <xf numFmtId="0" fontId="136" fillId="42" borderId="123" xfId="332" applyFont="1" applyFill="1" applyBorder="1" applyAlignment="1">
      <alignment horizontal="center" textRotation="90"/>
    </xf>
    <xf numFmtId="0" fontId="134" fillId="0" borderId="137" xfId="332" applyBorder="1" applyAlignment="1">
      <alignment horizontal="center"/>
    </xf>
    <xf numFmtId="175" fontId="134" fillId="0" borderId="135" xfId="332" applyNumberFormat="1" applyBorder="1" applyAlignment="1">
      <alignment horizontal="center"/>
    </xf>
    <xf numFmtId="175" fontId="134" fillId="0" borderId="137" xfId="332" applyNumberFormat="1" applyBorder="1" applyAlignment="1">
      <alignment horizontal="center"/>
    </xf>
    <xf numFmtId="175" fontId="134" fillId="0" borderId="136" xfId="332" applyNumberFormat="1" applyBorder="1" applyAlignment="1">
      <alignment horizontal="center"/>
    </xf>
    <xf numFmtId="0" fontId="135" fillId="0" borderId="17" xfId="332" applyFont="1" applyBorder="1" applyAlignment="1">
      <alignment horizontal="center" vertical="center"/>
    </xf>
    <xf numFmtId="0" fontId="134" fillId="0" borderId="17" xfId="332" applyBorder="1" applyAlignment="1">
      <alignment horizontal="center" vertical="center" wrapText="1"/>
    </xf>
    <xf numFmtId="14" fontId="138" fillId="0" borderId="17" xfId="332" applyNumberFormat="1" applyFont="1" applyBorder="1" applyAlignment="1">
      <alignment horizontal="center" vertical="center"/>
    </xf>
    <xf numFmtId="43" fontId="0" fillId="42" borderId="135" xfId="334" applyFont="1" applyFill="1" applyBorder="1" applyAlignment="1">
      <alignment horizontal="center" vertical="center"/>
    </xf>
    <xf numFmtId="43" fontId="0" fillId="42" borderId="137" xfId="334" applyFont="1" applyFill="1" applyBorder="1" applyAlignment="1">
      <alignment horizontal="center" vertical="center"/>
    </xf>
    <xf numFmtId="10" fontId="137" fillId="0" borderId="17" xfId="332" applyNumberFormat="1" applyFont="1" applyBorder="1" applyAlignment="1">
      <alignment horizontal="center" vertical="center"/>
    </xf>
    <xf numFmtId="0" fontId="134" fillId="0" borderId="0" xfId="332" applyAlignment="1">
      <alignment horizontal="center" vertical="center"/>
    </xf>
    <xf numFmtId="3" fontId="134" fillId="42" borderId="135" xfId="332" applyNumberFormat="1" applyFill="1" applyBorder="1" applyAlignment="1">
      <alignment horizontal="center"/>
    </xf>
    <xf numFmtId="3" fontId="134" fillId="42" borderId="137" xfId="332" applyNumberFormat="1" applyFill="1" applyBorder="1" applyAlignment="1">
      <alignment horizontal="center"/>
    </xf>
    <xf numFmtId="3" fontId="134" fillId="42" borderId="136" xfId="332" applyNumberFormat="1" applyFill="1" applyBorder="1" applyAlignment="1">
      <alignment horizontal="center"/>
    </xf>
    <xf numFmtId="0" fontId="102" fillId="42" borderId="135" xfId="332" applyFont="1" applyFill="1" applyBorder="1" applyAlignment="1">
      <alignment horizontal="center" vertical="top" wrapText="1"/>
    </xf>
    <xf numFmtId="0" fontId="102" fillId="42" borderId="136" xfId="332" applyFont="1" applyFill="1" applyBorder="1" applyAlignment="1">
      <alignment horizontal="center" vertical="top"/>
    </xf>
  </cellXfs>
  <cellStyles count="335">
    <cellStyle name="Cálculo" xfId="1" builtinId="22"/>
    <cellStyle name="Millares" xfId="289" builtinId="3"/>
    <cellStyle name="Millares 2" xfId="62" xr:uid="{4BB1060C-E33D-4478-8A52-E1CD03410DA9}"/>
    <cellStyle name="Millares 2 2" xfId="130" xr:uid="{B5D9AD4F-17FF-4D27-A398-4D42601357F1}"/>
    <cellStyle name="Millares 2 2 2" xfId="266" xr:uid="{3D0781FF-1361-425B-A5EC-91F26FD166EA}"/>
    <cellStyle name="Millares 2 3" xfId="198" xr:uid="{DA3216F9-C751-4FC7-B375-6ADAA4063693}"/>
    <cellStyle name="Millares 3" xfId="99" xr:uid="{E6DDBFB6-7333-4616-863D-1D7878EB24B2}"/>
    <cellStyle name="Millares 3 2" xfId="235" xr:uid="{F619BC86-5F92-40C8-A771-62B2930A5847}"/>
    <cellStyle name="Millares 4" xfId="167" xr:uid="{9930367E-EE26-446C-AD7E-8D40D5942556}"/>
    <cellStyle name="Millares 5" xfId="323" xr:uid="{3035B2AB-6AE7-4FD6-B481-4D51485D57FF}"/>
    <cellStyle name="Millares 6" xfId="334" xr:uid="{ADAF3B16-1A83-4C32-BE17-D2512880AA20}"/>
    <cellStyle name="Normal" xfId="0" builtinId="0"/>
    <cellStyle name="Normal 127 2" xfId="12" xr:uid="{00000000-0005-0000-0000-000003000000}"/>
    <cellStyle name="Normal 127 2 2" xfId="14" xr:uid="{00000000-0005-0000-0000-000004000000}"/>
    <cellStyle name="Normal 127 2 2 2" xfId="20" xr:uid="{00000000-0005-0000-0000-000005000000}"/>
    <cellStyle name="Normal 127 2 2 2 2" xfId="26" xr:uid="{00000000-0005-0000-0000-000006000000}"/>
    <cellStyle name="Normal 127 2 2 2 2 2" xfId="56" xr:uid="{372A90CA-5A45-4CE2-B6C1-766642DD08D9}"/>
    <cellStyle name="Normal 127 2 2 2 2 2 2" xfId="124" xr:uid="{9340EE11-5A9B-4407-8504-577069568516}"/>
    <cellStyle name="Normal 127 2 2 2 2 2 2 2" xfId="260" xr:uid="{1A64F9E7-4BD0-493E-97E8-FBA4795C42C0}"/>
    <cellStyle name="Normal 127 2 2 2 2 2 3" xfId="192" xr:uid="{B0BACBE5-CCCB-46C2-B42B-B210F55A522D}"/>
    <cellStyle name="Normal 127 2 2 2 2 3" xfId="93" xr:uid="{8133CC2C-1F1B-4688-835C-2E4554F78CE9}"/>
    <cellStyle name="Normal 127 2 2 2 2 3 2" xfId="229" xr:uid="{74308BAE-0692-4E5C-B359-3E574BD0D8EA}"/>
    <cellStyle name="Normal 127 2 2 2 2 4" xfId="161" xr:uid="{FF949702-B7D6-4D0F-BCFB-9B580E0D8C2D}"/>
    <cellStyle name="Normal 127 2 2 2 3" xfId="50" xr:uid="{3ED2BF5B-4217-464E-869D-5E8107EE553F}"/>
    <cellStyle name="Normal 127 2 2 2 3 2" xfId="118" xr:uid="{F18516CA-D3D9-4881-94BF-E067BF72E0EA}"/>
    <cellStyle name="Normal 127 2 2 2 3 2 2" xfId="254" xr:uid="{D287E4AB-8E80-4A1D-9B2B-2F1B3D77168E}"/>
    <cellStyle name="Normal 127 2 2 2 3 3" xfId="186" xr:uid="{858E53D4-2A7E-43B9-A8DD-F18E8C40F4D2}"/>
    <cellStyle name="Normal 127 2 2 2 4" xfId="67" xr:uid="{60CB2C85-5E77-4F3A-9464-3059275A3999}"/>
    <cellStyle name="Normal 127 2 2 2 4 2" xfId="135" xr:uid="{FA7A90A9-8249-4306-92C1-AF1E415BB1AD}"/>
    <cellStyle name="Normal 127 2 2 2 4 2 2" xfId="271" xr:uid="{5C396CBE-7E60-414D-BF6D-3C57A7E76327}"/>
    <cellStyle name="Normal 127 2 2 2 4 3" xfId="203" xr:uid="{77BA5582-7141-4360-A7DA-3FE4C1A82F47}"/>
    <cellStyle name="Normal 127 2 2 2 5" xfId="87" xr:uid="{BD67F886-4DB8-4817-B076-48894BAE7456}"/>
    <cellStyle name="Normal 127 2 2 2 5 2" xfId="223" xr:uid="{7ED1635D-2836-46DB-A93B-056F5BB099AA}"/>
    <cellStyle name="Normal 127 2 2 2 6" xfId="155" xr:uid="{31303A49-A620-4202-A7B4-36C2540F0E48}"/>
    <cellStyle name="Normal 127 2 2 2 7" xfId="277" xr:uid="{1F2E574E-CF14-4241-BED0-585411E29B1A}"/>
    <cellStyle name="Normal 127 2 2 2 8" xfId="298" xr:uid="{B99E3900-0072-438C-B6D9-C3FC9CB58E96}"/>
    <cellStyle name="Normal 127 2 2 2 9" xfId="309" xr:uid="{E7EC4C97-27CD-4F31-8E39-ACE489766862}"/>
    <cellStyle name="Normal 127 2 2 2 9 2" xfId="319" xr:uid="{45B1E465-4814-4436-8B0B-DAA6E35DE77B}"/>
    <cellStyle name="Normal 127 2 2 2 9 3" xfId="330" xr:uid="{808FDFB9-FA8E-4D99-9D36-C6E045E93025}"/>
    <cellStyle name="Normal 127 2 2 3" xfId="44" xr:uid="{5BC4F0B3-7691-4FD3-B521-86102415BC27}"/>
    <cellStyle name="Normal 127 2 2 3 2" xfId="112" xr:uid="{12E27CA5-03CB-40C5-88CE-852F88CA8500}"/>
    <cellStyle name="Normal 127 2 2 3 2 2" xfId="248" xr:uid="{879A3DAA-53FF-435B-8A6B-B0BB582D79BF}"/>
    <cellStyle name="Normal 127 2 2 3 3" xfId="180" xr:uid="{DF054268-0216-4EE4-B97F-619D9B3F52FA}"/>
    <cellStyle name="Normal 127 2 2 4" xfId="81" xr:uid="{0706748C-08AE-465D-9647-7FA01500F159}"/>
    <cellStyle name="Normal 127 2 2 4 2" xfId="217" xr:uid="{819D048E-9FA9-4DCB-AFDE-C97FE9657439}"/>
    <cellStyle name="Normal 127 2 2 5" xfId="149" xr:uid="{63ACCCC9-4B7D-4CE7-8174-3E70BC38A819}"/>
    <cellStyle name="Normal 127 2 3" xfId="8" xr:uid="{00000000-0005-0000-0000-000007000000}"/>
    <cellStyle name="Normal 127 2 3 10" xfId="283" xr:uid="{BF6A6494-9D5D-4D08-81D3-B1D83E323649}"/>
    <cellStyle name="Normal 127 2 3 11" xfId="312" xr:uid="{AF885218-BB6C-485C-A262-27D245009331}"/>
    <cellStyle name="Normal 127 2 3 11 2" xfId="327" xr:uid="{9CA8429C-8940-4BF5-B0F2-4E938EFB2FA8}"/>
    <cellStyle name="Normal 127 2 3 2" xfId="18" xr:uid="{00000000-0005-0000-0000-000008000000}"/>
    <cellStyle name="Normal 127 2 3 2 2" xfId="24" xr:uid="{00000000-0005-0000-0000-000009000000}"/>
    <cellStyle name="Normal 127 2 3 2 2 2" xfId="30" xr:uid="{00000000-0005-0000-0000-00000A000000}"/>
    <cellStyle name="Normal 127 2 3 2 2 2 2" xfId="60" xr:uid="{01BD5602-420C-42CB-9E9A-99C549433B4E}"/>
    <cellStyle name="Normal 127 2 3 2 2 2 2 2" xfId="128" xr:uid="{ADB3750D-7C3B-48ED-8D7E-26AF85C21AD5}"/>
    <cellStyle name="Normal 127 2 3 2 2 2 2 2 2" xfId="264" xr:uid="{3C5129AB-DCD2-4135-AD66-AF2951053CA1}"/>
    <cellStyle name="Normal 127 2 3 2 2 2 2 3" xfId="196" xr:uid="{64277D41-657B-4026-87ED-7123EAEC1A1B}"/>
    <cellStyle name="Normal 127 2 3 2 2 2 3" xfId="97" xr:uid="{09F7049A-3AB1-4B98-8897-D9C6AFC22C1C}"/>
    <cellStyle name="Normal 127 2 3 2 2 2 3 2" xfId="233" xr:uid="{2432F493-9F67-493E-A42A-E4F80FB75696}"/>
    <cellStyle name="Normal 127 2 3 2 2 2 4" xfId="165" xr:uid="{336CAC25-9908-420E-B311-771ED177A4FB}"/>
    <cellStyle name="Normal 127 2 3 2 2 3" xfId="54" xr:uid="{24E0A34F-C1F9-4DDF-9295-BF1429EB9C0E}"/>
    <cellStyle name="Normal 127 2 3 2 2 3 2" xfId="122" xr:uid="{2F3D7875-29D9-4396-A426-8230D0E6E665}"/>
    <cellStyle name="Normal 127 2 3 2 2 3 2 2" xfId="258" xr:uid="{23C2EB4F-42D3-4191-B2C8-F5CF27A4934C}"/>
    <cellStyle name="Normal 127 2 3 2 2 3 3" xfId="190" xr:uid="{6B16177D-5F1E-44D3-B13A-48838AEF7A54}"/>
    <cellStyle name="Normal 127 2 3 2 2 4" xfId="91" xr:uid="{DE96EA74-30FE-400B-A565-CDA4AE15B19B}"/>
    <cellStyle name="Normal 127 2 3 2 2 4 2" xfId="227" xr:uid="{F4A1FBCF-A3B1-467A-9672-B7FA8644D854}"/>
    <cellStyle name="Normal 127 2 3 2 2 5" xfId="159" xr:uid="{89B03ACD-3DF6-400B-A67F-46C414E2CD52}"/>
    <cellStyle name="Normal 127 2 3 2 3" xfId="48" xr:uid="{6A202DDD-9361-4AFB-9DE2-4C9D9C8950FB}"/>
    <cellStyle name="Normal 127 2 3 2 3 2" xfId="116" xr:uid="{74B9C29B-6421-45E6-8B19-A33457617307}"/>
    <cellStyle name="Normal 127 2 3 2 3 2 2" xfId="252" xr:uid="{278B4EB2-7CB7-40EE-B15F-921CD1695043}"/>
    <cellStyle name="Normal 127 2 3 2 3 3" xfId="184" xr:uid="{EC8CF274-CCC1-4A94-9F4A-6C0BF6FA64F6}"/>
    <cellStyle name="Normal 127 2 3 2 4" xfId="85" xr:uid="{9E37EF69-B8D9-4869-B104-2D3F41025D8A}"/>
    <cellStyle name="Normal 127 2 3 2 4 2" xfId="221" xr:uid="{C82D159F-F04C-4802-9C2B-1E967FBAC582}"/>
    <cellStyle name="Normal 127 2 3 2 5" xfId="153" xr:uid="{94441020-DF6C-4A80-9DC6-86DADDBE996A}"/>
    <cellStyle name="Normal 127 2 3 3" xfId="38" xr:uid="{124A413C-DFB2-41F7-90AC-71B89D916AF7}"/>
    <cellStyle name="Normal 127 2 3 3 2" xfId="106" xr:uid="{1004C83F-CBE6-4618-A23D-AA468E731C6C}"/>
    <cellStyle name="Normal 127 2 3 3 2 2" xfId="242" xr:uid="{FF299401-9E88-410B-AD77-7FDB967C7837}"/>
    <cellStyle name="Normal 127 2 3 3 3" xfId="174" xr:uid="{B9D61E02-24E7-44D9-8586-D170E5C3251D}"/>
    <cellStyle name="Normal 127 2 3 4" xfId="75" xr:uid="{10B6A3C7-BDB9-4422-A321-FBD28A484CBF}"/>
    <cellStyle name="Normal 127 2 3 4 2" xfId="211" xr:uid="{4FC0B314-E4A8-4366-8AFF-59B0FA7C287F}"/>
    <cellStyle name="Normal 127 2 3 5" xfId="143" xr:uid="{DC2CD921-672C-4BD3-B9AA-EF12BEAABEB4}"/>
    <cellStyle name="Normal 127 2 3 6" xfId="279" xr:uid="{67FB894E-CAC6-47EE-85C6-0582069BE39B}"/>
    <cellStyle name="Normal 127 2 3 7" xfId="295" xr:uid="{1BE044ED-7837-4E02-8C08-E73C7553DB42}"/>
    <cellStyle name="Normal 127 2 3 8" xfId="304" xr:uid="{C2B5F2D7-D1EA-4516-BA94-EAD62FE39B65}"/>
    <cellStyle name="Normal 127 2 4" xfId="3" xr:uid="{00000000-0005-0000-0000-00000B000000}"/>
    <cellStyle name="Normal 127 2 4 2" xfId="33" xr:uid="{17C24BA3-8BF3-43A7-9684-3A0753604E87}"/>
    <cellStyle name="Normal 127 2 4 2 2" xfId="101" xr:uid="{48B2DCC3-AC11-4A43-B305-0A8D12E2AAC1}"/>
    <cellStyle name="Normal 127 2 4 2 2 2" xfId="237" xr:uid="{A61A2CF8-A07E-484F-840D-1465364CF3E7}"/>
    <cellStyle name="Normal 127 2 4 2 3" xfId="169" xr:uid="{D1905E81-8086-45DB-94A8-CFA9AB3F99F9}"/>
    <cellStyle name="Normal 127 2 4 3" xfId="70" xr:uid="{ADC0C0CF-AA4C-4138-ACAB-679DC2E326DE}"/>
    <cellStyle name="Normal 127 2 4 3 2" xfId="206" xr:uid="{BCC423D8-6104-4838-ACF0-BA4FB2F2C9BB}"/>
    <cellStyle name="Normal 127 2 4 4" xfId="138" xr:uid="{EA58AD5A-4C1C-4E60-858F-0DC8E9407C71}"/>
    <cellStyle name="Normal 127 2 5" xfId="10" xr:uid="{00000000-0005-0000-0000-00000C000000}"/>
    <cellStyle name="Normal 127 2 5 2" xfId="16" xr:uid="{00000000-0005-0000-0000-00000D000000}"/>
    <cellStyle name="Normal 127 2 5 2 2" xfId="22" xr:uid="{00000000-0005-0000-0000-00000E000000}"/>
    <cellStyle name="Normal 127 2 5 2 2 2" xfId="52" xr:uid="{DD45FF84-6F29-42F8-963B-5AFF7DDA933F}"/>
    <cellStyle name="Normal 127 2 5 2 2 2 2" xfId="120" xr:uid="{23DA7CB2-5743-461E-96D5-ABDC7C6E8B34}"/>
    <cellStyle name="Normal 127 2 5 2 2 2 2 2" xfId="256" xr:uid="{996D7AB8-A0B0-42B6-A0B2-CF6A74237119}"/>
    <cellStyle name="Normal 127 2 5 2 2 2 3" xfId="188" xr:uid="{573B0553-B3D8-454D-8A49-C3A225859695}"/>
    <cellStyle name="Normal 127 2 5 2 2 3" xfId="89" xr:uid="{A7F3A5E3-E11C-4DB9-820E-28F7049ED36A}"/>
    <cellStyle name="Normal 127 2 5 2 2 3 2" xfId="225" xr:uid="{80BDE74A-C43B-4496-BF93-C4947E1EE6C8}"/>
    <cellStyle name="Normal 127 2 5 2 2 4" xfId="157" xr:uid="{905E1262-36EF-4183-A55F-A6AC7CDB9360}"/>
    <cellStyle name="Normal 127 2 5 2 3" xfId="28" xr:uid="{00000000-0005-0000-0000-00000F000000}"/>
    <cellStyle name="Normal 127 2 5 2 3 2" xfId="58" xr:uid="{499A5AAD-CDB6-4ED4-992D-EAEE1435708E}"/>
    <cellStyle name="Normal 127 2 5 2 3 2 2" xfId="126" xr:uid="{AB89E7F7-A6C6-4B7D-9699-B519E0752990}"/>
    <cellStyle name="Normal 127 2 5 2 3 2 2 2" xfId="262" xr:uid="{476F6377-CC9B-4C3C-8B18-549A58D347AA}"/>
    <cellStyle name="Normal 127 2 5 2 3 2 3" xfId="194" xr:uid="{65D10858-2B3E-484D-A15A-B1FF5F78BF8E}"/>
    <cellStyle name="Normal 127 2 5 2 3 3" xfId="95" xr:uid="{DF8FEEC9-B964-424C-9DBB-94C74AC10A42}"/>
    <cellStyle name="Normal 127 2 5 2 3 3 2" xfId="231" xr:uid="{7193505B-A762-4D18-BA49-33727EA9E73E}"/>
    <cellStyle name="Normal 127 2 5 2 3 4" xfId="163" xr:uid="{DA8ED283-A003-4249-AA65-F28D1C0FB744}"/>
    <cellStyle name="Normal 127 2 5 2 4" xfId="46" xr:uid="{EAD79C99-7546-451A-A31E-1CA430D1C889}"/>
    <cellStyle name="Normal 127 2 5 2 4 2" xfId="114" xr:uid="{16859283-657A-423D-BF1E-841E6F18C3A0}"/>
    <cellStyle name="Normal 127 2 5 2 4 2 2" xfId="250" xr:uid="{BEA3710F-1565-4944-8F6D-39517690A6B0}"/>
    <cellStyle name="Normal 127 2 5 2 4 3" xfId="182" xr:uid="{797AE2B1-E6A5-42D0-B70A-7D474EADFAC3}"/>
    <cellStyle name="Normal 127 2 5 2 5" xfId="65" xr:uid="{9C8A0B34-87F5-452F-AB37-681878220EC1}"/>
    <cellStyle name="Normal 127 2 5 2 5 10" xfId="313" xr:uid="{FD6F4569-0A2B-44A1-BA00-246479E413E3}"/>
    <cellStyle name="Normal 127 2 5 2 5 10 2" xfId="326" xr:uid="{108015C2-B8FA-4409-8B62-F026969AD2A7}"/>
    <cellStyle name="Normal 127 2 5 2 5 2" xfId="133" xr:uid="{EED2D607-D679-4475-A2A5-CA1B6C0B81EB}"/>
    <cellStyle name="Normal 127 2 5 2 5 2 2" xfId="269" xr:uid="{A998B0F4-AD81-4BFB-AB94-A5EEB1871986}"/>
    <cellStyle name="Normal 127 2 5 2 5 3" xfId="201" xr:uid="{40869F66-F59D-4682-9089-DD775894C3CF}"/>
    <cellStyle name="Normal 127 2 5 2 5 4" xfId="274" xr:uid="{42E447BB-CEE5-4373-A5EF-2F57511E7E8E}"/>
    <cellStyle name="Normal 127 2 5 2 5 5" xfId="291" xr:uid="{1483536E-3747-431B-9A74-DE4BBDDF4C9A}"/>
    <cellStyle name="Normal 127 2 5 2 5 6" xfId="301" xr:uid="{764B6854-58DC-4772-9B76-E8447C939267}"/>
    <cellStyle name="Normal 127 2 5 2 5 8" xfId="281" xr:uid="{52B5D8A0-B6CF-4DDA-A7F5-66E7110673ED}"/>
    <cellStyle name="Normal 127 2 5 2 5 9" xfId="287" xr:uid="{8F0935D4-C89C-49B9-9DFC-8CE33FFB0072}"/>
    <cellStyle name="Normal 127 2 5 2 5 9 2" xfId="293" xr:uid="{70988436-61A1-45BC-B9BB-C2C840F76866}"/>
    <cellStyle name="Normal 127 2 5 2 5 9 2 2" xfId="315" xr:uid="{45FB90DD-DE53-4A39-93BB-2AE13788E5AA}"/>
    <cellStyle name="Normal 127 2 5 2 5 9 2 3" xfId="331" xr:uid="{907BD380-319A-4849-825B-15C77CB73FEA}"/>
    <cellStyle name="Normal 127 2 5 2 5 9 3" xfId="306" xr:uid="{CBBA4D99-965A-49D2-9A46-BF9DD72FB6A2}"/>
    <cellStyle name="Normal 127 2 5 2 6" xfId="83" xr:uid="{06655B5A-8F35-4774-B508-56D53211D127}"/>
    <cellStyle name="Normal 127 2 5 2 6 2" xfId="219" xr:uid="{C02DBC73-E413-434F-B092-BB881DA9A123}"/>
    <cellStyle name="Normal 127 2 5 2 7" xfId="151" xr:uid="{88DE6902-1319-4739-85E1-B3B06179BB7A}"/>
    <cellStyle name="Normal 127 2 5 3" xfId="40" xr:uid="{2D6BE95D-9BA2-4016-98C1-069E105C5260}"/>
    <cellStyle name="Normal 127 2 5 3 2" xfId="108" xr:uid="{AAED99C6-82A9-4842-B226-4511309A7869}"/>
    <cellStyle name="Normal 127 2 5 3 2 2" xfId="244" xr:uid="{C00F2454-D60D-4F9D-A8E3-4AFF0AF58C8F}"/>
    <cellStyle name="Normal 127 2 5 3 3" xfId="176" xr:uid="{F54A4DFA-B9C0-44D3-AD0A-949462026F7B}"/>
    <cellStyle name="Normal 127 2 5 4" xfId="77" xr:uid="{A3B59070-65B8-4AA7-B50D-6B46C7F8A2D2}"/>
    <cellStyle name="Normal 127 2 5 4 2" xfId="213" xr:uid="{831C3478-D7DE-4EA7-BD2A-F211424983FB}"/>
    <cellStyle name="Normal 127 2 5 5" xfId="145" xr:uid="{CC4B0C2F-F5BB-4963-84E0-95AC52DC607A}"/>
    <cellStyle name="Normal 127 2 6" xfId="42" xr:uid="{F8A1A566-647C-4994-9A3A-2A3CF0B16203}"/>
    <cellStyle name="Normal 127 2 6 2" xfId="110" xr:uid="{406554A5-ED3D-4673-94A4-2D0FE2DCDD4B}"/>
    <cellStyle name="Normal 127 2 6 2 2" xfId="246" xr:uid="{77890322-4ECA-48AA-A68B-33B1F3695007}"/>
    <cellStyle name="Normal 127 2 6 3" xfId="178" xr:uid="{9E10DE70-9AD3-4923-B43C-09155F81B7A2}"/>
    <cellStyle name="Normal 127 2 7" xfId="79" xr:uid="{6BD297C6-6923-4156-8BE8-1FB815C09233}"/>
    <cellStyle name="Normal 127 2 7 2" xfId="215" xr:uid="{1E6483EC-0AD9-40CC-B477-D9306EC2270F}"/>
    <cellStyle name="Normal 127 2 8" xfId="147" xr:uid="{C2FCEB02-8510-42AC-ACDD-8B67E7BFC70F}"/>
    <cellStyle name="Normal 140 2" xfId="11" xr:uid="{00000000-0005-0000-0000-000010000000}"/>
    <cellStyle name="Normal 140 2 2" xfId="41" xr:uid="{8BBA27FB-9799-408E-BE42-50D1D4681880}"/>
    <cellStyle name="Normal 140 2 2 2" xfId="109" xr:uid="{908F8957-5C6C-42B5-A163-3653EF45420E}"/>
    <cellStyle name="Normal 140 2 2 2 2" xfId="245" xr:uid="{F84CE7F1-C4E1-4658-AC3E-ECB90508680E}"/>
    <cellStyle name="Normal 140 2 2 3" xfId="177" xr:uid="{08B4B042-8543-49AB-867E-5B6158E543CF}"/>
    <cellStyle name="Normal 140 2 3" xfId="6" xr:uid="{00000000-0005-0000-0000-000011000000}"/>
    <cellStyle name="Normal 140 2 3 2" xfId="36" xr:uid="{307402E5-4AF3-4B42-8A59-7B899AECF531}"/>
    <cellStyle name="Normal 140 2 3 2 2" xfId="104" xr:uid="{26023BDD-F28F-47B6-B312-AA8606ABC187}"/>
    <cellStyle name="Normal 140 2 3 2 2 2" xfId="240" xr:uid="{D182975D-FEF9-4DF2-875E-11436B00BD3C}"/>
    <cellStyle name="Normal 140 2 3 2 3" xfId="172" xr:uid="{33B98A10-070D-48F3-ACD9-E30FDFC5D9C1}"/>
    <cellStyle name="Normal 140 2 3 3" xfId="73" xr:uid="{8B9A8A32-CAE6-49CC-A623-02B46E498BA9}"/>
    <cellStyle name="Normal 140 2 3 3 2" xfId="209" xr:uid="{5054741B-E4AB-442A-8142-845999A93452}"/>
    <cellStyle name="Normal 140 2 3 4" xfId="141" xr:uid="{71AFA8D3-0BDA-45B0-89E9-E328BE0A5D2D}"/>
    <cellStyle name="Normal 140 2 4" xfId="4" xr:uid="{00000000-0005-0000-0000-000012000000}"/>
    <cellStyle name="Normal 140 2 4 2" xfId="15" xr:uid="{00000000-0005-0000-0000-000013000000}"/>
    <cellStyle name="Normal 140 2 4 2 11" xfId="282" xr:uid="{8C3098FB-781D-47D4-8DA0-15D6C08DDE65}"/>
    <cellStyle name="Normal 140 2 4 2 12" xfId="286" xr:uid="{F524C384-F63B-4B45-884F-9E4C08585323}"/>
    <cellStyle name="Normal 140 2 4 2 12 2" xfId="292" xr:uid="{1B8EA3E2-1A17-4FB7-B17B-ECDB60611B23}"/>
    <cellStyle name="Normal 140 2 4 2 12 2 2" xfId="314" xr:uid="{BDC7CA94-C632-4D6C-B814-F513A87923B0}"/>
    <cellStyle name="Normal 140 2 4 2 12 2 3" xfId="325" xr:uid="{30B67444-B834-4EC2-B92B-CA513485D8CB}"/>
    <cellStyle name="Normal 140 2 4 2 12 3" xfId="305" xr:uid="{F50606EB-A328-41B2-8A39-F4CFA3BBCEEB}"/>
    <cellStyle name="Normal 140 2 4 2 2" xfId="21" xr:uid="{00000000-0005-0000-0000-000014000000}"/>
    <cellStyle name="Normal 140 2 4 2 2 2" xfId="27" xr:uid="{00000000-0005-0000-0000-000015000000}"/>
    <cellStyle name="Normal 140 2 4 2 2 2 2" xfId="57" xr:uid="{B3DCB25E-7D1C-4B04-9C68-60F8B9B8023E}"/>
    <cellStyle name="Normal 140 2 4 2 2 2 2 2" xfId="125" xr:uid="{469313F2-D300-457E-B5BE-9C4E85CE81F4}"/>
    <cellStyle name="Normal 140 2 4 2 2 2 2 2 2" xfId="261" xr:uid="{F33154DD-554E-4361-BEB7-FC8A227128C4}"/>
    <cellStyle name="Normal 140 2 4 2 2 2 2 3" xfId="193" xr:uid="{FA803462-D206-4170-9721-0CCED5CA8097}"/>
    <cellStyle name="Normal 140 2 4 2 2 2 3" xfId="94" xr:uid="{78997763-F67F-41B2-9095-0E5063DA21DB}"/>
    <cellStyle name="Normal 140 2 4 2 2 2 3 2" xfId="230" xr:uid="{D4FA1EAC-E13F-4038-9A60-25428DB96A94}"/>
    <cellStyle name="Normal 140 2 4 2 2 2 4" xfId="162" xr:uid="{BDBE6AF1-F9EA-43A4-8A49-EA8A952C3400}"/>
    <cellStyle name="Normal 140 2 4 2 2 3" xfId="51" xr:uid="{8582D2A3-706F-4663-A2C5-6DDB0263B3F0}"/>
    <cellStyle name="Normal 140 2 4 2 2 3 2" xfId="119" xr:uid="{B5D76780-7A12-4109-A4A9-6F85D73AC4CB}"/>
    <cellStyle name="Normal 140 2 4 2 2 3 2 2" xfId="255" xr:uid="{A7860F37-71B6-4F65-949D-5B4BC9FDBDF1}"/>
    <cellStyle name="Normal 140 2 4 2 2 3 3" xfId="187" xr:uid="{BF7806EC-739A-4091-AC38-3DA8239E851D}"/>
    <cellStyle name="Normal 140 2 4 2 2 4" xfId="88" xr:uid="{B4F975EC-FDFF-4676-BAFB-3AF4326AD4C3}"/>
    <cellStyle name="Normal 140 2 4 2 2 4 2" xfId="224" xr:uid="{D76E95B1-CB41-464E-BA62-85E02B8F1D13}"/>
    <cellStyle name="Normal 140 2 4 2 2 5" xfId="156" xr:uid="{80290C1C-2AD9-47E5-AF4E-241631379E0D}"/>
    <cellStyle name="Normal 140 2 4 2 3" xfId="45" xr:uid="{5F10D5FD-4636-4E38-B0D5-B6BEE6D1402C}"/>
    <cellStyle name="Normal 140 2 4 2 3 2" xfId="113" xr:uid="{F9F725B4-3549-4EDD-B1FF-D1284A0DD096}"/>
    <cellStyle name="Normal 140 2 4 2 3 2 2" xfId="249" xr:uid="{28BF033E-4B66-4FBB-BA03-B992DEEEA8B0}"/>
    <cellStyle name="Normal 140 2 4 2 3 3" xfId="181" xr:uid="{401C917F-1365-42D6-88BD-04AD023DC53F}"/>
    <cellStyle name="Normal 140 2 4 2 4" xfId="64" xr:uid="{F0912577-8289-4EE0-A4DA-2EF314A11C59}"/>
    <cellStyle name="Normal 140 2 4 2 4 2" xfId="132" xr:uid="{EB0A2590-484F-4C38-AA0B-D8C57F65337E}"/>
    <cellStyle name="Normal 140 2 4 2 4 2 2" xfId="268" xr:uid="{F1F7D839-33AD-43DC-8504-E1344CC2B01C}"/>
    <cellStyle name="Normal 140 2 4 2 4 3" xfId="200" xr:uid="{69176A26-FC96-460C-A752-9DCB59155C46}"/>
    <cellStyle name="Normal 140 2 4 2 5" xfId="82" xr:uid="{86B906D8-7661-4A75-B0A5-F501300D0738}"/>
    <cellStyle name="Normal 140 2 4 2 5 2" xfId="218" xr:uid="{83ACFA8D-FDB3-45D7-8D98-2F4A0D57F70D}"/>
    <cellStyle name="Normal 140 2 4 2 6" xfId="150" xr:uid="{8A257DCF-C383-406E-B40C-09E5D0F3FE0D}"/>
    <cellStyle name="Normal 140 2 4 2 7" xfId="278" xr:uid="{D6948E07-B752-4D2B-BCED-5C2F4BA16DEB}"/>
    <cellStyle name="Normal 140 2 4 2 8" xfId="302" xr:uid="{048371BC-B7B6-417F-A961-10A3E9DF9311}"/>
    <cellStyle name="Normal 140 2 4 3" xfId="34" xr:uid="{B0DC23EE-22A9-45AB-BFAC-FA6EEF5E7984}"/>
    <cellStyle name="Normal 140 2 4 3 2" xfId="102" xr:uid="{CF6776A5-A635-4E32-B9E2-874FE5A0AC3E}"/>
    <cellStyle name="Normal 140 2 4 3 2 2" xfId="238" xr:uid="{4AD000C9-4450-430B-A39F-84D8CA094811}"/>
    <cellStyle name="Normal 140 2 4 3 3" xfId="170" xr:uid="{450F9522-6C69-45C7-8475-2D92906A342C}"/>
    <cellStyle name="Normal 140 2 4 4" xfId="71" xr:uid="{A9589C02-ED5E-40C4-ACD9-03FD2A43BA37}"/>
    <cellStyle name="Normal 140 2 4 4 2" xfId="207" xr:uid="{56137B39-2EE8-4FCA-AFAE-0B4AB8E45C53}"/>
    <cellStyle name="Normal 140 2 4 5" xfId="139" xr:uid="{45310D26-25CD-40AB-A0D9-4A1CE8162C34}"/>
    <cellStyle name="Normal 140 2 5" xfId="7" xr:uid="{00000000-0005-0000-0000-000016000000}"/>
    <cellStyle name="Normal 140 2 5 2" xfId="17" xr:uid="{00000000-0005-0000-0000-000017000000}"/>
    <cellStyle name="Normal 140 2 5 2 11" xfId="284" xr:uid="{9CDC5920-2D00-427F-BC2E-6066C27433AC}"/>
    <cellStyle name="Normal 140 2 5 2 12" xfId="288" xr:uid="{39E1DBE8-0AB5-4831-BCF3-1F4B266FFF37}"/>
    <cellStyle name="Normal 140 2 5 2 12 2" xfId="297" xr:uid="{9311182C-B4AE-4AC1-82EA-40C863D80ADB}"/>
    <cellStyle name="Normal 140 2 5 2 12 2 2" xfId="318" xr:uid="{30B5753C-C6A3-445B-82AB-1FBB2CD7E32F}"/>
    <cellStyle name="Normal 140 2 5 2 12 2 3" xfId="324" xr:uid="{A332675B-AB7E-4A76-934A-FD5A168AE382}"/>
    <cellStyle name="Normal 140 2 5 2 12 3" xfId="308" xr:uid="{8C97B15A-F091-4C88-A07A-5A2B0453E180}"/>
    <cellStyle name="Normal 140 2 5 2 2" xfId="23" xr:uid="{00000000-0005-0000-0000-000018000000}"/>
    <cellStyle name="Normal 140 2 5 2 2 12" xfId="320" xr:uid="{96DF75E8-24C7-4C42-B0E7-CD86882AC690}"/>
    <cellStyle name="Normal 140 2 5 2 2 12 2" xfId="329" xr:uid="{28453B2E-7A0B-402C-9751-419BCD6652A9}"/>
    <cellStyle name="Normal 140 2 5 2 2 2" xfId="31" xr:uid="{00000000-0005-0000-0000-000019000000}"/>
    <cellStyle name="Normal 140 2 5 2 2 2 2" xfId="61" xr:uid="{7B59D77D-7A8C-4DC2-95C1-1C2B4F695BDD}"/>
    <cellStyle name="Normal 140 2 5 2 2 2 2 2" xfId="129" xr:uid="{FB986910-8007-42E2-B77B-27E74EA6FE39}"/>
    <cellStyle name="Normal 140 2 5 2 2 2 2 2 2" xfId="265" xr:uid="{2217778C-CDBF-4B18-9F8B-E71C499A3553}"/>
    <cellStyle name="Normal 140 2 5 2 2 2 2 3" xfId="197" xr:uid="{BA084453-03E6-4AC3-958E-DBC5E4BA6A1B}"/>
    <cellStyle name="Normal 140 2 5 2 2 2 3" xfId="98" xr:uid="{87288D81-E915-40D4-A054-32FC8441B3E5}"/>
    <cellStyle name="Normal 140 2 5 2 2 2 3 2" xfId="234" xr:uid="{988D37DE-7C5F-43DD-BD4A-CECBAF209B70}"/>
    <cellStyle name="Normal 140 2 5 2 2 2 4" xfId="166" xr:uid="{C69988DC-D991-4E09-989E-4B73E711B469}"/>
    <cellStyle name="Normal 140 2 5 2 2 3" xfId="53" xr:uid="{C4C5AA46-AAC6-442E-9260-29B0C251D9F0}"/>
    <cellStyle name="Normal 140 2 5 2 2 3 2" xfId="121" xr:uid="{BE17788E-DD07-4A50-BE70-0E3D4A4F8132}"/>
    <cellStyle name="Normal 140 2 5 2 2 3 2 2" xfId="257" xr:uid="{A615470F-E2A9-4EB7-A3D3-0DF09DD7A64C}"/>
    <cellStyle name="Normal 140 2 5 2 2 3 3" xfId="189" xr:uid="{5F375F30-42FE-4F57-B346-48E3040343CD}"/>
    <cellStyle name="Normal 140 2 5 2 2 4" xfId="63" xr:uid="{AB6BA3B9-0086-4628-ADC2-93F06DD85638}"/>
    <cellStyle name="Normal 140 2 5 2 2 4 2" xfId="131" xr:uid="{9BBB845D-8036-4181-AEE6-3533E36841F8}"/>
    <cellStyle name="Normal 140 2 5 2 2 4 2 2" xfId="267" xr:uid="{EA6A8909-B27D-4E01-A7A0-AD3B33BCF58B}"/>
    <cellStyle name="Normal 140 2 5 2 2 4 3" xfId="199" xr:uid="{DCC1790A-FBF6-41A9-91FE-030F7472AE29}"/>
    <cellStyle name="Normal 140 2 5 2 2 5" xfId="90" xr:uid="{3246B194-08CF-4FD4-9C9D-9118155999BD}"/>
    <cellStyle name="Normal 140 2 5 2 2 5 2" xfId="226" xr:uid="{E801E5F2-C42F-400B-97B0-63F6371B3370}"/>
    <cellStyle name="Normal 140 2 5 2 2 6" xfId="158" xr:uid="{DED52D75-3E57-4987-8138-FA53D8432B55}"/>
    <cellStyle name="Normal 140 2 5 2 2 7" xfId="276" xr:uid="{4615055C-4B7C-4E0D-9D9F-60F564C6CDC1}"/>
    <cellStyle name="Normal 140 2 5 2 2 8" xfId="299" xr:uid="{AB1E9D4B-DE08-4408-B655-65B22A983000}"/>
    <cellStyle name="Normal 140 2 5 2 2 9" xfId="310" xr:uid="{A667E88D-2F23-47ED-A27E-EF5CB9E6D969}"/>
    <cellStyle name="Normal 140 2 5 2 3" xfId="29" xr:uid="{00000000-0005-0000-0000-00001A000000}"/>
    <cellStyle name="Normal 140 2 5 2 3 2" xfId="59" xr:uid="{9D50FDA9-BCFC-43EB-9B1A-A244354E6A08}"/>
    <cellStyle name="Normal 140 2 5 2 3 2 2" xfId="127" xr:uid="{19FD73FB-8963-46E2-BF1A-5A8C9C182770}"/>
    <cellStyle name="Normal 140 2 5 2 3 2 2 2" xfId="263" xr:uid="{5B69BF9D-683D-45B3-BA3B-15DD3E8BB67C}"/>
    <cellStyle name="Normal 140 2 5 2 3 2 3" xfId="195" xr:uid="{49C08B66-9AEA-494C-841B-D55491F8DF53}"/>
    <cellStyle name="Normal 140 2 5 2 3 3" xfId="96" xr:uid="{82BDC887-EF93-4F9D-A996-BC7C12F36BF7}"/>
    <cellStyle name="Normal 140 2 5 2 3 3 2" xfId="232" xr:uid="{69834EC3-D043-4B68-9DC8-10A1C49F807B}"/>
    <cellStyle name="Normal 140 2 5 2 3 4" xfId="164" xr:uid="{799364F7-8A1A-4C32-AA07-98CFF450615F}"/>
    <cellStyle name="Normal 140 2 5 2 4" xfId="47" xr:uid="{ADFED27B-714C-4C5A-A184-01D10703B387}"/>
    <cellStyle name="Normal 140 2 5 2 4 2" xfId="115" xr:uid="{31B4D5E2-E161-4F92-A2EA-1C732E0DD38A}"/>
    <cellStyle name="Normal 140 2 5 2 4 2 2" xfId="251" xr:uid="{076ECDE7-09AC-4839-B00C-CE56E52351E3}"/>
    <cellStyle name="Normal 140 2 5 2 4 3" xfId="183" xr:uid="{5544FCEA-D205-4168-ACAF-F4A0F0C00B83}"/>
    <cellStyle name="Normal 140 2 5 2 5" xfId="84" xr:uid="{05BCAFA2-C081-4042-8A22-733234558DF5}"/>
    <cellStyle name="Normal 140 2 5 2 5 2" xfId="220" xr:uid="{7B498970-5D06-45AA-B93B-792583EFF994}"/>
    <cellStyle name="Normal 140 2 5 2 6" xfId="152" xr:uid="{EE645ECE-0833-4D73-925C-020934A600C1}"/>
    <cellStyle name="Normal 140 2 5 2 7" xfId="273" xr:uid="{E4BC1D0D-0760-497E-B783-B557D3A119DA}"/>
    <cellStyle name="Normal 140 2 5 2 8" xfId="296" xr:uid="{96382DAD-8D1C-429E-BBD4-4733E4E82929}"/>
    <cellStyle name="Normal 140 2 5 2 9" xfId="307" xr:uid="{B8CF944E-2375-4446-82D0-DC024F690BDC}"/>
    <cellStyle name="Normal 140 2 5 2 9 2" xfId="317" xr:uid="{5D13912B-5687-4604-8B76-58D0BE556677}"/>
    <cellStyle name="Normal 140 2 5 3" xfId="37" xr:uid="{5EDEEC91-56E8-458E-AAB2-AE7D68A36A5E}"/>
    <cellStyle name="Normal 140 2 5 3 2" xfId="105" xr:uid="{34CA141B-3635-4CF7-B292-B3FFC7517BF8}"/>
    <cellStyle name="Normal 140 2 5 3 2 2" xfId="241" xr:uid="{1BE290A5-675D-4A71-811B-01946FA743EF}"/>
    <cellStyle name="Normal 140 2 5 3 3" xfId="173" xr:uid="{C849F516-4D53-48B0-B0E6-DBEE34DEC904}"/>
    <cellStyle name="Normal 140 2 5 4" xfId="74" xr:uid="{0616BF41-1F65-4523-B691-0C5C98761E7B}"/>
    <cellStyle name="Normal 140 2 5 4 2" xfId="210" xr:uid="{CEC3A088-545A-48C2-A39B-1221B7F9BAFE}"/>
    <cellStyle name="Normal 140 2 5 5" xfId="142" xr:uid="{08C8CAF9-8726-44C9-83CA-B64C9DC65705}"/>
    <cellStyle name="Normal 140 2 5 6" xfId="294" xr:uid="{C07C7490-10C3-486C-8443-32C512DB9B6A}"/>
    <cellStyle name="Normal 140 2 5 7" xfId="303" xr:uid="{2A3A9C15-A160-434E-9392-5180BCCD42C9}"/>
    <cellStyle name="Normal 140 2 5 8" xfId="316" xr:uid="{82603F64-6684-4BB5-9C4E-309361AC8C44}"/>
    <cellStyle name="Normal 140 2 6" xfId="78" xr:uid="{F398C3B0-E186-4984-9D16-66E8C99B668F}"/>
    <cellStyle name="Normal 140 2 6 2" xfId="214" xr:uid="{2547A97A-DD37-4F94-A4CC-0C044E6C6F2D}"/>
    <cellStyle name="Normal 140 2 7" xfId="146" xr:uid="{628FCA7A-5963-4DF2-815A-5F6ED9C59E3D}"/>
    <cellStyle name="Normal 185 2" xfId="2" xr:uid="{00000000-0005-0000-0000-00001B000000}"/>
    <cellStyle name="Normal 185 2 2" xfId="32" xr:uid="{C636D87A-3F3B-4A69-8819-1A2F7B6073E4}"/>
    <cellStyle name="Normal 185 2 2 2" xfId="100" xr:uid="{93480974-8029-49F7-AD39-A8C5413CB84D}"/>
    <cellStyle name="Normal 185 2 2 2 2" xfId="236" xr:uid="{45939AE1-AB0C-4DD1-857A-D4D851B36131}"/>
    <cellStyle name="Normal 185 2 2 3" xfId="168" xr:uid="{55266F8B-26C1-4E05-9730-CAF894668D55}"/>
    <cellStyle name="Normal 185 2 3" xfId="5" xr:uid="{00000000-0005-0000-0000-00001C000000}"/>
    <cellStyle name="Normal 185 2 3 2" xfId="35" xr:uid="{A92B8401-0259-42BE-9E84-50FE644B708C}"/>
    <cellStyle name="Normal 185 2 3 2 2" xfId="103" xr:uid="{19BE3489-EC40-42DF-BDCB-E704B4974EFF}"/>
    <cellStyle name="Normal 185 2 3 2 2 2" xfId="239" xr:uid="{D99BA97D-66B9-4532-80AC-F7C5635AAA57}"/>
    <cellStyle name="Normal 185 2 3 2 3" xfId="171" xr:uid="{A5F84119-680F-443F-909F-04B02668E058}"/>
    <cellStyle name="Normal 185 2 3 3" xfId="72" xr:uid="{B7EDDFD1-7B94-4273-A007-EEF9F03F304D}"/>
    <cellStyle name="Normal 185 2 3 3 2" xfId="208" xr:uid="{D462C6D0-A3A2-4963-BAC9-FC3BD3299DB6}"/>
    <cellStyle name="Normal 185 2 3 4" xfId="140" xr:uid="{6A7C3C3D-A16F-4689-84E6-A02FFAD65B83}"/>
    <cellStyle name="Normal 185 2 4" xfId="69" xr:uid="{CD49BE9F-F619-4B28-9147-D232FFED4D64}"/>
    <cellStyle name="Normal 185 2 4 2" xfId="205" xr:uid="{F54A0E8F-D205-4B94-BC06-37AC16750B7F}"/>
    <cellStyle name="Normal 185 2 5" xfId="9" xr:uid="{00000000-0005-0000-0000-00001D000000}"/>
    <cellStyle name="Normal 185 2 5 2" xfId="13" xr:uid="{00000000-0005-0000-0000-00001E000000}"/>
    <cellStyle name="Normal 185 2 5 2 2" xfId="19" xr:uid="{00000000-0005-0000-0000-00001F000000}"/>
    <cellStyle name="Normal 185 2 5 2 2 2" xfId="25" xr:uid="{00000000-0005-0000-0000-000020000000}"/>
    <cellStyle name="Normal 185 2 5 2 2 2 10" xfId="285" xr:uid="{847C66A8-8C64-4420-9CE3-9B2CC55DCB91}"/>
    <cellStyle name="Normal 185 2 5 2 2 2 2" xfId="55" xr:uid="{70A3F8F9-9183-4AAF-A678-B086A483E635}"/>
    <cellStyle name="Normal 185 2 5 2 2 2 2 2" xfId="123" xr:uid="{B6E417F4-22C6-4990-BC20-8CD8393D9B1D}"/>
    <cellStyle name="Normal 185 2 5 2 2 2 2 2 2" xfId="259" xr:uid="{C99FDD35-369D-4A70-9248-008C21E37393}"/>
    <cellStyle name="Normal 185 2 5 2 2 2 2 3" xfId="191" xr:uid="{03900BEC-27D9-401A-B75E-0550584C72D8}"/>
    <cellStyle name="Normal 185 2 5 2 2 2 3" xfId="66" xr:uid="{2058EE52-078D-4C28-81EB-2BB3AF3C74C8}"/>
    <cellStyle name="Normal 185 2 5 2 2 2 3 2" xfId="134" xr:uid="{10D07D5C-D023-4AB9-9192-DE40E73066FB}"/>
    <cellStyle name="Normal 185 2 5 2 2 2 3 2 2" xfId="270" xr:uid="{646F0ECA-99C7-4042-A107-46A74DF35FAA}"/>
    <cellStyle name="Normal 185 2 5 2 2 2 3 3" xfId="202" xr:uid="{DDA4579B-BC45-4A88-ABA0-36DCDEBE3921}"/>
    <cellStyle name="Normal 185 2 5 2 2 2 4" xfId="92" xr:uid="{F8190850-80EB-47AF-9F70-95EEE97B92E0}"/>
    <cellStyle name="Normal 185 2 5 2 2 2 4 2" xfId="228" xr:uid="{6A7F17E8-A6BB-4A7B-A456-DD3822E2D6FB}"/>
    <cellStyle name="Normal 185 2 5 2 2 2 5" xfId="160" xr:uid="{EA9D3A3F-8E33-4A13-B9CD-7AF659D6AA6D}"/>
    <cellStyle name="Normal 185 2 5 2 2 2 6" xfId="275" xr:uid="{81B32AC9-BD1C-4460-8CBF-F73D11C1D8A5}"/>
    <cellStyle name="Normal 185 2 5 2 2 2 7" xfId="290" xr:uid="{3D0668AC-3AA7-45C0-BB96-76B2E62DE70B}"/>
    <cellStyle name="Normal 185 2 5 2 2 2 8" xfId="300" xr:uid="{4A37E38C-B9F7-4A2C-9388-3AFAB02AC3EC}"/>
    <cellStyle name="Normal 185 2 5 2 2 2 8 2" xfId="311" xr:uid="{84F60666-462E-4297-929E-244ED2170030}"/>
    <cellStyle name="Normal 185 2 5 2 2 2 8 3" xfId="328" xr:uid="{96524AA7-46CE-4FE5-BD5C-7C4B120FAF2E}"/>
    <cellStyle name="Normal 185 2 5 2 2 3" xfId="49" xr:uid="{9ED397D4-B7CA-42F2-BEC6-2C7926929BA7}"/>
    <cellStyle name="Normal 185 2 5 2 2 3 2" xfId="117" xr:uid="{57A8717E-B634-46DD-BBEC-CF92D84ABF9D}"/>
    <cellStyle name="Normal 185 2 5 2 2 3 2 2" xfId="253" xr:uid="{B190B707-045A-47DC-BC09-913D41769CBA}"/>
    <cellStyle name="Normal 185 2 5 2 2 3 3" xfId="185" xr:uid="{A5048405-DC17-4CF7-8A31-05ABE0CD9B4F}"/>
    <cellStyle name="Normal 185 2 5 2 2 4" xfId="86" xr:uid="{ECEC2BE8-79D6-4F2A-9958-79475F4D6CFB}"/>
    <cellStyle name="Normal 185 2 5 2 2 4 2" xfId="222" xr:uid="{A72C8AEE-0414-4522-9F2C-4D703A998F65}"/>
    <cellStyle name="Normal 185 2 5 2 2 5" xfId="154" xr:uid="{B525F7EF-C8B6-46A4-9CA0-7339C3759DD8}"/>
    <cellStyle name="Normal 185 2 5 2 3" xfId="43" xr:uid="{8315BD1E-F77D-40B1-9556-CEE9EAB1C7A3}"/>
    <cellStyle name="Normal 185 2 5 2 3 2" xfId="111" xr:uid="{BED72512-A496-40F2-A0A2-7E5C5735F5BB}"/>
    <cellStyle name="Normal 185 2 5 2 3 2 2" xfId="247" xr:uid="{E6B11A08-E9CC-48EE-B239-530F072134F5}"/>
    <cellStyle name="Normal 185 2 5 2 3 3" xfId="179" xr:uid="{BA2A86CE-89A9-4D61-805B-FC9D4EA150D8}"/>
    <cellStyle name="Normal 185 2 5 2 4" xfId="80" xr:uid="{75427079-03FB-4D32-A6A6-B641270976BE}"/>
    <cellStyle name="Normal 185 2 5 2 4 2" xfId="216" xr:uid="{C9986FD6-5D29-47D3-A2F5-3FA236D8C42F}"/>
    <cellStyle name="Normal 185 2 5 2 5" xfId="148" xr:uid="{B150DBCA-1EBE-486B-91D3-F220E5500E3E}"/>
    <cellStyle name="Normal 185 2 5 3" xfId="39" xr:uid="{20B4B1F8-3953-40C7-8AB7-A1B9FF9409F5}"/>
    <cellStyle name="Normal 185 2 5 3 2" xfId="107" xr:uid="{04C69DD9-D735-4788-99BB-741FD775AE61}"/>
    <cellStyle name="Normal 185 2 5 3 2 2" xfId="243" xr:uid="{93AFBE01-8BE5-40F2-99E8-B3F5147051D5}"/>
    <cellStyle name="Normal 185 2 5 3 3" xfId="175" xr:uid="{2BD74C6A-EC16-4B34-B74E-120B97B54255}"/>
    <cellStyle name="Normal 185 2 5 4" xfId="76" xr:uid="{EFC6D426-AD45-4B4E-8205-3697CE2DC8AE}"/>
    <cellStyle name="Normal 185 2 5 4 2" xfId="212" xr:uid="{DFE93FDF-CCF2-4CF9-B0A9-A9B30FCE3568}"/>
    <cellStyle name="Normal 185 2 5 5" xfId="144" xr:uid="{7E73B97D-DFFF-4D09-B05D-72D920250104}"/>
    <cellStyle name="Normal 185 2 6" xfId="137" xr:uid="{638E7215-DAFC-46AE-A27F-2265CE7115E7}"/>
    <cellStyle name="Normal 2" xfId="321" xr:uid="{8BE7E57C-0FD0-4E02-BC2D-F5C12790E5A4}"/>
    <cellStyle name="Normal 202" xfId="68" xr:uid="{F5026C57-C745-475A-926F-BD317C06D618}"/>
    <cellStyle name="Normal 202 2" xfId="136" xr:uid="{CB8ABA83-11AF-46E3-B5A0-775E8AC61F88}"/>
    <cellStyle name="Normal 202 2 2" xfId="272" xr:uid="{5A179B46-2A81-4BE1-81A3-969F39D704E7}"/>
    <cellStyle name="Normal 202 3" xfId="204" xr:uid="{47DDFA27-CEBF-4B10-ACDD-FEA0131623BF}"/>
    <cellStyle name="Normal 3" xfId="332" xr:uid="{B1FD4886-3392-419A-8B02-8C8536663CFA}"/>
    <cellStyle name="Porcentaje" xfId="280" builtinId="5"/>
    <cellStyle name="Porcentaje 2" xfId="322" xr:uid="{5E29A06F-5B4C-4233-B444-1EFCFA470239}"/>
    <cellStyle name="Porcentaje 3" xfId="333" xr:uid="{D0CD3EE4-F9C6-4730-A78E-0FCFB7AFB300}"/>
  </cellStyles>
  <dxfs count="29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4" formatCode="#,##0.0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rgb="FF000000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6FF66"/>
      <color rgb="FFCC9900"/>
      <color rgb="FF7BB346"/>
      <color rgb="FF7FDB87"/>
      <color rgb="FF54C9FF"/>
      <color rgb="FFFFDAA3"/>
      <color rgb="FF806000"/>
      <color rgb="FFFFFFC9"/>
      <color rgb="FF058136"/>
      <color rgb="FFDFB3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7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Indicadores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2.415922047697101E-2"/>
          <c:y val="0.16224311818510773"/>
          <c:w val="0.94527844227890712"/>
          <c:h val="0.66954939136452862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'HORA HORA L1'!$E$28</c:f>
              <c:strCache>
                <c:ptCount val="1"/>
                <c:pt idx="0">
                  <c:v>Vol.Real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'HORA HORA L1'!$F$23:$AC$23</c:f>
              <c:numCache>
                <c:formatCode>h:mm</c:formatCode>
                <c:ptCount val="24"/>
                <c:pt idx="0">
                  <c:v>0.29166666666666669</c:v>
                </c:pt>
                <c:pt idx="1">
                  <c:v>0.33333333333333298</c:v>
                </c:pt>
                <c:pt idx="2">
                  <c:v>0.375</c:v>
                </c:pt>
                <c:pt idx="3">
                  <c:v>0.41666666666666702</c:v>
                </c:pt>
                <c:pt idx="4">
                  <c:v>0.45833333333333298</c:v>
                </c:pt>
                <c:pt idx="5">
                  <c:v>0.5</c:v>
                </c:pt>
                <c:pt idx="6">
                  <c:v>0.54166666666666696</c:v>
                </c:pt>
                <c:pt idx="7">
                  <c:v>0.58333333333333304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  <c:pt idx="11">
                  <c:v>0.75</c:v>
                </c:pt>
                <c:pt idx="12">
                  <c:v>0.79166666666666663</c:v>
                </c:pt>
                <c:pt idx="13">
                  <c:v>0.83333333333333337</c:v>
                </c:pt>
                <c:pt idx="14">
                  <c:v>0.875</c:v>
                </c:pt>
                <c:pt idx="15">
                  <c:v>0.91666666666666663</c:v>
                </c:pt>
                <c:pt idx="16">
                  <c:v>0.95833333333333337</c:v>
                </c:pt>
                <c:pt idx="17">
                  <c:v>0</c:v>
                </c:pt>
                <c:pt idx="18">
                  <c:v>4.1666666666666664E-2</c:v>
                </c:pt>
                <c:pt idx="19">
                  <c:v>8.3333333333333329E-2</c:v>
                </c:pt>
                <c:pt idx="20">
                  <c:v>0.125</c:v>
                </c:pt>
                <c:pt idx="21">
                  <c:v>0.16666666666666666</c:v>
                </c:pt>
                <c:pt idx="22">
                  <c:v>0.20833333333333334</c:v>
                </c:pt>
                <c:pt idx="23">
                  <c:v>0.25</c:v>
                </c:pt>
              </c:numCache>
            </c:numRef>
          </c:cat>
          <c:val>
            <c:numRef>
              <c:f>'HORA HORA L1'!$F$28:$AC$28</c:f>
              <c:numCache>
                <c:formatCode>_-* #,##0.000_-;\-* #,##0.000_-;_-* "-"???_-;_-@_-</c:formatCode>
                <c:ptCount val="24"/>
                <c:pt idx="0">
                  <c:v>157.17000000000002</c:v>
                </c:pt>
                <c:pt idx="1">
                  <c:v>145.07999999999998</c:v>
                </c:pt>
                <c:pt idx="2">
                  <c:v>76.570000000000007</c:v>
                </c:pt>
                <c:pt idx="3">
                  <c:v>145.07999999999998</c:v>
                </c:pt>
                <c:pt idx="4">
                  <c:v>147.095</c:v>
                </c:pt>
                <c:pt idx="5">
                  <c:v>135.005</c:v>
                </c:pt>
                <c:pt idx="6">
                  <c:v>120.89999999999999</c:v>
                </c:pt>
                <c:pt idx="7">
                  <c:v>0</c:v>
                </c:pt>
                <c:pt idx="8">
                  <c:v>0</c:v>
                </c:pt>
                <c:pt idx="9">
                  <c:v>70.524999999999991</c:v>
                </c:pt>
                <c:pt idx="10">
                  <c:v>157.17000000000002</c:v>
                </c:pt>
                <c:pt idx="11">
                  <c:v>151.125</c:v>
                </c:pt>
                <c:pt idx="12">
                  <c:v>124.92999999999999</c:v>
                </c:pt>
                <c:pt idx="13">
                  <c:v>80.600000000000009</c:v>
                </c:pt>
                <c:pt idx="14">
                  <c:v>0</c:v>
                </c:pt>
                <c:pt idx="15">
                  <c:v>0</c:v>
                </c:pt>
                <c:pt idx="16">
                  <c:v>145.07999999999998</c:v>
                </c:pt>
                <c:pt idx="17">
                  <c:v>137.02000000000001</c:v>
                </c:pt>
                <c:pt idx="18">
                  <c:v>108.81</c:v>
                </c:pt>
                <c:pt idx="19">
                  <c:v>169.26</c:v>
                </c:pt>
                <c:pt idx="20">
                  <c:v>167.245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2-4DB7-B926-D2B16412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36809472"/>
        <c:axId val="1236808928"/>
      </c:barChart>
      <c:lineChart>
        <c:grouping val="standard"/>
        <c:varyColors val="0"/>
        <c:ser>
          <c:idx val="0"/>
          <c:order val="0"/>
          <c:tx>
            <c:strRef>
              <c:f>'HORA HORA L1'!$E$25</c:f>
              <c:strCache>
                <c:ptCount val="1"/>
                <c:pt idx="0">
                  <c:v>GLY Hora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'HORA HORA L1'!$F$23:$AC$23</c:f>
              <c:numCache>
                <c:formatCode>h:mm</c:formatCode>
                <c:ptCount val="24"/>
                <c:pt idx="0">
                  <c:v>0.29166666666666669</c:v>
                </c:pt>
                <c:pt idx="1">
                  <c:v>0.33333333333333298</c:v>
                </c:pt>
                <c:pt idx="2">
                  <c:v>0.375</c:v>
                </c:pt>
                <c:pt idx="3">
                  <c:v>0.41666666666666702</c:v>
                </c:pt>
                <c:pt idx="4">
                  <c:v>0.45833333333333298</c:v>
                </c:pt>
                <c:pt idx="5">
                  <c:v>0.5</c:v>
                </c:pt>
                <c:pt idx="6">
                  <c:v>0.54166666666666696</c:v>
                </c:pt>
                <c:pt idx="7">
                  <c:v>0.58333333333333304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  <c:pt idx="11">
                  <c:v>0.75</c:v>
                </c:pt>
                <c:pt idx="12">
                  <c:v>0.79166666666666663</c:v>
                </c:pt>
                <c:pt idx="13">
                  <c:v>0.83333333333333337</c:v>
                </c:pt>
                <c:pt idx="14">
                  <c:v>0.875</c:v>
                </c:pt>
                <c:pt idx="15">
                  <c:v>0.91666666666666663</c:v>
                </c:pt>
                <c:pt idx="16">
                  <c:v>0.95833333333333337</c:v>
                </c:pt>
                <c:pt idx="17">
                  <c:v>0</c:v>
                </c:pt>
                <c:pt idx="18">
                  <c:v>4.1666666666666664E-2</c:v>
                </c:pt>
                <c:pt idx="19">
                  <c:v>8.3333333333333329E-2</c:v>
                </c:pt>
                <c:pt idx="20">
                  <c:v>0.125</c:v>
                </c:pt>
                <c:pt idx="21">
                  <c:v>0.16666666666666666</c:v>
                </c:pt>
                <c:pt idx="22">
                  <c:v>0.20833333333333334</c:v>
                </c:pt>
                <c:pt idx="23">
                  <c:v>0.25</c:v>
                </c:pt>
              </c:numCache>
            </c:numRef>
          </c:cat>
          <c:val>
            <c:numRef>
              <c:f>'HORA HORA L1'!$F$25:$AC$25</c:f>
              <c:numCache>
                <c:formatCode>0%</c:formatCode>
                <c:ptCount val="24"/>
                <c:pt idx="0">
                  <c:v>0.78</c:v>
                </c:pt>
                <c:pt idx="1">
                  <c:v>0.72</c:v>
                </c:pt>
                <c:pt idx="2">
                  <c:v>0.38</c:v>
                </c:pt>
                <c:pt idx="3">
                  <c:v>0.72</c:v>
                </c:pt>
                <c:pt idx="4">
                  <c:v>0.73</c:v>
                </c:pt>
                <c:pt idx="5">
                  <c:v>0.67</c:v>
                </c:pt>
                <c:pt idx="6">
                  <c:v>0.6</c:v>
                </c:pt>
                <c:pt idx="9">
                  <c:v>0.35</c:v>
                </c:pt>
                <c:pt idx="10">
                  <c:v>0.78</c:v>
                </c:pt>
                <c:pt idx="11">
                  <c:v>0.75</c:v>
                </c:pt>
                <c:pt idx="12">
                  <c:v>0.62</c:v>
                </c:pt>
                <c:pt idx="13">
                  <c:v>0.4</c:v>
                </c:pt>
                <c:pt idx="16">
                  <c:v>0.72</c:v>
                </c:pt>
                <c:pt idx="17">
                  <c:v>0.68</c:v>
                </c:pt>
                <c:pt idx="18">
                  <c:v>0.54</c:v>
                </c:pt>
                <c:pt idx="19">
                  <c:v>0.84</c:v>
                </c:pt>
                <c:pt idx="2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2-4DB7-B926-D2B16412F232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'HORA HORA L1'!$F$23:$AC$23</c:f>
              <c:numCache>
                <c:formatCode>h:mm</c:formatCode>
                <c:ptCount val="24"/>
                <c:pt idx="0">
                  <c:v>0.29166666666666669</c:v>
                </c:pt>
                <c:pt idx="1">
                  <c:v>0.33333333333333298</c:v>
                </c:pt>
                <c:pt idx="2">
                  <c:v>0.375</c:v>
                </c:pt>
                <c:pt idx="3">
                  <c:v>0.41666666666666702</c:v>
                </c:pt>
                <c:pt idx="4">
                  <c:v>0.45833333333333298</c:v>
                </c:pt>
                <c:pt idx="5">
                  <c:v>0.5</c:v>
                </c:pt>
                <c:pt idx="6">
                  <c:v>0.54166666666666696</c:v>
                </c:pt>
                <c:pt idx="7">
                  <c:v>0.58333333333333304</c:v>
                </c:pt>
                <c:pt idx="8">
                  <c:v>0.625</c:v>
                </c:pt>
                <c:pt idx="9">
                  <c:v>0.66666666666666663</c:v>
                </c:pt>
                <c:pt idx="10">
                  <c:v>0.70833333333333337</c:v>
                </c:pt>
                <c:pt idx="11">
                  <c:v>0.75</c:v>
                </c:pt>
                <c:pt idx="12">
                  <c:v>0.79166666666666663</c:v>
                </c:pt>
                <c:pt idx="13">
                  <c:v>0.83333333333333337</c:v>
                </c:pt>
                <c:pt idx="14">
                  <c:v>0.875</c:v>
                </c:pt>
                <c:pt idx="15">
                  <c:v>0.91666666666666663</c:v>
                </c:pt>
                <c:pt idx="16">
                  <c:v>0.95833333333333337</c:v>
                </c:pt>
                <c:pt idx="17">
                  <c:v>0</c:v>
                </c:pt>
                <c:pt idx="18">
                  <c:v>4.1666666666666664E-2</c:v>
                </c:pt>
                <c:pt idx="19">
                  <c:v>8.3333333333333329E-2</c:v>
                </c:pt>
                <c:pt idx="20">
                  <c:v>0.125</c:v>
                </c:pt>
                <c:pt idx="21">
                  <c:v>0.16666666666666666</c:v>
                </c:pt>
                <c:pt idx="22">
                  <c:v>0.20833333333333334</c:v>
                </c:pt>
                <c:pt idx="23">
                  <c:v>0.25</c:v>
                </c:pt>
              </c:numCache>
            </c:numRef>
          </c:cat>
          <c:val>
            <c:numRef>
              <c:f>'HORA HORA L1'!$D$13</c:f>
              <c:numCache>
                <c:formatCode>_(* #,##0.00_);_(* \(#,##0.00\);_(* "-"??_);_(@_)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2-4DB7-B926-D2B16412F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805664"/>
        <c:axId val="1236801312"/>
      </c:lineChart>
      <c:catAx>
        <c:axId val="12368056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6801312"/>
        <c:crosses val="autoZero"/>
        <c:auto val="1"/>
        <c:lblAlgn val="ctr"/>
        <c:lblOffset val="100"/>
        <c:noMultiLvlLbl val="0"/>
      </c:catAx>
      <c:valAx>
        <c:axId val="1236801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92D05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6805664"/>
        <c:crosses val="autoZero"/>
        <c:crossBetween val="between"/>
      </c:valAx>
      <c:valAx>
        <c:axId val="1236808928"/>
        <c:scaling>
          <c:orientation val="minMax"/>
          <c:max val="720"/>
          <c:min val="0"/>
        </c:scaling>
        <c:delete val="0"/>
        <c:axPos val="r"/>
        <c:numFmt formatCode="_-* #,##0.000_-;\-* #,##0.000_-;_-* &quot;-&quot;?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6809472"/>
        <c:crosses val="max"/>
        <c:crossBetween val="between"/>
      </c:valAx>
      <c:catAx>
        <c:axId val="1236809472"/>
        <c:scaling>
          <c:orientation val="minMax"/>
        </c:scaling>
        <c:delete val="1"/>
        <c:axPos val="b"/>
        <c:numFmt formatCode="h:mm" sourceLinked="1"/>
        <c:majorTickMark val="none"/>
        <c:minorTickMark val="none"/>
        <c:tickLblPos val="nextTo"/>
        <c:crossAx val="12368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rgbClr val="00B050"/>
        </a:gs>
        <a:gs pos="19000">
          <a:srgbClr val="00B050"/>
        </a:gs>
        <a:gs pos="46000">
          <a:srgbClr val="FF0000"/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Indicadores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2.415922047697101E-2"/>
          <c:y val="0.16224311818510773"/>
          <c:w val="0.94527844227890712"/>
          <c:h val="0.6695493913645286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'HORA HORA L3'!$E$28</c:f>
              <c:strCache>
                <c:ptCount val="1"/>
                <c:pt idx="0">
                  <c:v>Vol.Real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'HORA HORA L3'!$J$23:$AC$23</c:f>
              <c:numCache>
                <c:formatCode>h:mm</c:formatCode>
                <c:ptCount val="16"/>
                <c:pt idx="0">
                  <c:v>0.625</c:v>
                </c:pt>
                <c:pt idx="1">
                  <c:v>0.66666666666666696</c:v>
                </c:pt>
                <c:pt idx="2">
                  <c:v>0.70833333333333304</c:v>
                </c:pt>
                <c:pt idx="3">
                  <c:v>0.75</c:v>
                </c:pt>
                <c:pt idx="4">
                  <c:v>0.79166666666666696</c:v>
                </c:pt>
                <c:pt idx="5">
                  <c:v>0.83333333333333304</c:v>
                </c:pt>
                <c:pt idx="6">
                  <c:v>0.875</c:v>
                </c:pt>
                <c:pt idx="7">
                  <c:v>0.91666666666666696</c:v>
                </c:pt>
                <c:pt idx="8">
                  <c:v>0.95833333333333304</c:v>
                </c:pt>
                <c:pt idx="9">
                  <c:v>1</c:v>
                </c:pt>
                <c:pt idx="10">
                  <c:v>1.0416666666666701</c:v>
                </c:pt>
                <c:pt idx="11">
                  <c:v>1.0833333333333299</c:v>
                </c:pt>
                <c:pt idx="12">
                  <c:v>1.125</c:v>
                </c:pt>
                <c:pt idx="13">
                  <c:v>1.1666666666666701</c:v>
                </c:pt>
                <c:pt idx="14">
                  <c:v>1.2083333333333299</c:v>
                </c:pt>
                <c:pt idx="15">
                  <c:v>1.25</c:v>
                </c:pt>
              </c:numCache>
            </c:numRef>
          </c:cat>
          <c:val>
            <c:numRef>
              <c:f>'HORA HORA L3'!$F$28:$AC$28</c:f>
              <c:numCache>
                <c:formatCode>_-* #,##0.000_-;\-* #,##0.000_-;_-* "-"???_-;_-@_-</c:formatCode>
                <c:ptCount val="16"/>
                <c:pt idx="0">
                  <c:v>336.42</c:v>
                </c:pt>
                <c:pt idx="1">
                  <c:v>359.09999999999997</c:v>
                </c:pt>
                <c:pt idx="2">
                  <c:v>272.15999999999997</c:v>
                </c:pt>
                <c:pt idx="3">
                  <c:v>347.76</c:v>
                </c:pt>
                <c:pt idx="4">
                  <c:v>336.42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A-4AAF-AD73-15E55C0C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236809472"/>
        <c:axId val="1236808928"/>
      </c:barChart>
      <c:lineChart>
        <c:grouping val="standard"/>
        <c:varyColors val="0"/>
        <c:ser>
          <c:idx val="0"/>
          <c:order val="0"/>
          <c:tx>
            <c:strRef>
              <c:f>'HORA HORA L3'!$E$25</c:f>
              <c:strCache>
                <c:ptCount val="1"/>
                <c:pt idx="0">
                  <c:v>GLY Hora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'HORA HORA L3'!$F$23:$AC$23</c:f>
              <c:numCache>
                <c:formatCode>h:mm</c:formatCode>
                <c:ptCount val="16"/>
                <c:pt idx="0">
                  <c:v>0.625</c:v>
                </c:pt>
                <c:pt idx="1">
                  <c:v>0.66666666666666696</c:v>
                </c:pt>
                <c:pt idx="2">
                  <c:v>0.70833333333333304</c:v>
                </c:pt>
                <c:pt idx="3">
                  <c:v>0.75</c:v>
                </c:pt>
                <c:pt idx="4">
                  <c:v>0.79166666666666696</c:v>
                </c:pt>
                <c:pt idx="5">
                  <c:v>0.83333333333333304</c:v>
                </c:pt>
                <c:pt idx="6">
                  <c:v>0.875</c:v>
                </c:pt>
                <c:pt idx="7">
                  <c:v>0.91666666666666696</c:v>
                </c:pt>
                <c:pt idx="8">
                  <c:v>0.95833333333333304</c:v>
                </c:pt>
                <c:pt idx="9">
                  <c:v>1</c:v>
                </c:pt>
                <c:pt idx="10">
                  <c:v>1.0416666666666701</c:v>
                </c:pt>
                <c:pt idx="11">
                  <c:v>1.0833333333333299</c:v>
                </c:pt>
                <c:pt idx="12">
                  <c:v>1.125</c:v>
                </c:pt>
                <c:pt idx="13">
                  <c:v>1.1666666666666701</c:v>
                </c:pt>
                <c:pt idx="14">
                  <c:v>1.2083333333333299</c:v>
                </c:pt>
                <c:pt idx="15">
                  <c:v>1.25</c:v>
                </c:pt>
              </c:numCache>
            </c:numRef>
          </c:cat>
          <c:val>
            <c:numRef>
              <c:f>'HORA HORA L3'!$F$25:$AC$25</c:f>
              <c:numCache>
                <c:formatCode>0%</c:formatCode>
                <c:ptCount val="16"/>
                <c:pt idx="0">
                  <c:v>0.89</c:v>
                </c:pt>
                <c:pt idx="1">
                  <c:v>0.95</c:v>
                </c:pt>
                <c:pt idx="2">
                  <c:v>0.72</c:v>
                </c:pt>
                <c:pt idx="3">
                  <c:v>0.92</c:v>
                </c:pt>
                <c:pt idx="4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A-4AAF-AD73-15E55C0C9D1A}"/>
            </c:ext>
          </c:extLst>
        </c:ser>
        <c:ser>
          <c:idx val="1"/>
          <c:order val="1"/>
          <c:tx>
            <c:strRef>
              <c:f>'HORA HORA L3'!$E$26</c:f>
              <c:strCache>
                <c:ptCount val="1"/>
                <c:pt idx="0">
                  <c:v>LEF Hora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'HORA HORA L3'!$F$23:$AC$23</c:f>
              <c:numCache>
                <c:formatCode>h:mm</c:formatCode>
                <c:ptCount val="16"/>
                <c:pt idx="0">
                  <c:v>0.625</c:v>
                </c:pt>
                <c:pt idx="1">
                  <c:v>0.66666666666666696</c:v>
                </c:pt>
                <c:pt idx="2">
                  <c:v>0.70833333333333304</c:v>
                </c:pt>
                <c:pt idx="3">
                  <c:v>0.75</c:v>
                </c:pt>
                <c:pt idx="4">
                  <c:v>0.79166666666666696</c:v>
                </c:pt>
                <c:pt idx="5">
                  <c:v>0.83333333333333304</c:v>
                </c:pt>
                <c:pt idx="6">
                  <c:v>0.875</c:v>
                </c:pt>
                <c:pt idx="7">
                  <c:v>0.91666666666666696</c:v>
                </c:pt>
                <c:pt idx="8">
                  <c:v>0.95833333333333304</c:v>
                </c:pt>
                <c:pt idx="9">
                  <c:v>1</c:v>
                </c:pt>
                <c:pt idx="10">
                  <c:v>1.0416666666666701</c:v>
                </c:pt>
                <c:pt idx="11">
                  <c:v>1.0833333333333299</c:v>
                </c:pt>
                <c:pt idx="12">
                  <c:v>1.125</c:v>
                </c:pt>
                <c:pt idx="13">
                  <c:v>1.1666666666666701</c:v>
                </c:pt>
                <c:pt idx="14">
                  <c:v>1.2083333333333299</c:v>
                </c:pt>
                <c:pt idx="15">
                  <c:v>1.25</c:v>
                </c:pt>
              </c:numCache>
            </c:numRef>
          </c:cat>
          <c:val>
            <c:numRef>
              <c:f>'HORA HORA L3'!$F$26:$AC$26</c:f>
              <c:numCache>
                <c:formatCode>0%</c:formatCode>
                <c:ptCount val="16"/>
                <c:pt idx="4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9A-4AAF-AD73-15E55C0C9D1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'HORA HORA L3'!$F$23:$AC$23</c:f>
              <c:numCache>
                <c:formatCode>h:mm</c:formatCode>
                <c:ptCount val="16"/>
                <c:pt idx="0">
                  <c:v>0.625</c:v>
                </c:pt>
                <c:pt idx="1">
                  <c:v>0.66666666666666696</c:v>
                </c:pt>
                <c:pt idx="2">
                  <c:v>0.70833333333333304</c:v>
                </c:pt>
                <c:pt idx="3">
                  <c:v>0.75</c:v>
                </c:pt>
                <c:pt idx="4">
                  <c:v>0.79166666666666696</c:v>
                </c:pt>
                <c:pt idx="5">
                  <c:v>0.83333333333333304</c:v>
                </c:pt>
                <c:pt idx="6">
                  <c:v>0.875</c:v>
                </c:pt>
                <c:pt idx="7">
                  <c:v>0.91666666666666696</c:v>
                </c:pt>
                <c:pt idx="8">
                  <c:v>0.95833333333333304</c:v>
                </c:pt>
                <c:pt idx="9">
                  <c:v>1</c:v>
                </c:pt>
                <c:pt idx="10">
                  <c:v>1.0416666666666701</c:v>
                </c:pt>
                <c:pt idx="11">
                  <c:v>1.0833333333333299</c:v>
                </c:pt>
                <c:pt idx="12">
                  <c:v>1.125</c:v>
                </c:pt>
                <c:pt idx="13">
                  <c:v>1.1666666666666701</c:v>
                </c:pt>
                <c:pt idx="14">
                  <c:v>1.2083333333333299</c:v>
                </c:pt>
                <c:pt idx="15">
                  <c:v>1.25</c:v>
                </c:pt>
              </c:numCache>
            </c:numRef>
          </c:cat>
          <c:val>
            <c:numRef>
              <c:f>'HORA HORA L3'!$D$13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9A-4AAF-AD73-15E55C0C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6805664"/>
        <c:axId val="1236801312"/>
      </c:lineChart>
      <c:catAx>
        <c:axId val="12368056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6801312"/>
        <c:crosses val="autoZero"/>
        <c:auto val="1"/>
        <c:lblAlgn val="ctr"/>
        <c:lblOffset val="100"/>
        <c:noMultiLvlLbl val="0"/>
      </c:catAx>
      <c:valAx>
        <c:axId val="1236801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rgbClr val="92D05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6805664"/>
        <c:crosses val="autoZero"/>
        <c:crossBetween val="between"/>
      </c:valAx>
      <c:valAx>
        <c:axId val="1236808928"/>
        <c:scaling>
          <c:orientation val="minMax"/>
          <c:max val="720"/>
          <c:min val="0"/>
        </c:scaling>
        <c:delete val="0"/>
        <c:axPos val="r"/>
        <c:numFmt formatCode="_-* #,##0.000_-;\-* #,##0.000_-;_-* &quot;-&quot;?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6809472"/>
        <c:crosses val="max"/>
        <c:crossBetween val="between"/>
      </c:valAx>
      <c:catAx>
        <c:axId val="1236809472"/>
        <c:scaling>
          <c:orientation val="minMax"/>
        </c:scaling>
        <c:delete val="1"/>
        <c:axPos val="b"/>
        <c:numFmt formatCode="h:mm" sourceLinked="1"/>
        <c:majorTickMark val="none"/>
        <c:minorTickMark val="none"/>
        <c:tickLblPos val="nextTo"/>
        <c:crossAx val="12368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gradFill flip="none" rotWithShape="1">
      <a:gsLst>
        <a:gs pos="0">
          <a:srgbClr val="00B050"/>
        </a:gs>
        <a:gs pos="19000">
          <a:srgbClr val="00B050"/>
        </a:gs>
        <a:gs pos="46000">
          <a:srgbClr val="FF0000"/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670346</xdr:colOff>
      <xdr:row>41</xdr:row>
      <xdr:rowOff>2846</xdr:rowOff>
    </xdr:from>
    <xdr:to>
      <xdr:col>18</xdr:col>
      <xdr:colOff>115094</xdr:colOff>
      <xdr:row>49</xdr:row>
      <xdr:rowOff>59532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874189A4-5E7C-42B8-8485-79B9D3836F06}"/>
            </a:ext>
          </a:extLst>
        </xdr:cNvPr>
        <xdr:cNvSpPr>
          <a:spLocks noChangeArrowheads="1"/>
        </xdr:cNvSpPr>
      </xdr:nvSpPr>
      <xdr:spPr bwMode="auto">
        <a:xfrm>
          <a:off x="765596" y="6908471"/>
          <a:ext cx="11455773" cy="259033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145676</xdr:colOff>
      <xdr:row>29</xdr:row>
      <xdr:rowOff>156882</xdr:rowOff>
    </xdr:from>
    <xdr:to>
      <xdr:col>16</xdr:col>
      <xdr:colOff>2802</xdr:colOff>
      <xdr:row>40</xdr:row>
      <xdr:rowOff>135670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197E32C8-5393-410E-9DC7-B28FB23C38E4}"/>
            </a:ext>
            <a:ext uri="{147F2762-F138-4A5C-976F-8EAC2B608ADB}">
              <a16:predDERef xmlns:a16="http://schemas.microsoft.com/office/drawing/2014/main" pred="{874189A4-5E7C-42B8-8485-79B9D3836F06}"/>
            </a:ext>
          </a:extLst>
        </xdr:cNvPr>
        <xdr:cNvGrpSpPr>
          <a:grpSpLocks/>
        </xdr:cNvGrpSpPr>
      </xdr:nvGrpSpPr>
      <xdr:grpSpPr bwMode="auto">
        <a:xfrm>
          <a:off x="1463301" y="6459257"/>
          <a:ext cx="9366251" cy="486788"/>
          <a:chOff x="136071" y="6667500"/>
          <a:chExt cx="6980465" cy="489857"/>
        </a:xfrm>
      </xdr:grpSpPr>
      <xdr:sp macro="" textlink="">
        <xdr:nvSpPr>
          <xdr:cNvPr id="4" name="1 CuadroTexto">
            <a:extLst>
              <a:ext uri="{FF2B5EF4-FFF2-40B4-BE49-F238E27FC236}">
                <a16:creationId xmlns:a16="http://schemas.microsoft.com/office/drawing/2014/main" id="{6C3FCF44-47A7-CD04-714B-D02AA1E3496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8153" y="6713090"/>
            <a:ext cx="703996" cy="4130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7432" rIns="27432" bIns="0" anchor="t" upright="1"/>
          <a:lstStyle/>
          <a:p>
            <a:pPr algn="ctr" rtl="0">
              <a:defRPr sz="1000"/>
            </a:pPr>
            <a:r>
              <a:rPr lang="es-PE" sz="11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CAMBIO DE</a:t>
            </a:r>
          </a:p>
          <a:p>
            <a:pPr algn="ctr" rtl="0">
              <a:defRPr sz="1000"/>
            </a:pPr>
            <a:r>
              <a:rPr lang="es-PE" sz="11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FORMATO</a:t>
            </a:r>
          </a:p>
        </xdr:txBody>
      </xdr:sp>
      <xdr:sp macro="" textlink="">
        <xdr:nvSpPr>
          <xdr:cNvPr id="5" name="2 CuadroTexto">
            <a:extLst>
              <a:ext uri="{FF2B5EF4-FFF2-40B4-BE49-F238E27FC236}">
                <a16:creationId xmlns:a16="http://schemas.microsoft.com/office/drawing/2014/main" id="{008E3440-FF4D-52ED-8FDD-8A908468A2D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5704" y="6767536"/>
            <a:ext cx="480332" cy="250371"/>
          </a:xfrm>
          <a:prstGeom prst="rect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2 CuadroTexto">
            <a:extLst>
              <a:ext uri="{FF2B5EF4-FFF2-40B4-BE49-F238E27FC236}">
                <a16:creationId xmlns:a16="http://schemas.microsoft.com/office/drawing/2014/main" id="{4976C893-DA97-F8B9-6CB5-C144EF880F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5744" y="6744340"/>
            <a:ext cx="727642" cy="22998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txBody>
          <a:bodyPr/>
          <a:lstStyle/>
          <a:p>
            <a:r>
              <a:rPr lang="es-PE" sz="1400" b="1"/>
              <a:t>LEYENDA:</a:t>
            </a:r>
          </a:p>
        </xdr:txBody>
      </xdr:sp>
      <xdr:sp macro="" textlink="">
        <xdr:nvSpPr>
          <xdr:cNvPr id="7" name="17 Rectángulo">
            <a:extLst>
              <a:ext uri="{FF2B5EF4-FFF2-40B4-BE49-F238E27FC236}">
                <a16:creationId xmlns:a16="http://schemas.microsoft.com/office/drawing/2014/main" id="{F34BAA73-E86B-D872-3DD9-113EA764E1C6}"/>
              </a:ext>
            </a:extLst>
          </xdr:cNvPr>
          <xdr:cNvSpPr/>
        </xdr:nvSpPr>
        <xdr:spPr>
          <a:xfrm>
            <a:off x="136071" y="6667500"/>
            <a:ext cx="6980465" cy="48985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PE"/>
          </a:p>
        </xdr:txBody>
      </xdr:sp>
    </xdr:grpSp>
    <xdr:clientData/>
  </xdr:twoCellAnchor>
  <xdr:twoCellAnchor>
    <xdr:from>
      <xdr:col>7</xdr:col>
      <xdr:colOff>789472</xdr:colOff>
      <xdr:row>29</xdr:row>
      <xdr:rowOff>167204</xdr:rowOff>
    </xdr:from>
    <xdr:to>
      <xdr:col>10</xdr:col>
      <xdr:colOff>289577</xdr:colOff>
      <xdr:row>40</xdr:row>
      <xdr:rowOff>133238</xdr:rowOff>
    </xdr:to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3758FFD2-CA21-40A8-A325-52E27E6A639A}"/>
            </a:ext>
            <a:ext uri="{147F2762-F138-4A5C-976F-8EAC2B608ADB}">
              <a16:predDERef xmlns:a16="http://schemas.microsoft.com/office/drawing/2014/main" pred="{197E32C8-5393-410E-9DC7-B28FB23C38E4}"/>
            </a:ext>
          </a:extLst>
        </xdr:cNvPr>
        <xdr:cNvSpPr txBox="1">
          <a:spLocks noChangeArrowheads="1"/>
        </xdr:cNvSpPr>
      </xdr:nvSpPr>
      <xdr:spPr bwMode="auto">
        <a:xfrm>
          <a:off x="4475647" y="6406079"/>
          <a:ext cx="1871830" cy="470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PE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COP + SIP</a:t>
          </a:r>
        </a:p>
      </xdr:txBody>
    </xdr:sp>
    <xdr:clientData/>
  </xdr:twoCellAnchor>
  <xdr:twoCellAnchor>
    <xdr:from>
      <xdr:col>10</xdr:col>
      <xdr:colOff>2516</xdr:colOff>
      <xdr:row>29</xdr:row>
      <xdr:rowOff>165109</xdr:rowOff>
    </xdr:from>
    <xdr:to>
      <xdr:col>10</xdr:col>
      <xdr:colOff>730764</xdr:colOff>
      <xdr:row>40</xdr:row>
      <xdr:rowOff>13607</xdr:rowOff>
    </xdr:to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DD71C0BA-E051-478E-97B8-A0811EC52B6B}"/>
            </a:ext>
            <a:ext uri="{147F2762-F138-4A5C-976F-8EAC2B608ADB}">
              <a16:predDERef xmlns:a16="http://schemas.microsoft.com/office/drawing/2014/main" pred="{3758FFD2-CA21-40A8-A325-52E27E6A639A}"/>
            </a:ext>
          </a:extLst>
        </xdr:cNvPr>
        <xdr:cNvSpPr txBox="1">
          <a:spLocks noChangeArrowheads="1"/>
        </xdr:cNvSpPr>
      </xdr:nvSpPr>
      <xdr:spPr bwMode="auto">
        <a:xfrm>
          <a:off x="6060416" y="6403984"/>
          <a:ext cx="728248" cy="353323"/>
        </a:xfrm>
        <a:prstGeom prst="rect">
          <a:avLst/>
        </a:prstGeom>
        <a:pattFill prst="dkHorz">
          <a:fgClr>
            <a:schemeClr val="accent5">
              <a:lumMod val="60000"/>
              <a:lumOff val="40000"/>
            </a:schemeClr>
          </a:fgClr>
          <a:bgClr>
            <a:schemeClr val="bg1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790737</xdr:colOff>
      <xdr:row>29</xdr:row>
      <xdr:rowOff>166297</xdr:rowOff>
    </xdr:from>
    <xdr:to>
      <xdr:col>15</xdr:col>
      <xdr:colOff>675533</xdr:colOff>
      <xdr:row>40</xdr:row>
      <xdr:rowOff>45005</xdr:rowOff>
    </xdr:to>
    <xdr:sp macro="" textlink="">
      <xdr:nvSpPr>
        <xdr:cNvPr id="10" name="2 CuadroTexto">
          <a:extLst>
            <a:ext uri="{FF2B5EF4-FFF2-40B4-BE49-F238E27FC236}">
              <a16:creationId xmlns:a16="http://schemas.microsoft.com/office/drawing/2014/main" id="{0D7FC621-F202-4884-B262-4CA13CABEFAD}"/>
            </a:ext>
            <a:ext uri="{147F2762-F138-4A5C-976F-8EAC2B608ADB}">
              <a16:predDERef xmlns:a16="http://schemas.microsoft.com/office/drawing/2014/main" pred="{DD71C0BA-E051-478E-97B8-A0811EC52B6B}"/>
            </a:ext>
          </a:extLst>
        </xdr:cNvPr>
        <xdr:cNvSpPr txBox="1">
          <a:spLocks noChangeArrowheads="1"/>
        </xdr:cNvSpPr>
      </xdr:nvSpPr>
      <xdr:spPr bwMode="auto">
        <a:xfrm>
          <a:off x="9267987" y="6405172"/>
          <a:ext cx="1284971" cy="383533"/>
        </a:xfrm>
        <a:prstGeom prst="rect">
          <a:avLst/>
        </a:prstGeom>
        <a:pattFill prst="lgCheck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792032</xdr:colOff>
      <xdr:row>30</xdr:row>
      <xdr:rowOff>3474</xdr:rowOff>
    </xdr:from>
    <xdr:to>
      <xdr:col>15</xdr:col>
      <xdr:colOff>302381</xdr:colOff>
      <xdr:row>40</xdr:row>
      <xdr:rowOff>167628</xdr:rowOff>
    </xdr:to>
    <xdr:sp macro="" textlink="">
      <xdr:nvSpPr>
        <xdr:cNvPr id="11" name="1 CuadroTexto">
          <a:extLst>
            <a:ext uri="{FF2B5EF4-FFF2-40B4-BE49-F238E27FC236}">
              <a16:creationId xmlns:a16="http://schemas.microsoft.com/office/drawing/2014/main" id="{E51229D6-27F9-416F-B2AC-F178BE935A75}"/>
            </a:ext>
            <a:ext uri="{147F2762-F138-4A5C-976F-8EAC2B608ADB}">
              <a16:predDERef xmlns:a16="http://schemas.microsoft.com/office/drawing/2014/main" pred="{0D7FC621-F202-4884-B262-4CA13CABEFAD}"/>
            </a:ext>
          </a:extLst>
        </xdr:cNvPr>
        <xdr:cNvSpPr txBox="1">
          <a:spLocks noChangeArrowheads="1"/>
        </xdr:cNvSpPr>
      </xdr:nvSpPr>
      <xdr:spPr bwMode="auto">
        <a:xfrm>
          <a:off x="8250107" y="6585249"/>
          <a:ext cx="1929699" cy="316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PE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COP + CIP</a:t>
          </a:r>
        </a:p>
      </xdr:txBody>
    </xdr:sp>
    <xdr:clientData/>
  </xdr:twoCellAnchor>
  <xdr:twoCellAnchor>
    <xdr:from>
      <xdr:col>1</xdr:col>
      <xdr:colOff>670346</xdr:colOff>
      <xdr:row>41</xdr:row>
      <xdr:rowOff>2846</xdr:rowOff>
    </xdr:from>
    <xdr:to>
      <xdr:col>18</xdr:col>
      <xdr:colOff>115094</xdr:colOff>
      <xdr:row>49</xdr:row>
      <xdr:rowOff>59532</xdr:rowOff>
    </xdr:to>
    <xdr:sp macro="" textlink="">
      <xdr:nvSpPr>
        <xdr:cNvPr id="12" name="Rectangle 16">
          <a:extLst>
            <a:ext uri="{FF2B5EF4-FFF2-40B4-BE49-F238E27FC236}">
              <a16:creationId xmlns:a16="http://schemas.microsoft.com/office/drawing/2014/main" id="{1A645BB0-B247-4255-A571-5404B520F69C}"/>
            </a:ext>
            <a:ext uri="{147F2762-F138-4A5C-976F-8EAC2B608ADB}">
              <a16:predDERef xmlns:a16="http://schemas.microsoft.com/office/drawing/2014/main" pred="{E51229D6-27F9-416F-B2AC-F178BE935A75}"/>
            </a:ext>
          </a:extLst>
        </xdr:cNvPr>
        <xdr:cNvSpPr>
          <a:spLocks noChangeArrowheads="1"/>
        </xdr:cNvSpPr>
      </xdr:nvSpPr>
      <xdr:spPr bwMode="auto">
        <a:xfrm>
          <a:off x="765596" y="6908471"/>
          <a:ext cx="11455773" cy="259033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145676</xdr:colOff>
      <xdr:row>29</xdr:row>
      <xdr:rowOff>156882</xdr:rowOff>
    </xdr:from>
    <xdr:to>
      <xdr:col>16</xdr:col>
      <xdr:colOff>2802</xdr:colOff>
      <xdr:row>40</xdr:row>
      <xdr:rowOff>135670</xdr:rowOff>
    </xdr:to>
    <xdr:grpSp>
      <xdr:nvGrpSpPr>
        <xdr:cNvPr id="13" name="2 Grupo">
          <a:extLst>
            <a:ext uri="{FF2B5EF4-FFF2-40B4-BE49-F238E27FC236}">
              <a16:creationId xmlns:a16="http://schemas.microsoft.com/office/drawing/2014/main" id="{48912917-D0CD-414E-8D38-4870B50F5D8D}"/>
            </a:ext>
            <a:ext uri="{147F2762-F138-4A5C-976F-8EAC2B608ADB}">
              <a16:predDERef xmlns:a16="http://schemas.microsoft.com/office/drawing/2014/main" pred="{1A645BB0-B247-4255-A571-5404B520F69C}"/>
            </a:ext>
          </a:extLst>
        </xdr:cNvPr>
        <xdr:cNvGrpSpPr>
          <a:grpSpLocks/>
        </xdr:cNvGrpSpPr>
      </xdr:nvGrpSpPr>
      <xdr:grpSpPr bwMode="auto">
        <a:xfrm>
          <a:off x="1463301" y="6459257"/>
          <a:ext cx="9366251" cy="486788"/>
          <a:chOff x="136071" y="6667500"/>
          <a:chExt cx="6980465" cy="489857"/>
        </a:xfrm>
      </xdr:grpSpPr>
      <xdr:sp macro="" textlink="">
        <xdr:nvSpPr>
          <xdr:cNvPr id="14" name="1 CuadroTexto">
            <a:extLst>
              <a:ext uri="{FF2B5EF4-FFF2-40B4-BE49-F238E27FC236}">
                <a16:creationId xmlns:a16="http://schemas.microsoft.com/office/drawing/2014/main" id="{80DD115B-1F9F-A1AA-CEAB-EC641BA9C5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8153" y="6713090"/>
            <a:ext cx="703996" cy="4130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7432" rIns="27432" bIns="0" anchor="t" upright="1"/>
          <a:lstStyle/>
          <a:p>
            <a:pPr algn="ctr" rtl="0">
              <a:defRPr sz="1000"/>
            </a:pPr>
            <a:r>
              <a:rPr lang="es-PE" sz="11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CAMBIO DE</a:t>
            </a:r>
          </a:p>
          <a:p>
            <a:pPr algn="ctr" rtl="0">
              <a:defRPr sz="1000"/>
            </a:pPr>
            <a:r>
              <a:rPr lang="es-PE" sz="1100" b="1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t>FORMATO</a:t>
            </a:r>
          </a:p>
        </xdr:txBody>
      </xdr:sp>
      <xdr:sp macro="" textlink="">
        <xdr:nvSpPr>
          <xdr:cNvPr id="15" name="2 CuadroTexto">
            <a:extLst>
              <a:ext uri="{FF2B5EF4-FFF2-40B4-BE49-F238E27FC236}">
                <a16:creationId xmlns:a16="http://schemas.microsoft.com/office/drawing/2014/main" id="{88D8C242-6802-AED5-29BF-8873BDDA3F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15704" y="6767536"/>
            <a:ext cx="480332" cy="250371"/>
          </a:xfrm>
          <a:prstGeom prst="rect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2 CuadroTexto">
            <a:extLst>
              <a:ext uri="{FF2B5EF4-FFF2-40B4-BE49-F238E27FC236}">
                <a16:creationId xmlns:a16="http://schemas.microsoft.com/office/drawing/2014/main" id="{C11BB227-DD68-61B4-F5F4-DA9D0BFABC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5744" y="6744340"/>
            <a:ext cx="727642" cy="229981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txBody>
          <a:bodyPr/>
          <a:lstStyle/>
          <a:p>
            <a:r>
              <a:rPr lang="es-PE" sz="1400" b="1"/>
              <a:t>LEYENDA:</a:t>
            </a:r>
          </a:p>
        </xdr:txBody>
      </xdr:sp>
      <xdr:sp macro="" textlink="">
        <xdr:nvSpPr>
          <xdr:cNvPr id="17" name="17 Rectángulo">
            <a:extLst>
              <a:ext uri="{FF2B5EF4-FFF2-40B4-BE49-F238E27FC236}">
                <a16:creationId xmlns:a16="http://schemas.microsoft.com/office/drawing/2014/main" id="{4E3A1886-A1C2-AB55-7284-776C4DA3135C}"/>
              </a:ext>
            </a:extLst>
          </xdr:cNvPr>
          <xdr:cNvSpPr/>
        </xdr:nvSpPr>
        <xdr:spPr>
          <a:xfrm>
            <a:off x="136071" y="6667500"/>
            <a:ext cx="6980465" cy="48985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PE"/>
          </a:p>
        </xdr:txBody>
      </xdr:sp>
    </xdr:grpSp>
    <xdr:clientData/>
  </xdr:twoCellAnchor>
  <xdr:twoCellAnchor>
    <xdr:from>
      <xdr:col>7</xdr:col>
      <xdr:colOff>789472</xdr:colOff>
      <xdr:row>29</xdr:row>
      <xdr:rowOff>167204</xdr:rowOff>
    </xdr:from>
    <xdr:to>
      <xdr:col>10</xdr:col>
      <xdr:colOff>289577</xdr:colOff>
      <xdr:row>40</xdr:row>
      <xdr:rowOff>133238</xdr:rowOff>
    </xdr:to>
    <xdr:sp macro="" textlink="">
      <xdr:nvSpPr>
        <xdr:cNvPr id="18" name="1 CuadroTexto">
          <a:extLst>
            <a:ext uri="{FF2B5EF4-FFF2-40B4-BE49-F238E27FC236}">
              <a16:creationId xmlns:a16="http://schemas.microsoft.com/office/drawing/2014/main" id="{7F9A9687-A241-47FF-A1D8-CD8805286110}"/>
            </a:ext>
            <a:ext uri="{147F2762-F138-4A5C-976F-8EAC2B608ADB}">
              <a16:predDERef xmlns:a16="http://schemas.microsoft.com/office/drawing/2014/main" pred="{48912917-D0CD-414E-8D38-4870B50F5D8D}"/>
            </a:ext>
          </a:extLst>
        </xdr:cNvPr>
        <xdr:cNvSpPr txBox="1">
          <a:spLocks noChangeArrowheads="1"/>
        </xdr:cNvSpPr>
      </xdr:nvSpPr>
      <xdr:spPr bwMode="auto">
        <a:xfrm>
          <a:off x="4475647" y="6406079"/>
          <a:ext cx="1871830" cy="4708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PE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COP + SIP</a:t>
          </a:r>
        </a:p>
      </xdr:txBody>
    </xdr:sp>
    <xdr:clientData/>
  </xdr:twoCellAnchor>
  <xdr:twoCellAnchor>
    <xdr:from>
      <xdr:col>10</xdr:col>
      <xdr:colOff>2516</xdr:colOff>
      <xdr:row>29</xdr:row>
      <xdr:rowOff>165109</xdr:rowOff>
    </xdr:from>
    <xdr:to>
      <xdr:col>10</xdr:col>
      <xdr:colOff>730764</xdr:colOff>
      <xdr:row>40</xdr:row>
      <xdr:rowOff>13607</xdr:rowOff>
    </xdr:to>
    <xdr:sp macro="" textlink="">
      <xdr:nvSpPr>
        <xdr:cNvPr id="19" name="2 CuadroTexto">
          <a:extLst>
            <a:ext uri="{FF2B5EF4-FFF2-40B4-BE49-F238E27FC236}">
              <a16:creationId xmlns:a16="http://schemas.microsoft.com/office/drawing/2014/main" id="{76F40B8C-6A07-4C75-92D8-DEEC97BF0BFC}"/>
            </a:ext>
            <a:ext uri="{147F2762-F138-4A5C-976F-8EAC2B608ADB}">
              <a16:predDERef xmlns:a16="http://schemas.microsoft.com/office/drawing/2014/main" pred="{7F9A9687-A241-47FF-A1D8-CD8805286110}"/>
            </a:ext>
          </a:extLst>
        </xdr:cNvPr>
        <xdr:cNvSpPr txBox="1">
          <a:spLocks noChangeArrowheads="1"/>
        </xdr:cNvSpPr>
      </xdr:nvSpPr>
      <xdr:spPr bwMode="auto">
        <a:xfrm>
          <a:off x="6060416" y="6403984"/>
          <a:ext cx="728248" cy="353323"/>
        </a:xfrm>
        <a:prstGeom prst="rect">
          <a:avLst/>
        </a:prstGeom>
        <a:pattFill prst="dkHorz">
          <a:fgClr>
            <a:schemeClr val="accent5">
              <a:lumMod val="60000"/>
              <a:lumOff val="40000"/>
            </a:schemeClr>
          </a:fgClr>
          <a:bgClr>
            <a:schemeClr val="bg1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790737</xdr:colOff>
      <xdr:row>29</xdr:row>
      <xdr:rowOff>166297</xdr:rowOff>
    </xdr:from>
    <xdr:to>
      <xdr:col>15</xdr:col>
      <xdr:colOff>675533</xdr:colOff>
      <xdr:row>40</xdr:row>
      <xdr:rowOff>45005</xdr:rowOff>
    </xdr:to>
    <xdr:sp macro="" textlink="">
      <xdr:nvSpPr>
        <xdr:cNvPr id="20" name="2 CuadroTexto">
          <a:extLst>
            <a:ext uri="{FF2B5EF4-FFF2-40B4-BE49-F238E27FC236}">
              <a16:creationId xmlns:a16="http://schemas.microsoft.com/office/drawing/2014/main" id="{90CCD86B-0E97-4C91-BA5E-C0A1AA2611E1}"/>
            </a:ext>
            <a:ext uri="{147F2762-F138-4A5C-976F-8EAC2B608ADB}">
              <a16:predDERef xmlns:a16="http://schemas.microsoft.com/office/drawing/2014/main" pred="{76F40B8C-6A07-4C75-92D8-DEEC97BF0BFC}"/>
            </a:ext>
          </a:extLst>
        </xdr:cNvPr>
        <xdr:cNvSpPr txBox="1">
          <a:spLocks noChangeArrowheads="1"/>
        </xdr:cNvSpPr>
      </xdr:nvSpPr>
      <xdr:spPr bwMode="auto">
        <a:xfrm>
          <a:off x="9267987" y="6405172"/>
          <a:ext cx="1284971" cy="383533"/>
        </a:xfrm>
        <a:prstGeom prst="rect">
          <a:avLst/>
        </a:prstGeom>
        <a:pattFill prst="lgCheck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792032</xdr:colOff>
      <xdr:row>30</xdr:row>
      <xdr:rowOff>3474</xdr:rowOff>
    </xdr:from>
    <xdr:to>
      <xdr:col>15</xdr:col>
      <xdr:colOff>302381</xdr:colOff>
      <xdr:row>40</xdr:row>
      <xdr:rowOff>167628</xdr:rowOff>
    </xdr:to>
    <xdr:sp macro="" textlink="">
      <xdr:nvSpPr>
        <xdr:cNvPr id="21" name="1 CuadroTexto">
          <a:extLst>
            <a:ext uri="{FF2B5EF4-FFF2-40B4-BE49-F238E27FC236}">
              <a16:creationId xmlns:a16="http://schemas.microsoft.com/office/drawing/2014/main" id="{30C096C3-B650-42FE-8F33-87EA370E1543}"/>
            </a:ext>
            <a:ext uri="{147F2762-F138-4A5C-976F-8EAC2B608ADB}">
              <a16:predDERef xmlns:a16="http://schemas.microsoft.com/office/drawing/2014/main" pred="{90CCD86B-0E97-4C91-BA5E-C0A1AA2611E1}"/>
            </a:ext>
          </a:extLst>
        </xdr:cNvPr>
        <xdr:cNvSpPr txBox="1">
          <a:spLocks noChangeArrowheads="1"/>
        </xdr:cNvSpPr>
      </xdr:nvSpPr>
      <xdr:spPr bwMode="auto">
        <a:xfrm>
          <a:off x="8250107" y="6585249"/>
          <a:ext cx="1929699" cy="316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PE" sz="14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COP + CIP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71966</xdr:colOff>
      <xdr:row>0</xdr:row>
      <xdr:rowOff>0</xdr:rowOff>
    </xdr:from>
    <xdr:ext cx="819026" cy="856138"/>
    <xdr:pic>
      <xdr:nvPicPr>
        <xdr:cNvPr id="12" name="Imagen 1">
          <a:extLst>
            <a:ext uri="{FF2B5EF4-FFF2-40B4-BE49-F238E27FC236}">
              <a16:creationId xmlns:a16="http://schemas.microsoft.com/office/drawing/2014/main" id="{BFE58F26-43E6-4F64-8622-FE81E0E6A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4766" y="0"/>
          <a:ext cx="819026" cy="856138"/>
        </a:xfrm>
        <a:prstGeom prst="rect">
          <a:avLst/>
        </a:prstGeom>
      </xdr:spPr>
    </xdr:pic>
    <xdr:clientData/>
  </xdr:oneCellAnchor>
  <xdr:twoCellAnchor>
    <xdr:from>
      <xdr:col>4</xdr:col>
      <xdr:colOff>1447800</xdr:colOff>
      <xdr:row>5</xdr:row>
      <xdr:rowOff>85725</xdr:rowOff>
    </xdr:from>
    <xdr:to>
      <xdr:col>28</xdr:col>
      <xdr:colOff>647700</xdr:colOff>
      <xdr:row>20</xdr:row>
      <xdr:rowOff>161925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95DB9F7C-7F5F-4AAA-BE4A-06BC9333AC49}"/>
            </a:ext>
            <a:ext uri="{147F2762-F138-4A5C-976F-8EAC2B608ADB}">
              <a16:predDERef xmlns:a16="http://schemas.microsoft.com/office/drawing/2014/main" pred="{BFE58F26-43E6-4F64-8622-FE81E0E6A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7409</xdr:colOff>
      <xdr:row>8</xdr:row>
      <xdr:rowOff>10583</xdr:rowOff>
    </xdr:from>
    <xdr:to>
      <xdr:col>4</xdr:col>
      <xdr:colOff>1425575</xdr:colOff>
      <xdr:row>11</xdr:row>
      <xdr:rowOff>10583</xdr:rowOff>
    </xdr:to>
    <xdr:sp macro="" textlink="">
      <xdr:nvSpPr>
        <xdr:cNvPr id="4" name="Rectángulo redondeado 2">
          <a:extLst>
            <a:ext uri="{FF2B5EF4-FFF2-40B4-BE49-F238E27FC236}">
              <a16:creationId xmlns:a16="http://schemas.microsoft.com/office/drawing/2014/main" id="{F419D56D-0742-41F2-AACF-D2AA6DB9E4FA}"/>
            </a:ext>
            <a:ext uri="{147F2762-F138-4A5C-976F-8EAC2B608ADB}">
              <a16:predDERef xmlns:a16="http://schemas.microsoft.com/office/drawing/2014/main" pred="{95DB9F7C-7F5F-4AAA-BE4A-06BC9333AC49}"/>
            </a:ext>
          </a:extLst>
        </xdr:cNvPr>
        <xdr:cNvSpPr/>
      </xdr:nvSpPr>
      <xdr:spPr>
        <a:xfrm>
          <a:off x="3207809" y="1483783"/>
          <a:ext cx="789516" cy="552450"/>
        </a:xfrm>
        <a:prstGeom prst="roundRect">
          <a:avLst/>
        </a:prstGeom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Insertar hora</a:t>
          </a:r>
        </a:p>
      </xdr:txBody>
    </xdr:sp>
    <xdr:clientData/>
  </xdr:twoCellAnchor>
  <xdr:twoCellAnchor>
    <xdr:from>
      <xdr:col>4</xdr:col>
      <xdr:colOff>9525</xdr:colOff>
      <xdr:row>11</xdr:row>
      <xdr:rowOff>142875</xdr:rowOff>
    </xdr:from>
    <xdr:to>
      <xdr:col>4</xdr:col>
      <xdr:colOff>1438275</xdr:colOff>
      <xdr:row>12</xdr:row>
      <xdr:rowOff>276225</xdr:rowOff>
    </xdr:to>
    <xdr:sp macro="" textlink="">
      <xdr:nvSpPr>
        <xdr:cNvPr id="5" name="Rectángulo redondeado 3">
          <a:extLst>
            <a:ext uri="{FF2B5EF4-FFF2-40B4-BE49-F238E27FC236}">
              <a16:creationId xmlns:a16="http://schemas.microsoft.com/office/drawing/2014/main" id="{2126D29A-FB19-4A7A-8563-40E853221073}"/>
            </a:ext>
            <a:ext uri="{147F2762-F138-4A5C-976F-8EAC2B608ADB}">
              <a16:predDERef xmlns:a16="http://schemas.microsoft.com/office/drawing/2014/main" pred="{EEB45234-7651-430B-94E2-BAD841E94BE7}"/>
            </a:ext>
          </a:extLst>
        </xdr:cNvPr>
        <xdr:cNvSpPr/>
      </xdr:nvSpPr>
      <xdr:spPr>
        <a:xfrm>
          <a:off x="3209925" y="2168525"/>
          <a:ext cx="787400" cy="222250"/>
        </a:xfrm>
        <a:prstGeom prst="roundRect">
          <a:avLst/>
        </a:prstGeom>
        <a:ln w="38100">
          <a:solidFill>
            <a:schemeClr val="bg1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Borrar</a:t>
          </a:r>
          <a:r>
            <a:rPr lang="es-MX" sz="1100" baseline="0"/>
            <a:t> hora </a:t>
          </a:r>
          <a:r>
            <a:rPr lang="es-MX" sz="1200" baseline="0"/>
            <a:t>anterior</a:t>
          </a:r>
          <a:endParaRPr lang="es-419" sz="1100"/>
        </a:p>
      </xdr:txBody>
    </xdr:sp>
    <xdr:clientData/>
  </xdr:twoCellAnchor>
  <xdr:twoCellAnchor>
    <xdr:from>
      <xdr:col>4</xdr:col>
      <xdr:colOff>14818</xdr:colOff>
      <xdr:row>13</xdr:row>
      <xdr:rowOff>105834</xdr:rowOff>
    </xdr:from>
    <xdr:to>
      <xdr:col>4</xdr:col>
      <xdr:colOff>1443568</xdr:colOff>
      <xdr:row>14</xdr:row>
      <xdr:rowOff>179917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5F90DB10-B493-46BD-95D2-A0F0682F6E66}"/>
            </a:ext>
            <a:ext uri="{147F2762-F138-4A5C-976F-8EAC2B608ADB}">
              <a16:predDERef xmlns:a16="http://schemas.microsoft.com/office/drawing/2014/main" pred="{92C7E695-41C9-4988-BB44-58A684308A92}"/>
            </a:ext>
          </a:extLst>
        </xdr:cNvPr>
        <xdr:cNvSpPr/>
      </xdr:nvSpPr>
      <xdr:spPr>
        <a:xfrm>
          <a:off x="3215218" y="2499784"/>
          <a:ext cx="787400" cy="258233"/>
        </a:xfrm>
        <a:prstGeom prst="roundRect">
          <a:avLst/>
        </a:prstGeom>
        <a:ln w="38100"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/>
            <a:t>Reiniciar</a:t>
          </a:r>
          <a:endParaRPr lang="es-419" sz="1100"/>
        </a:p>
      </xdr:txBody>
    </xdr:sp>
    <xdr:clientData/>
  </xdr:twoCellAnchor>
  <xdr:oneCellAnchor>
    <xdr:from>
      <xdr:col>23</xdr:col>
      <xdr:colOff>640080</xdr:colOff>
      <xdr:row>20</xdr:row>
      <xdr:rowOff>7620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3251E78-5AEB-4562-93E2-541A206D84DD}"/>
            </a:ext>
          </a:extLst>
        </xdr:cNvPr>
        <xdr:cNvSpPr txBox="1"/>
      </xdr:nvSpPr>
      <xdr:spPr>
        <a:xfrm>
          <a:off x="19042380" y="36906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4</xdr:col>
      <xdr:colOff>1285875</xdr:colOff>
      <xdr:row>2</xdr:row>
      <xdr:rowOff>152400</xdr:rowOff>
    </xdr:from>
    <xdr:to>
      <xdr:col>4</xdr:col>
      <xdr:colOff>1285875</xdr:colOff>
      <xdr:row>2</xdr:row>
      <xdr:rowOff>152400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DE6EAC2-A664-4F4A-888E-AE34E3113EE7}"/>
            </a:ext>
            <a:ext uri="{147F2762-F138-4A5C-976F-8EAC2B608ADB}">
              <a16:predDERef xmlns:a16="http://schemas.microsoft.com/office/drawing/2014/main" pred="{E4FADB9F-19EB-40E6-94D5-279BA3759906}"/>
            </a:ext>
          </a:extLst>
        </xdr:cNvPr>
        <xdr:cNvSpPr txBox="1"/>
      </xdr:nvSpPr>
      <xdr:spPr>
        <a:xfrm>
          <a:off x="3997325" y="520700"/>
          <a:ext cx="0" cy="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Limpieza Diaria</a:t>
          </a:r>
        </a:p>
      </xdr:txBody>
    </xdr:sp>
    <xdr:clientData/>
  </xdr:twoCellAnchor>
  <xdr:twoCellAnchor>
    <xdr:from>
      <xdr:col>4</xdr:col>
      <xdr:colOff>361950</xdr:colOff>
      <xdr:row>0</xdr:row>
      <xdr:rowOff>57150</xdr:rowOff>
    </xdr:from>
    <xdr:to>
      <xdr:col>4</xdr:col>
      <xdr:colOff>361950</xdr:colOff>
      <xdr:row>0</xdr:row>
      <xdr:rowOff>57150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E16AD31-D78D-423A-8408-74277BBBD7F1}"/>
            </a:ext>
            <a:ext uri="{147F2762-F138-4A5C-976F-8EAC2B608ADB}">
              <a16:predDERef xmlns:a16="http://schemas.microsoft.com/office/drawing/2014/main" pred="{E4FADB9F-19EB-40E6-94D5-279BA3759906}"/>
            </a:ext>
          </a:extLst>
        </xdr:cNvPr>
        <xdr:cNvSpPr txBox="1"/>
      </xdr:nvSpPr>
      <xdr:spPr>
        <a:xfrm>
          <a:off x="3562350" y="57150"/>
          <a:ext cx="0" cy="0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CAMBIO DE MARCA</a:t>
          </a:r>
        </a:p>
      </xdr:txBody>
    </xdr:sp>
    <xdr:clientData/>
  </xdr:twoCellAnchor>
  <xdr:twoCellAnchor>
    <xdr:from>
      <xdr:col>6</xdr:col>
      <xdr:colOff>495300</xdr:colOff>
      <xdr:row>55</xdr:row>
      <xdr:rowOff>104775</xdr:rowOff>
    </xdr:from>
    <xdr:to>
      <xdr:col>7</xdr:col>
      <xdr:colOff>180975</xdr:colOff>
      <xdr:row>56</xdr:row>
      <xdr:rowOff>171450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B448620-3F5D-4A11-AE92-31F0E60BC8D0}"/>
            </a:ext>
            <a:ext uri="{147F2762-F138-4A5C-976F-8EAC2B608ADB}">
              <a16:predDERef xmlns:a16="http://schemas.microsoft.com/office/drawing/2014/main" pred="{AF5A5C79-3474-4536-B2EB-867436FF00F3}"/>
            </a:ext>
          </a:extLst>
        </xdr:cNvPr>
        <xdr:cNvSpPr txBox="1"/>
      </xdr:nvSpPr>
      <xdr:spPr>
        <a:xfrm>
          <a:off x="5295900" y="10048875"/>
          <a:ext cx="485775" cy="250825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CAMBIO DE TURNO</a:t>
          </a:r>
        </a:p>
      </xdr:txBody>
    </xdr:sp>
    <xdr:clientData/>
  </xdr:twoCellAnchor>
  <xdr:twoCellAnchor>
    <xdr:from>
      <xdr:col>4</xdr:col>
      <xdr:colOff>1857375</xdr:colOff>
      <xdr:row>1</xdr:row>
      <xdr:rowOff>133350</xdr:rowOff>
    </xdr:from>
    <xdr:to>
      <xdr:col>4</xdr:col>
      <xdr:colOff>1857375</xdr:colOff>
      <xdr:row>1</xdr:row>
      <xdr:rowOff>133350</xdr:rowOff>
    </xdr:to>
    <xdr:sp macro="" textlink="">
      <xdr:nvSpPr>
        <xdr:cNvPr id="11" name="Rectangle 2">
          <a:extLst>
            <a:ext uri="{FF2B5EF4-FFF2-40B4-BE49-F238E27FC236}">
              <a16:creationId xmlns:a16="http://schemas.microsoft.com/office/drawing/2014/main" id="{D6F88745-59B6-4BAC-8A0F-AA9CEB4D2496}"/>
            </a:ext>
            <a:ext uri="{147F2762-F138-4A5C-976F-8EAC2B608ADB}">
              <a16:predDERef xmlns:a16="http://schemas.microsoft.com/office/drawing/2014/main" pred="{97B0E921-A015-43E9-AF77-07C4317641F4}"/>
            </a:ext>
          </a:extLst>
        </xdr:cNvPr>
        <xdr:cNvSpPr/>
      </xdr:nvSpPr>
      <xdr:spPr>
        <a:xfrm>
          <a:off x="3997325" y="317500"/>
          <a:ext cx="0" cy="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Arranque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0.66489</cdr:x>
      <cdr:y>0.32194</cdr:y>
    </cdr:from>
    <cdr:to>
      <cdr:x>0.69784</cdr:x>
      <cdr:y>0.92724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7F7738E-6B60-391D-4131-1D0542051F3B}"/>
            </a:ext>
          </a:extLst>
        </cdr:cNvPr>
        <cdr:cNvSpPr txBox="1"/>
      </cdr:nvSpPr>
      <cdr:spPr>
        <a:xfrm xmlns:a="http://schemas.openxmlformats.org/drawingml/2006/main">
          <a:off x="11531812" y="1003088"/>
          <a:ext cx="571500" cy="1885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/>
        </a:p>
      </cdr:txBody>
    </cdr:sp>
  </cdr:relSizeAnchor>
  <cdr:relSizeAnchor xmlns:cdr="http://schemas.openxmlformats.org/drawingml/2006/chartDrawing">
    <cdr:from>
      <cdr:x>0.61475</cdr:x>
      <cdr:y>0.31399</cdr:y>
    </cdr:from>
    <cdr:to>
      <cdr:x>0.61868</cdr:x>
      <cdr:y>0.33226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D2C4D1E7-34BE-E321-C13C-B30BAD48E8E4}"/>
            </a:ext>
          </a:extLst>
        </cdr:cNvPr>
        <cdr:cNvSpPr/>
      </cdr:nvSpPr>
      <cdr:spPr>
        <a:xfrm xmlns:a="http://schemas.openxmlformats.org/drawingml/2006/main">
          <a:off x="10940682" y="962523"/>
          <a:ext cx="70037" cy="5602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2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vert="vert"/>
        <a:lstStyle xmlns:a="http://schemas.openxmlformats.org/drawingml/2006/main"/>
        <a:p xmlns:a="http://schemas.openxmlformats.org/drawingml/2006/main">
          <a:r>
            <a:rPr lang="es-MX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traslape cadena pazteurizador</a:t>
          </a:r>
        </a:p>
      </cdr:txBody>
    </cdr:sp>
  </cdr:relSizeAnchor>
  <cdr:relSizeAnchor xmlns:cdr="http://schemas.openxmlformats.org/drawingml/2006/chartDrawing">
    <cdr:from>
      <cdr:x>0.7774</cdr:x>
      <cdr:y>0.36663</cdr:y>
    </cdr:from>
    <cdr:to>
      <cdr:x>0.80752</cdr:x>
      <cdr:y>0.8275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17E0C7F-421A-3230-BEDC-7B4B7AF30A00}"/>
            </a:ext>
          </a:extLst>
        </cdr:cNvPr>
        <cdr:cNvSpPr txBox="1"/>
      </cdr:nvSpPr>
      <cdr:spPr>
        <a:xfrm xmlns:a="http://schemas.openxmlformats.org/drawingml/2006/main">
          <a:off x="16115037" y="1115546"/>
          <a:ext cx="624417" cy="1402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/>
        </a:p>
      </cdr:txBody>
    </cdr:sp>
  </cdr:relSizeAnchor>
  <cdr:relSizeAnchor xmlns:cdr="http://schemas.openxmlformats.org/drawingml/2006/chartDrawing">
    <cdr:from>
      <cdr:x>0.77153</cdr:x>
      <cdr:y>0.3162</cdr:y>
    </cdr:from>
    <cdr:to>
      <cdr:x>0.80242</cdr:x>
      <cdr:y>0.83968</cdr:y>
    </cdr:to>
    <cdr:sp macro="" textlink="">
      <cdr:nvSpPr>
        <cdr:cNvPr id="5" name="CuadroTexto 4">
          <a:extLst xmlns:a="http://schemas.openxmlformats.org/drawingml/2006/main">
            <a:ext uri="{FF2B5EF4-FFF2-40B4-BE49-F238E27FC236}">
              <a16:creationId xmlns:a16="http://schemas.microsoft.com/office/drawing/2014/main" id="{2556EFE4-5FDD-5B79-AC9A-9BA69B304C6A}"/>
            </a:ext>
          </a:extLst>
        </cdr:cNvPr>
        <cdr:cNvSpPr txBox="1"/>
      </cdr:nvSpPr>
      <cdr:spPr>
        <a:xfrm xmlns:a="http://schemas.openxmlformats.org/drawingml/2006/main">
          <a:off x="15993329" y="962088"/>
          <a:ext cx="640291" cy="1592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800" b="1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243416</xdr:colOff>
      <xdr:row>0</xdr:row>
      <xdr:rowOff>0</xdr:rowOff>
    </xdr:from>
    <xdr:to>
      <xdr:col>29</xdr:col>
      <xdr:colOff>189317</xdr:colOff>
      <xdr:row>4</xdr:row>
      <xdr:rowOff>52863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A4F7DF-C458-46BC-B17E-394B133DB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74816" y="0"/>
          <a:ext cx="822201" cy="846613"/>
        </a:xfrm>
        <a:prstGeom prst="rect">
          <a:avLst/>
        </a:prstGeom>
      </xdr:spPr>
    </xdr:pic>
    <xdr:clientData/>
  </xdr:twoCellAnchor>
  <xdr:twoCellAnchor>
    <xdr:from>
      <xdr:col>4</xdr:col>
      <xdr:colOff>1266825</xdr:colOff>
      <xdr:row>5</xdr:row>
      <xdr:rowOff>114300</xdr:rowOff>
    </xdr:from>
    <xdr:to>
      <xdr:col>29</xdr:col>
      <xdr:colOff>466725</xdr:colOff>
      <xdr:row>21</xdr:row>
      <xdr:rowOff>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1ED12BF8-B0C7-42DA-91B8-17448F82CEE8}"/>
            </a:ext>
            <a:ext uri="{147F2762-F138-4A5C-976F-8EAC2B608ADB}">
              <a16:predDERef xmlns:a16="http://schemas.microsoft.com/office/drawing/2014/main" pred="{3BA4F7DF-C458-46BC-B17E-394B133DB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64559</xdr:colOff>
      <xdr:row>14</xdr:row>
      <xdr:rowOff>134408</xdr:rowOff>
    </xdr:from>
    <xdr:to>
      <xdr:col>3</xdr:col>
      <xdr:colOff>692150</xdr:colOff>
      <xdr:row>17</xdr:row>
      <xdr:rowOff>134408</xdr:rowOff>
    </xdr:to>
    <xdr:sp macro="" textlink="">
      <xdr:nvSpPr>
        <xdr:cNvPr id="4" name="Rectángulo redondeado 2">
          <a:extLst>
            <a:ext uri="{FF2B5EF4-FFF2-40B4-BE49-F238E27FC236}">
              <a16:creationId xmlns:a16="http://schemas.microsoft.com/office/drawing/2014/main" id="{67D9BAAE-6BDD-44E8-A332-CC134A78C532}"/>
            </a:ext>
            <a:ext uri="{147F2762-F138-4A5C-976F-8EAC2B608ADB}">
              <a16:predDERef xmlns:a16="http://schemas.microsoft.com/office/drawing/2014/main" pred="{1ED12BF8-B0C7-42DA-91B8-17448F82CEE8}"/>
            </a:ext>
          </a:extLst>
        </xdr:cNvPr>
        <xdr:cNvSpPr/>
      </xdr:nvSpPr>
      <xdr:spPr>
        <a:xfrm>
          <a:off x="588434" y="3001433"/>
          <a:ext cx="1418166" cy="542925"/>
        </a:xfrm>
        <a:prstGeom prst="roundRect">
          <a:avLst/>
        </a:prstGeom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Insertar hora</a:t>
          </a:r>
        </a:p>
      </xdr:txBody>
    </xdr:sp>
    <xdr:clientData/>
  </xdr:twoCellAnchor>
  <xdr:twoCellAnchor>
    <xdr:from>
      <xdr:col>2</xdr:col>
      <xdr:colOff>228600</xdr:colOff>
      <xdr:row>18</xdr:row>
      <xdr:rowOff>85725</xdr:rowOff>
    </xdr:from>
    <xdr:to>
      <xdr:col>3</xdr:col>
      <xdr:colOff>866775</xdr:colOff>
      <xdr:row>20</xdr:row>
      <xdr:rowOff>38100</xdr:rowOff>
    </xdr:to>
    <xdr:sp macro="" textlink="">
      <xdr:nvSpPr>
        <xdr:cNvPr id="5" name="Rectángulo redondeado 3">
          <a:extLst>
            <a:ext uri="{FF2B5EF4-FFF2-40B4-BE49-F238E27FC236}">
              <a16:creationId xmlns:a16="http://schemas.microsoft.com/office/drawing/2014/main" id="{091F82B8-9A20-4CF6-9AE3-2A6CC6642749}"/>
            </a:ext>
            <a:ext uri="{147F2762-F138-4A5C-976F-8EAC2B608ADB}">
              <a16:predDERef xmlns:a16="http://schemas.microsoft.com/office/drawing/2014/main" pred="{67D9BAAE-6BDD-44E8-A332-CC134A78C532}"/>
            </a:ext>
          </a:extLst>
        </xdr:cNvPr>
        <xdr:cNvSpPr/>
      </xdr:nvSpPr>
      <xdr:spPr>
        <a:xfrm>
          <a:off x="752475" y="3676650"/>
          <a:ext cx="1428750" cy="314325"/>
        </a:xfrm>
        <a:prstGeom prst="roundRect">
          <a:avLst/>
        </a:prstGeom>
        <a:ln w="38100">
          <a:solidFill>
            <a:schemeClr val="bg1">
              <a:lumMod val="5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Borrar</a:t>
          </a:r>
          <a:r>
            <a:rPr lang="es-MX" sz="1100" baseline="0"/>
            <a:t> hora </a:t>
          </a:r>
          <a:r>
            <a:rPr lang="es-MX" sz="1200" baseline="0"/>
            <a:t>anterior</a:t>
          </a:r>
          <a:endParaRPr lang="es-419" sz="1100"/>
        </a:p>
      </xdr:txBody>
    </xdr:sp>
    <xdr:clientData/>
  </xdr:twoCellAnchor>
  <xdr:twoCellAnchor>
    <xdr:from>
      <xdr:col>2</xdr:col>
      <xdr:colOff>281518</xdr:colOff>
      <xdr:row>23</xdr:row>
      <xdr:rowOff>124884</xdr:rowOff>
    </xdr:from>
    <xdr:to>
      <xdr:col>3</xdr:col>
      <xdr:colOff>919693</xdr:colOff>
      <xdr:row>24</xdr:row>
      <xdr:rowOff>75142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6B9B6F6F-C3CD-4A6F-97B0-9B00596F03DC}"/>
            </a:ext>
            <a:ext uri="{147F2762-F138-4A5C-976F-8EAC2B608ADB}">
              <a16:predDERef xmlns:a16="http://schemas.microsoft.com/office/drawing/2014/main" pred="{091F82B8-9A20-4CF6-9AE3-2A6CC6642749}"/>
            </a:ext>
          </a:extLst>
        </xdr:cNvPr>
        <xdr:cNvSpPr/>
      </xdr:nvSpPr>
      <xdr:spPr>
        <a:xfrm>
          <a:off x="805393" y="4554009"/>
          <a:ext cx="1428750" cy="255058"/>
        </a:xfrm>
        <a:prstGeom prst="roundRect">
          <a:avLst/>
        </a:prstGeom>
        <a:ln w="38100"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/>
            <a:t>Reiniciar</a:t>
          </a:r>
          <a:endParaRPr lang="es-419" sz="1100"/>
        </a:p>
      </xdr:txBody>
    </xdr:sp>
    <xdr:clientData/>
  </xdr:twoCellAnchor>
  <xdr:oneCellAnchor>
    <xdr:from>
      <xdr:col>23</xdr:col>
      <xdr:colOff>640080</xdr:colOff>
      <xdr:row>20</xdr:row>
      <xdr:rowOff>7620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D8627C0-0876-42EB-8BFA-6A32C53E8BFB}"/>
            </a:ext>
          </a:extLst>
        </xdr:cNvPr>
        <xdr:cNvSpPr txBox="1"/>
      </xdr:nvSpPr>
      <xdr:spPr>
        <a:xfrm>
          <a:off x="19093180" y="40144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4</xdr:col>
      <xdr:colOff>1285875</xdr:colOff>
      <xdr:row>2</xdr:row>
      <xdr:rowOff>152400</xdr:rowOff>
    </xdr:from>
    <xdr:to>
      <xdr:col>4</xdr:col>
      <xdr:colOff>1285875</xdr:colOff>
      <xdr:row>2</xdr:row>
      <xdr:rowOff>152400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8C6B3E2-0396-4ADB-AD73-9D0990014CEF}"/>
            </a:ext>
            <a:ext uri="{147F2762-F138-4A5C-976F-8EAC2B608ADB}">
              <a16:predDERef xmlns:a16="http://schemas.microsoft.com/office/drawing/2014/main" pred="{6657775E-2751-496E-9DA7-370A176A2544}"/>
            </a:ext>
          </a:extLst>
        </xdr:cNvPr>
        <xdr:cNvSpPr txBox="1"/>
      </xdr:nvSpPr>
      <xdr:spPr>
        <a:xfrm>
          <a:off x="3673475" y="406400"/>
          <a:ext cx="0" cy="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8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Limpieza Diaria</a:t>
          </a:r>
        </a:p>
      </xdr:txBody>
    </xdr:sp>
    <xdr:clientData/>
  </xdr:twoCellAnchor>
  <xdr:twoCellAnchor>
    <xdr:from>
      <xdr:col>12</xdr:col>
      <xdr:colOff>311149</xdr:colOff>
      <xdr:row>52</xdr:row>
      <xdr:rowOff>122237</xdr:rowOff>
    </xdr:from>
    <xdr:to>
      <xdr:col>13</xdr:col>
      <xdr:colOff>271462</xdr:colOff>
      <xdr:row>55</xdr:row>
      <xdr:rowOff>44450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14AC7C9-4C24-4F51-90AC-73080652AA2C}"/>
            </a:ext>
            <a:ext uri="{147F2762-F138-4A5C-976F-8EAC2B608ADB}">
              <a16:predDERef xmlns:a16="http://schemas.microsoft.com/office/drawing/2014/main" pred="{5B735952-FF71-4ED6-9305-567819CC309A}"/>
            </a:ext>
          </a:extLst>
        </xdr:cNvPr>
        <xdr:cNvSpPr txBox="1"/>
      </xdr:nvSpPr>
      <xdr:spPr>
        <a:xfrm>
          <a:off x="10039349" y="9894887"/>
          <a:ext cx="715963" cy="474663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CAMBIO DE TURNO</a:t>
          </a:r>
        </a:p>
        <a:p>
          <a:pPr marL="0" indent="0" algn="ctr"/>
          <a:endParaRPr lang="en-US" sz="9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133350</xdr:colOff>
      <xdr:row>53</xdr:row>
      <xdr:rowOff>142875</xdr:rowOff>
    </xdr:from>
    <xdr:to>
      <xdr:col>16</xdr:col>
      <xdr:colOff>314325</xdr:colOff>
      <xdr:row>56</xdr:row>
      <xdr:rowOff>57150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7366BD8-E0FE-4195-B29B-02BDAF43C96A}"/>
            </a:ext>
            <a:ext uri="{147F2762-F138-4A5C-976F-8EAC2B608ADB}">
              <a16:predDERef xmlns:a16="http://schemas.microsoft.com/office/drawing/2014/main" pred="{09B2B4ED-8EF6-4C9B-A051-CF311EF7E296}"/>
            </a:ext>
          </a:extLst>
        </xdr:cNvPr>
        <xdr:cNvSpPr txBox="1"/>
      </xdr:nvSpPr>
      <xdr:spPr>
        <a:xfrm>
          <a:off x="12223750" y="10099675"/>
          <a:ext cx="949325" cy="466725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CAMBIO DE FORMATO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0.66489</cdr:x>
      <cdr:y>0.32194</cdr:y>
    </cdr:from>
    <cdr:to>
      <cdr:x>0.69784</cdr:x>
      <cdr:y>0.92724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7F7738E-6B60-391D-4131-1D0542051F3B}"/>
            </a:ext>
          </a:extLst>
        </cdr:cNvPr>
        <cdr:cNvSpPr txBox="1"/>
      </cdr:nvSpPr>
      <cdr:spPr>
        <a:xfrm xmlns:a="http://schemas.openxmlformats.org/drawingml/2006/main">
          <a:off x="11531812" y="1003088"/>
          <a:ext cx="571500" cy="1885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/>
        </a:p>
      </cdr:txBody>
    </cdr:sp>
  </cdr:relSizeAnchor>
  <cdr:relSizeAnchor xmlns:cdr="http://schemas.openxmlformats.org/drawingml/2006/chartDrawing">
    <cdr:from>
      <cdr:x>0.61475</cdr:x>
      <cdr:y>0.31399</cdr:y>
    </cdr:from>
    <cdr:to>
      <cdr:x>0.61868</cdr:x>
      <cdr:y>0.33226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D2C4D1E7-34BE-E321-C13C-B30BAD48E8E4}"/>
            </a:ext>
          </a:extLst>
        </cdr:cNvPr>
        <cdr:cNvSpPr/>
      </cdr:nvSpPr>
      <cdr:spPr>
        <a:xfrm xmlns:a="http://schemas.openxmlformats.org/drawingml/2006/main">
          <a:off x="10940682" y="962523"/>
          <a:ext cx="70037" cy="5602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1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2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vert="vert"/>
        <a:lstStyle xmlns:a="http://schemas.openxmlformats.org/drawingml/2006/main"/>
        <a:p xmlns:a="http://schemas.openxmlformats.org/drawingml/2006/main">
          <a:r>
            <a:rPr lang="es-MX" sz="1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traslape cadena pazteurizador</a:t>
          </a:r>
        </a:p>
      </cdr:txBody>
    </cdr:sp>
  </cdr:relSizeAnchor>
  <cdr:relSizeAnchor xmlns:cdr="http://schemas.openxmlformats.org/drawingml/2006/chartDrawing">
    <cdr:from>
      <cdr:x>0.7774</cdr:x>
      <cdr:y>0.36663</cdr:y>
    </cdr:from>
    <cdr:to>
      <cdr:x>0.80752</cdr:x>
      <cdr:y>0.8275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517E0C7F-421A-3230-BEDC-7B4B7AF30A00}"/>
            </a:ext>
          </a:extLst>
        </cdr:cNvPr>
        <cdr:cNvSpPr txBox="1"/>
      </cdr:nvSpPr>
      <cdr:spPr>
        <a:xfrm xmlns:a="http://schemas.openxmlformats.org/drawingml/2006/main">
          <a:off x="16115037" y="1115546"/>
          <a:ext cx="624417" cy="1402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/>
        </a:p>
      </cdr:txBody>
    </cdr:sp>
  </cdr:relSizeAnchor>
  <cdr:relSizeAnchor xmlns:cdr="http://schemas.openxmlformats.org/drawingml/2006/chartDrawing">
    <cdr:from>
      <cdr:x>0.77153</cdr:x>
      <cdr:y>0.3162</cdr:y>
    </cdr:from>
    <cdr:to>
      <cdr:x>0.80242</cdr:x>
      <cdr:y>0.83968</cdr:y>
    </cdr:to>
    <cdr:sp macro="" textlink="">
      <cdr:nvSpPr>
        <cdr:cNvPr id="5" name="CuadroTexto 4">
          <a:extLst xmlns:a="http://schemas.openxmlformats.org/drawingml/2006/main">
            <a:ext uri="{FF2B5EF4-FFF2-40B4-BE49-F238E27FC236}">
              <a16:creationId xmlns:a16="http://schemas.microsoft.com/office/drawing/2014/main" id="{2556EFE4-5FDD-5B79-AC9A-9BA69B304C6A}"/>
            </a:ext>
          </a:extLst>
        </cdr:cNvPr>
        <cdr:cNvSpPr txBox="1"/>
      </cdr:nvSpPr>
      <cdr:spPr>
        <a:xfrm xmlns:a="http://schemas.openxmlformats.org/drawingml/2006/main">
          <a:off x="15993329" y="962088"/>
          <a:ext cx="640291" cy="1592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800" b="1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Juan Carlos Soto Inoquio" id="{27F5759D-46F1-4EBA-8F45-239CAAC11E93}" userId="S::jsotoino@gmodelo.com.mx::17618363-59bb-40e5-a8ed-65f0df146899" providerId="AD"/>
  <person displayName="Jhony Otiniano Rodriguez" id="{49846EC4-7D59-481C-8115-8B1002262DCB}" userId="S::jhony.otiniano@modelo.gmodelo.com.mx::7a56f555-747d-4edd-aacb-eb69f8fc240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D069F-7DA0-4018-AD5A-CA05DFAE5B03}" name="TablaHL11121910121314252325313234291436464725384814502548505421456575825782145859142324463416421242816231827293233383941402" displayName="TablaHL11121910121314252325313234291436464725384814502548505421456575825782145859142324463416421242816231827293233383941402" ref="BD9:BJ22" totalsRowShown="0" headerRowDxfId="289" dataDxfId="288">
  <autoFilter ref="BD9:BJ22" xr:uid="{25A6D301-4ED1-4CA8-9F65-461EA212A477}"/>
  <tableColumns count="7">
    <tableColumn id="1" xr3:uid="{ACDFC5BB-F70F-4D1D-8D5B-D5869ECD2834}" name="COD" dataDxfId="287"/>
    <tableColumn id="2" xr3:uid="{386155B8-1C4D-408A-90E6-0162960F3B0A}" name="DESCRIP." dataDxfId="286"/>
    <tableColumn id="4" xr3:uid="{876B46D7-397F-4154-8C03-09AD7F8C5E74}" name="DESCRIPCION" dataDxfId="285"/>
    <tableColumn id="3" xr3:uid="{2F853B6C-830D-4F7B-83E1-F77F418FF592}" name="HL x CA" dataDxfId="284">
      <calculatedColumnFormula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calculatedColumnFormula>
    </tableColumn>
    <tableColumn id="5" xr3:uid="{8A6153B5-2B83-4CD7-B5EF-D910FF5D8D61}" name="UN x CA" dataDxfId="283"/>
    <tableColumn id="6" xr3:uid="{958EE0A6-EC8E-43C2-A1BE-16D09BE637A6}" name="CAPACIDAD" dataDxfId="282"/>
    <tableColumn id="7" xr3:uid="{D3D2630E-5D6F-4C94-89C4-FAB8184400FD}" name="CATEGORIA" dataDxfId="28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10" dT="2026-01-31T13:34:08.15" personId="{27F5759D-46F1-4EBA-8F45-239CAAC11E93}" id="{FBA6AB61-B5FA-4EAB-ACE5-C3C24FCFFB41}">
    <text>14616</text>
  </threadedComment>
  <threadedComment ref="E11" dT="2026-01-31T13:34:23.51" personId="{27F5759D-46F1-4EBA-8F45-239CAAC11E93}" id="{1115DCC1-0F55-4293-9827-870BCB7708FE}">
    <text>18312</text>
  </threadedComment>
  <threadedComment ref="E21" dT="2026-02-03T17:10:43.02" personId="{27F5759D-46F1-4EBA-8F45-239CAAC11E93}" id="{6065CF84-1E99-44AF-940D-C1F2F367546E}">
    <text>6096</text>
  </threadedComment>
</ThreadedComment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.xml"/><Relationship Id="rId1" Type="http://schemas.openxmlformats.org/officeDocument/2006/relationships/hyperlink" Target="mailto:JORGEMEDINA24@HOTMAIL.COM" TargetMode="External"/><Relationship Id="rId6" Type="http://schemas.microsoft.com/office/2017/10/relationships/threadedComment" Target="../threadedComments/threadedComment7.xml"/><Relationship Id="rId5" Type="http://schemas.openxmlformats.org/officeDocument/2006/relationships/comments" Target="../comments10.xml"/><Relationship Id="rId4" Type="http://schemas.openxmlformats.org/officeDocument/2006/relationships/table" Target="../tables/table1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C03E-7ABF-49B6-9A39-80850AAB10A7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B12C-0158-4C43-8001-9AD2A45B09D8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3EE7-020D-4D33-8169-3D064AE56E10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CC19-FB10-48D4-B288-948AA002A903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9B68-8689-433F-85C6-FBEC55EE398C}">
  <dimension ref="A1"/>
  <sheetViews>
    <sheetView workbookViewId="0">
      <selection activeCell="I25" sqref="I25"/>
    </sheetView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E57C-9784-4C9A-86FE-87F29783954F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A5A1-B6CD-4D10-8813-1B3EED78DDED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5F08-F05D-41C9-AAE8-AB380BA81047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6E7C-56B4-498C-A82F-DD8A29C5FD63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AD2D-1472-4535-AF16-28A20670FF84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5581-ABD7-479D-A4DD-DCFA20E26F15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84C-001B-4E82-85AD-AFA9D738AAE4}">
  <dimension ref="A1"/>
  <sheetViews>
    <sheetView workbookViewId="0"/>
  </sheetViews>
  <sheetFormatPr baseColWidth="10" defaultColWidth="8.7109375" defaultRowHeight="12.7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489A-E2D8-401C-9343-E14454BD3CA2}">
  <dimension ref="A1"/>
  <sheetViews>
    <sheetView topLeftCell="A18" workbookViewId="0"/>
  </sheetViews>
  <sheetFormatPr baseColWidth="10" defaultColWidth="8.7109375" defaultRowHeight="12.7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B6771-860F-4DBE-87F2-4E886645D23F}">
  <sheetPr>
    <tabColor rgb="FFFFC000"/>
  </sheetPr>
  <dimension ref="A1:BP100"/>
  <sheetViews>
    <sheetView showGridLines="0" topLeftCell="A6" zoomScale="50" zoomScaleNormal="50" workbookViewId="0">
      <selection activeCell="J48" sqref="J48"/>
    </sheetView>
  </sheetViews>
  <sheetFormatPr baseColWidth="10" defaultColWidth="11.42578125" defaultRowHeight="12.75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8.5703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5.42578125" style="10" customWidth="1"/>
    <col min="18" max="18" width="13.5703125" style="10" customWidth="1"/>
    <col min="19" max="19" width="8" style="10" customWidth="1"/>
    <col min="20" max="20" width="10.42578125" style="10" bestFit="1" customWidth="1"/>
    <col min="21" max="21" width="12.5703125" style="10" customWidth="1"/>
    <col min="22" max="23" width="9.140625" style="10"/>
    <col min="24" max="24" width="10.42578125" style="10" customWidth="1"/>
    <col min="25" max="25" width="9.140625" style="10"/>
    <col min="26" max="26" width="5.7109375" style="10" customWidth="1" collapsed="1"/>
    <col min="27" max="68" width="11.42578125" style="10"/>
  </cols>
  <sheetData>
    <row r="1" spans="1:68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48</v>
      </c>
      <c r="K3" s="4"/>
      <c r="L3" s="7"/>
      <c r="M3" s="7"/>
      <c r="N3" s="7"/>
      <c r="O3" s="7"/>
      <c r="P3" s="7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5" spans="1:68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24/11/YYYY al 30/11/YYYY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">
      <c r="B6" s="11" t="s">
        <v>2</v>
      </c>
      <c r="C6" s="11" t="s">
        <v>3</v>
      </c>
      <c r="D6" s="12">
        <v>2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</row>
    <row r="7" spans="1:68" ht="31.5" x14ac:dyDescent="0.2">
      <c r="A7" s="13"/>
      <c r="B7" s="997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1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8.75" x14ac:dyDescent="0.2">
      <c r="A8" s="13"/>
      <c r="B8" s="998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174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215" t="s">
        <v>6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215" t="s">
        <v>9</v>
      </c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</row>
    <row r="9" spans="1:68" ht="15.75" x14ac:dyDescent="0.25">
      <c r="A9" s="13"/>
      <c r="B9" s="216">
        <v>45985</v>
      </c>
      <c r="C9" s="87" t="s">
        <v>10</v>
      </c>
      <c r="D9" s="175"/>
      <c r="E9" s="134">
        <v>16500</v>
      </c>
      <c r="F9" s="136">
        <v>1564</v>
      </c>
      <c r="G9" s="136" t="s">
        <v>11</v>
      </c>
      <c r="H9" s="229">
        <v>16128</v>
      </c>
      <c r="I9" s="136">
        <v>1564</v>
      </c>
      <c r="J9" s="136" t="s">
        <v>11</v>
      </c>
      <c r="K9" s="147">
        <v>30000</v>
      </c>
      <c r="L9" s="136">
        <v>1564</v>
      </c>
      <c r="M9" s="136" t="s">
        <v>11</v>
      </c>
      <c r="N9" s="234">
        <v>29064</v>
      </c>
      <c r="O9" s="136">
        <v>1564</v>
      </c>
      <c r="P9" s="136" t="s">
        <v>11</v>
      </c>
      <c r="Q9" s="178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/>
      <c r="AB9" s="74"/>
      <c r="AC9" s="74"/>
      <c r="AD9" s="79" t="s">
        <v>7</v>
      </c>
      <c r="AE9" s="79" t="s">
        <v>8</v>
      </c>
      <c r="AF9" s="80">
        <f>B9</f>
        <v>45985</v>
      </c>
      <c r="AG9" s="80">
        <f>B12</f>
        <v>45986</v>
      </c>
      <c r="AH9" s="80">
        <f>B15</f>
        <v>45987</v>
      </c>
      <c r="AI9" s="80">
        <f>B18</f>
        <v>45988</v>
      </c>
      <c r="AJ9" s="80">
        <f>B21</f>
        <v>45989</v>
      </c>
      <c r="AK9" s="80">
        <f>B24</f>
        <v>45990</v>
      </c>
      <c r="AL9" s="80">
        <f>B27</f>
        <v>45991</v>
      </c>
      <c r="AM9" s="79" t="s">
        <v>17</v>
      </c>
      <c r="AN9" s="74"/>
      <c r="AO9" s="79" t="s">
        <v>7</v>
      </c>
      <c r="AP9" s="79" t="s">
        <v>8</v>
      </c>
      <c r="AQ9" s="80">
        <f>AF9</f>
        <v>45985</v>
      </c>
      <c r="AR9" s="80">
        <f t="shared" ref="AR9:AW9" si="0">AG9</f>
        <v>45986</v>
      </c>
      <c r="AS9" s="80">
        <f t="shared" si="0"/>
        <v>45987</v>
      </c>
      <c r="AT9" s="80">
        <f t="shared" si="0"/>
        <v>45988</v>
      </c>
      <c r="AU9" s="80">
        <f t="shared" si="0"/>
        <v>45989</v>
      </c>
      <c r="AV9" s="80">
        <f t="shared" si="0"/>
        <v>45990</v>
      </c>
      <c r="AW9" s="80">
        <f t="shared" si="0"/>
        <v>45991</v>
      </c>
      <c r="AX9" s="79" t="s">
        <v>17</v>
      </c>
      <c r="AY9" s="74"/>
      <c r="AZ9" s="74"/>
      <c r="BA9" s="74"/>
      <c r="BB9" s="74"/>
    </row>
    <row r="10" spans="1:68" ht="15" x14ac:dyDescent="0.25">
      <c r="A10" s="13"/>
      <c r="B10" s="216" t="s">
        <v>18</v>
      </c>
      <c r="C10" s="85" t="s">
        <v>19</v>
      </c>
      <c r="D10" s="179"/>
      <c r="E10" s="147">
        <v>16500</v>
      </c>
      <c r="F10" s="138">
        <v>1564</v>
      </c>
      <c r="G10" s="138" t="s">
        <v>11</v>
      </c>
      <c r="H10" s="235">
        <v>17640</v>
      </c>
      <c r="I10" s="138">
        <v>1564</v>
      </c>
      <c r="J10" s="138" t="s">
        <v>11</v>
      </c>
      <c r="K10" s="147">
        <v>5000</v>
      </c>
      <c r="L10" s="136">
        <v>1564</v>
      </c>
      <c r="M10" s="136" t="s">
        <v>11</v>
      </c>
      <c r="N10" s="236">
        <v>14871</v>
      </c>
      <c r="O10" s="136">
        <v>1564</v>
      </c>
      <c r="P10" s="136" t="s">
        <v>11</v>
      </c>
      <c r="Q10" s="181"/>
      <c r="R10" s="81"/>
      <c r="S10" s="94">
        <v>1564</v>
      </c>
      <c r="T10" s="95" t="s">
        <v>11</v>
      </c>
      <c r="U10" s="96">
        <f>SUMIF($F$9:$F$29,S10,$E$9:$E$29)</f>
        <v>210000</v>
      </c>
      <c r="V10" s="96">
        <f>SUMIF($M$9:$M$29,T10,$K$9:$K$29)</f>
        <v>260000</v>
      </c>
      <c r="W10" s="96">
        <f t="shared" ref="W10:W16" si="1">SUM(U10:V10)</f>
        <v>470000</v>
      </c>
      <c r="X10" s="96">
        <f>(SUMIF($J$9:$J$29,T10,$H$9:$H$29))+(SUMIF($P$9:$P$29,T10,$N$9:$N$29))</f>
        <v>476114</v>
      </c>
      <c r="Y10" s="96">
        <f>+W10-X10</f>
        <v>-6114</v>
      </c>
      <c r="Z10" s="74"/>
      <c r="AA10" s="74"/>
      <c r="AB10" s="74"/>
      <c r="AC10" s="74"/>
      <c r="AD10" s="76">
        <v>1564</v>
      </c>
      <c r="AE10" s="76" t="s">
        <v>11</v>
      </c>
      <c r="AF10" s="82">
        <f>SUMIF($F$9:$F$11,$AD10,$E$9:$E$11)+SUMIF($I$9:$I$11,$AD10,$H$9:$H$11)+SUMIF($L$9:$L$11,$AD10,$K$9:$K$11)+SUMIF($O$9:$O$11,$AD10,$N$9:$N$11)</f>
        <v>175811</v>
      </c>
      <c r="AG10" s="82">
        <f>SUMIF($F$12:$F$14,$AD10,$E$12:$E$14)+SUMIF($I$12:$I$14,$AD10,$H$12:$H$14)+SUMIF($L$12:$L$14,$AD10,$K$12:$K$14)+SUMIF($O$12:$O$14,$AD10,$N$12:$N$14)</f>
        <v>87144</v>
      </c>
      <c r="AH10" s="82">
        <f>SUMIF($F$15:$F$17,$AD10,$E$15:$E$17)+SUMIF($I$15:$I$17,$AD10,$H$15:$H$17)+SUMIF($L$15:$L$17,$AD10,$K$15:$K$17)+SUMIF($O$15:$O$17,$AD10,$N$15:$N$17)</f>
        <v>0</v>
      </c>
      <c r="AI10" s="82">
        <f>SUMIF($F$18:$F$20,$AD10,$E$18:$E$20)+SUMIF($I$18:$I$20,$AD10,$H$18:$H$20)+SUMIF($L$18:$L$20,$AD10,$K$18:$K$20)+SUMIF($O$18:$O$20,$AD10,$N$18:$N$20)</f>
        <v>0</v>
      </c>
      <c r="AJ10" s="82">
        <f>SUMIF($F$21:$F$23,$AD10,$E$21:$E$23)+SUMIF($I$21:$I$23,$AD10,$H$21:$H$23)+SUMIF($L$21:$L$23,$AD10,$K$21:$K$23)+SUMIF($O$21:$O$23,$AD10,$N$21:$N$23)</f>
        <v>123996</v>
      </c>
      <c r="AK10" s="82">
        <f>SUMIF($F$24:$F$26,$AD10,$E$24:$E$26)+SUMIF($I$24:$I$26,$AD10,$H$24:$H$26)+SUMIF($L$24:$L$26,$AD10,$K$24:$K$26)+SUMIF($O$24:$O$26,$AD10,$N$24:$N$26)</f>
        <v>272663</v>
      </c>
      <c r="AL10" s="82">
        <f>SUMIF($F$27:$F$29,$AD10,$E$27:$E$29)+SUMIF($I$27:$I$29,$AD10,$H$27:$H$29)+SUMIF($L$27:$L$29,$AD10,$K$27:$K$29)+SUMIF($O$27:$O$29,$AD10,$N$27:$N$29)</f>
        <v>286500</v>
      </c>
      <c r="AM10" s="83">
        <f>SUM(AF10:AL10)</f>
        <v>946114</v>
      </c>
      <c r="AN10" s="74"/>
      <c r="AO10" s="76">
        <v>1564</v>
      </c>
      <c r="AP10" s="76" t="s">
        <v>11</v>
      </c>
      <c r="AQ10" s="185">
        <f>SUMIF($I$9:$I$11,$AO10,$H$9:$H$11)+SUMIF($F$9:$F$11,$AO10,$E$9:$E$11)</f>
        <v>96876</v>
      </c>
      <c r="AR10" s="185">
        <f>SUMIF($I$12:$I$14,$AO10,$H$12:$H$14)+SUMIF($F$12:$F$14,$AO10,$E$12:$E$14)</f>
        <v>87144</v>
      </c>
      <c r="AS10" s="185">
        <f>SUMIF($I$15:$I$17,$AO10,$H$15:$H$17)+SUMIF($F$15:$F$17,$AO10,$E$15:$E$17)</f>
        <v>0</v>
      </c>
      <c r="AT10" s="185">
        <f>SUMIF($I$18:$I$20,$AO10,$H$18:$H$20)+SUMIF($F$18:$F$20,$AO10,$E$18:$E$20)</f>
        <v>0</v>
      </c>
      <c r="AU10" s="185">
        <f>SUMIF($I$21:$I$23,$AO10,$H$21:$H$23)+SUMIF($F$21:$F$23,$AO10,$E$21:$E$23)</f>
        <v>31452</v>
      </c>
      <c r="AV10" s="185">
        <f>SUMIF($I$24:$I$26,$AO10,$H$24:$H$26)+SUMIF($F$24:$F$26,$AO10,$E$24:$E$26)</f>
        <v>96231</v>
      </c>
      <c r="AW10" s="185">
        <f>SUMIF($I$27:$I$29,$AO10,$H$27:$H$29)+SUMIF($F$27:$F$29,$AO10,$E$27:$E$29)</f>
        <v>100500</v>
      </c>
      <c r="AX10" s="220">
        <f>SUM(AQ10:AW10)</f>
        <v>412203</v>
      </c>
      <c r="AY10" s="74"/>
      <c r="AZ10" s="74"/>
      <c r="BA10" s="74"/>
      <c r="BB10" s="74"/>
    </row>
    <row r="11" spans="1:68" ht="15" x14ac:dyDescent="0.25">
      <c r="A11" s="13"/>
      <c r="B11" s="221"/>
      <c r="C11" s="86" t="s">
        <v>20</v>
      </c>
      <c r="D11" s="182"/>
      <c r="E11" s="148">
        <v>16500</v>
      </c>
      <c r="F11" s="141">
        <v>1564</v>
      </c>
      <c r="G11" s="141" t="s">
        <v>11</v>
      </c>
      <c r="H11" s="237">
        <v>13608</v>
      </c>
      <c r="I11" s="141">
        <v>1564</v>
      </c>
      <c r="J11" s="141" t="s">
        <v>11</v>
      </c>
      <c r="K11" s="148">
        <v>27000</v>
      </c>
      <c r="L11" s="254">
        <v>6843</v>
      </c>
      <c r="M11" s="254" t="s">
        <v>21</v>
      </c>
      <c r="N11" s="238">
        <f>15792+7056</f>
        <v>22848</v>
      </c>
      <c r="O11" s="254">
        <v>6843</v>
      </c>
      <c r="P11" s="254" t="s">
        <v>21</v>
      </c>
      <c r="Q11" s="184"/>
      <c r="R11" s="81"/>
      <c r="S11" s="97">
        <v>2395</v>
      </c>
      <c r="T11" s="98" t="s">
        <v>22</v>
      </c>
      <c r="U11" s="99">
        <f>SUMIF($F$9:$F$29,S11,$E$9:$E$29)</f>
        <v>99000</v>
      </c>
      <c r="V11" s="99">
        <f>SUMIF($M$9:$M$29,S11,$L$9:$L$29)+SUMIF($P$9:$P$29,S11,$O$9:$O$29)</f>
        <v>0</v>
      </c>
      <c r="W11" s="99">
        <f t="shared" si="1"/>
        <v>99000</v>
      </c>
      <c r="X11" s="99">
        <f>SUMIF($J$9:$J$29,T11,$H$9:$H$29)</f>
        <v>89958</v>
      </c>
      <c r="Y11" s="99">
        <f>+W11-X11</f>
        <v>9042</v>
      </c>
      <c r="Z11" s="74"/>
      <c r="AA11" s="185"/>
      <c r="AB11" s="74"/>
      <c r="AC11" s="74"/>
      <c r="AD11" s="76">
        <v>2395</v>
      </c>
      <c r="AE11" s="76" t="s">
        <v>22</v>
      </c>
      <c r="AF11" s="82">
        <f>SUMIF($F$9:$F$11,$AD11,$E$9:$E$11)+SUMIF($I$9:$I$11,$AD11,$H$9:$H$11)+SUMIF($L$9:$L$11,$AD11,$K$9:$K$11)+SUMIF($O$9:$O$11,$AD11,$N$9:$N$11)</f>
        <v>0</v>
      </c>
      <c r="AG11" s="82">
        <f>SUMIF($F$12:$F$14,$AD11,$E$12:$E$14)+SUMIF($I$12:$I$14,$AD11,$H$12:$H$14)+SUMIF($L$12:$L$14,$AD11,$K$12:$K$14)+SUMIF($O$12:$O$14,$AD11,$N$12:$N$14)</f>
        <v>0</v>
      </c>
      <c r="AH11" s="82">
        <f>SUMIF($F$15:$F$17,$AD11,$E$15:$E$17)+SUMIF($I$15:$I$17,$AD11,$H$15:$H$17)+SUMIF($L$15:$L$17,$AD11,$K$15:$K$17)+SUMIF($O$15:$O$17,$AD11,$N$15:$N$17)</f>
        <v>36660</v>
      </c>
      <c r="AI11" s="82">
        <f>SUMIF($F$18:$F$20,$AD11,$E$18:$E$20)+SUMIF($I$18:$I$20,$AD11,$H$18:$H$20)+SUMIF($L$18:$L$20,$AD11,$K$18:$K$20)+SUMIF($O$18:$O$20,$AD11,$N$18:$N$20)</f>
        <v>94860</v>
      </c>
      <c r="AJ11" s="82">
        <f>SUMIF($F$21:$F$23,$AD11,$E$21:$E$23)+SUMIF($I$21:$I$23,$AD11,$H$21:$H$23)+SUMIF($L$21:$L$23,$AD11,$K$21:$K$23)+SUMIF($O$21:$O$23,$AD11,$N$21:$N$23)</f>
        <v>57438</v>
      </c>
      <c r="AK11" s="82">
        <f>SUMIF($F$24:$F$26,$AD11,$E$24:$E$26)+SUMIF($I$24:$I$26,$AD11,$H$24:$H$26)+SUMIF($L$24:$L$26,$AD11,$K$24:$K$26)+SUMIF($O$24:$O$26,$AD11,$N$24:$N$26)</f>
        <v>0</v>
      </c>
      <c r="AL11" s="82">
        <f>SUMIF($F$27:$F$29,$AD11,$E$27:$E$29)+SUMIF($I$27:$I$29,$AD11,$H$27:$H$29)+SUMIF($L$27:$L$29,$AD11,$K$27:$K$29)+SUMIF($O$27:$O$29,$AD11,$N$27:$N$29)</f>
        <v>0</v>
      </c>
      <c r="AM11" s="83">
        <f t="shared" ref="AM11:AM12" si="2">SUM(AF11:AL11)</f>
        <v>188958</v>
      </c>
      <c r="AN11" s="74"/>
      <c r="AO11" s="76">
        <v>2395</v>
      </c>
      <c r="AP11" s="76" t="s">
        <v>22</v>
      </c>
      <c r="AQ11" s="185">
        <f t="shared" ref="AQ11" si="3">SUMIF($I$9:$I$11,$AO11,$H$9:$H$11)+SUMIF($F$9:$F$11,$AO11,$E$9:$E$11)</f>
        <v>0</v>
      </c>
      <c r="AR11" s="185">
        <f>SUMIF($I$12:$I$14,$AO11,$H$12:$H$14)+SUMIF($F$12:$F$14,$AO11,$E$12:$E$14)</f>
        <v>0</v>
      </c>
      <c r="AS11" s="185">
        <f>SUMIF($I$15:$I$17,$AO11,$H$15:$H$17)+SUMIF($F$15:$F$17,$AO11,$E$15:$E$17)</f>
        <v>36660</v>
      </c>
      <c r="AT11" s="185">
        <f>SUMIF($I$18:$I$20,$AO11,$H$18:$H$20)+SUMIF($F$18:$F$20,$AO11,$E$18:$E$20)</f>
        <v>94860</v>
      </c>
      <c r="AU11" s="185">
        <f>SUMIF($I$21:$I$23,$AO11,$H$21:$H$23)+SUMIF($F$21:$F$23,$AO11,$E$21:$E$23)</f>
        <v>57438</v>
      </c>
      <c r="AV11" s="185">
        <f>SUMIF($I$24:$I$26,$AO11,$H$24:$H$26)+SUMIF($F$24:$F$26,$AO11,$E$24:$E$26)</f>
        <v>0</v>
      </c>
      <c r="AW11" s="185">
        <f>SUMIF($I$27:$I$29,$AO11,$H$27:$H$29)+SUMIF($F$27:$F$29,$AO11,$E$27:$E$29)</f>
        <v>0</v>
      </c>
      <c r="AX11" s="220">
        <f t="shared" ref="AX11" si="4">SUM(AQ11:AW11)</f>
        <v>188958</v>
      </c>
      <c r="AY11" s="74"/>
      <c r="AZ11" s="74"/>
      <c r="BA11" s="74"/>
      <c r="BB11" s="74"/>
    </row>
    <row r="12" spans="1:68" ht="15" x14ac:dyDescent="0.25">
      <c r="A12" s="13"/>
      <c r="B12" s="216">
        <f>+B9+1</f>
        <v>45986</v>
      </c>
      <c r="C12" s="87" t="s">
        <v>10</v>
      </c>
      <c r="D12" s="175"/>
      <c r="E12" s="134">
        <v>16500</v>
      </c>
      <c r="F12" s="138">
        <v>1564</v>
      </c>
      <c r="G12" s="138" t="s">
        <v>11</v>
      </c>
      <c r="H12" s="231">
        <v>12936</v>
      </c>
      <c r="I12" s="138">
        <v>1564</v>
      </c>
      <c r="J12" s="138" t="s">
        <v>11</v>
      </c>
      <c r="K12" s="134">
        <v>27000</v>
      </c>
      <c r="L12" s="258">
        <v>6843</v>
      </c>
      <c r="M12" s="258" t="s">
        <v>21</v>
      </c>
      <c r="N12" s="229">
        <v>25536</v>
      </c>
      <c r="O12" s="258">
        <v>6843</v>
      </c>
      <c r="P12" s="258" t="s">
        <v>21</v>
      </c>
      <c r="Q12" s="178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133545</v>
      </c>
      <c r="W12" s="102">
        <f t="shared" si="1"/>
        <v>133545</v>
      </c>
      <c r="X12" s="102">
        <f>SUMIF($P$9:$P$29,T12,$N$9:$N$29)</f>
        <v>133338</v>
      </c>
      <c r="Y12" s="102">
        <f>+W12-X12</f>
        <v>207</v>
      </c>
      <c r="Z12" s="74"/>
      <c r="AA12" s="74"/>
      <c r="AB12" s="74"/>
      <c r="AC12" s="74"/>
      <c r="AD12" s="76">
        <v>2821</v>
      </c>
      <c r="AE12" s="76" t="s">
        <v>23</v>
      </c>
      <c r="AF12" s="82">
        <f>SUMIF($F$9:$F$11,$AD12,$E$9:$E$11)+SUMIF($I$9:$I$11,$AD12,$H$9:$H$11)+SUMIF($L$9:$L$11,$AD12,$K$9:$K$11)+SUMIF($O$9:$O$11,$AD12,$N$9:$N$11)</f>
        <v>0</v>
      </c>
      <c r="AG12" s="82">
        <f>SUMIF($F$12:$F$14,$AD12,$E$12:$E$14)+SUMIF($I$12:$I$14,$AD12,$H$12:$H$14)+SUMIF($L$12:$L$14,$AD12,$K$12:$K$14)+SUMIF($O$12:$O$14,$AD12,$N$12:$N$14)</f>
        <v>0</v>
      </c>
      <c r="AH12" s="82">
        <f>SUMIF($F$15:$F$17,$AD12,$E$15:$E$17)+SUMIF($I$15:$I$17,$AD12,$H$15:$H$17)+SUMIF($L$15:$L$17,$AD12,$K$15:$K$17)+SUMIF($O$15:$O$17,$AD12,$N$15:$N$17)</f>
        <v>168726</v>
      </c>
      <c r="AI12" s="82">
        <f>SUMIF($F$18:$F$20,$AD12,$E$18:$E$20)+SUMIF($I$18:$I$20,$AD12,$H$18:$H$20)+SUMIF($L$18:$L$20,$AD12,$K$18:$K$20)+SUMIF($O$18:$O$20,$AD12,$N$18:$N$20)</f>
        <v>36393</v>
      </c>
      <c r="AJ12" s="82">
        <f>SUMIF($F$21:$F$23,$AD12,$E$21:$E$23)+SUMIF($I$21:$I$23,$AD12,$H$21:$H$23)+SUMIF($L$21:$L$23,$AD12,$K$21:$K$23)+SUMIF($O$21:$O$23,$AD12,$N$21:$N$23)</f>
        <v>61764</v>
      </c>
      <c r="AK12" s="82">
        <f>SUMIF($F$24:$F$26,$AD12,$E$24:$E$26)+SUMIF($I$24:$I$26,$AD12,$H$24:$H$26)+SUMIF($L$24:$L$26,$AD12,$K$24:$K$26)+SUMIF($O$24:$O$26,$AD12,$N$24:$N$26)</f>
        <v>0</v>
      </c>
      <c r="AL12" s="82">
        <f>SUMIF($F$27:$F$29,$AD12,$E$27:$E$29)+SUMIF($I$27:$I$29,$AD12,$H$27:$H$29)+SUMIF($L$27:$L$29,$AD12,$K$27:$K$29)+SUMIF($O$27:$O$29,$AD12,$N$27:$N$29)</f>
        <v>0</v>
      </c>
      <c r="AM12" s="83">
        <f t="shared" si="2"/>
        <v>266883</v>
      </c>
      <c r="AN12" s="74"/>
      <c r="AO12" s="74"/>
      <c r="AP12" s="74"/>
      <c r="AQ12" s="185">
        <f>SUM(AQ10:AQ11)</f>
        <v>96876</v>
      </c>
      <c r="AR12" s="185">
        <f t="shared" ref="AR12:AX12" si="5">SUM(AR10:AR11)</f>
        <v>87144</v>
      </c>
      <c r="AS12" s="185">
        <f t="shared" si="5"/>
        <v>36660</v>
      </c>
      <c r="AT12" s="185">
        <f t="shared" si="5"/>
        <v>94860</v>
      </c>
      <c r="AU12" s="185">
        <f t="shared" si="5"/>
        <v>88890</v>
      </c>
      <c r="AV12" s="185">
        <f t="shared" si="5"/>
        <v>96231</v>
      </c>
      <c r="AW12" s="185">
        <f t="shared" si="5"/>
        <v>100500</v>
      </c>
      <c r="AX12" s="220">
        <f t="shared" si="5"/>
        <v>601161</v>
      </c>
      <c r="AY12" s="74"/>
      <c r="AZ12" s="74"/>
      <c r="BA12" s="74"/>
      <c r="BB12" s="74"/>
    </row>
    <row r="13" spans="1:68" ht="15" x14ac:dyDescent="0.25">
      <c r="A13" s="13"/>
      <c r="B13" s="216" t="s">
        <v>24</v>
      </c>
      <c r="C13" s="85" t="s">
        <v>19</v>
      </c>
      <c r="D13" s="179"/>
      <c r="E13" s="134">
        <v>16500</v>
      </c>
      <c r="F13" s="138">
        <v>1564</v>
      </c>
      <c r="G13" s="138" t="s">
        <v>11</v>
      </c>
      <c r="H13" s="235">
        <v>14952</v>
      </c>
      <c r="I13" s="138">
        <v>1564</v>
      </c>
      <c r="J13" s="138" t="s">
        <v>11</v>
      </c>
      <c r="K13" s="147">
        <v>27000</v>
      </c>
      <c r="L13" s="258">
        <v>6843</v>
      </c>
      <c r="M13" s="258" t="s">
        <v>21</v>
      </c>
      <c r="N13" s="235">
        <v>28056</v>
      </c>
      <c r="O13" s="258">
        <v>6843</v>
      </c>
      <c r="P13" s="258" t="s">
        <v>21</v>
      </c>
      <c r="Q13" s="181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1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6">
        <v>6843</v>
      </c>
      <c r="AE13" s="76" t="s">
        <v>26</v>
      </c>
      <c r="AF13" s="82">
        <f>SUMIF($F$9:$F$11,$AD13,$E$9:$E$11)+SUMIF($I$9:$I$11,$AD13,$H$9:$H$11)+SUMIF($L$9:$L$11,$AD13,$K$9:$K$11)+SUMIF($O$9:$O$11,$AD13,$N$9:$N$11)</f>
        <v>49848</v>
      </c>
      <c r="AG13" s="82">
        <f>SUMIF($F$12:$F$14,$AD13,$E$12:$E$14)+SUMIF($I$12:$I$14,$AD13,$H$12:$H$14)+SUMIF($L$12:$L$14,$AD13,$K$12:$K$14)+SUMIF($O$12:$O$14,$AD13,$N$12:$N$14)</f>
        <v>141363</v>
      </c>
      <c r="AH13" s="82">
        <f>SUMIF($F$15:$F$17,$AD13,$E$15:$E$17)+SUMIF($I$15:$I$17,$AD13,$H$15:$H$17)+SUMIF($L$15:$L$17,$AD13,$K$15:$K$17)+SUMIF($O$15:$O$17,$AD13,$N$15:$N$17)</f>
        <v>0</v>
      </c>
      <c r="AI13" s="82">
        <f>SUMIF($F$18:$F$20,$AD13,$E$18:$E$20)+SUMIF($I$18:$I$20,$AD13,$H$18:$H$20)+SUMIF($L$18:$L$20,$AD13,$K$18:$K$20)+SUMIF($O$18:$O$20,$AD13,$N$18:$N$20)</f>
        <v>0</v>
      </c>
      <c r="AJ13" s="82">
        <f>SUMIF($F$21:$F$23,$AD13,$E$21:$E$23)+SUMIF($I$21:$I$23,$AD13,$H$21:$H$23)+SUMIF($L$21:$L$23,$AD13,$K$21:$K$23)+SUMIF($O$21:$O$23,$AD13,$N$21:$N$23)</f>
        <v>0</v>
      </c>
      <c r="AK13" s="82">
        <f>SUMIF($F$24:$F$26,$AD13,$E$24:$E$26)+SUMIF($I$24:$I$26,$AD13,$H$24:$H$26)+SUMIF($L$24:$L$26,$AD13,$K$24:$K$26)+SUMIF($O$24:$O$26,$AD13,$N$24:$N$26)</f>
        <v>0</v>
      </c>
      <c r="AL13" s="82">
        <f>SUMIF($F$27:$F$29,$AD13,$E$27:$E$29)+SUMIF($I$27:$I$29,$AD13,$H$27:$H$29)+SUMIF($L$27:$L$29,$AD13,$K$27:$K$29)+SUMIF($O$27:$O$29,$AD13,$N$27:$N$29)</f>
        <v>0</v>
      </c>
      <c r="AM13" s="83">
        <f>SUM(AF13:AL13)</f>
        <v>191211</v>
      </c>
      <c r="AN13" s="74"/>
      <c r="AO13" s="215" t="s">
        <v>27</v>
      </c>
      <c r="AP13" s="74"/>
      <c r="AQ13" s="74"/>
      <c r="AR13" s="74"/>
      <c r="AS13" s="74"/>
      <c r="AT13" s="74"/>
      <c r="AU13" s="74"/>
      <c r="AV13" s="74"/>
      <c r="AW13" s="74"/>
      <c r="AX13" s="83"/>
      <c r="AY13" s="74"/>
      <c r="AZ13" s="74"/>
      <c r="BA13" s="74"/>
      <c r="BB13" s="74"/>
    </row>
    <row r="14" spans="1:68" ht="15" x14ac:dyDescent="0.25">
      <c r="A14" s="13"/>
      <c r="B14" s="221"/>
      <c r="C14" s="86" t="s">
        <v>20</v>
      </c>
      <c r="D14" s="182"/>
      <c r="E14" s="148">
        <v>12000</v>
      </c>
      <c r="F14" s="141">
        <v>1564</v>
      </c>
      <c r="G14" s="141" t="s">
        <v>11</v>
      </c>
      <c r="H14" s="237">
        <v>14256</v>
      </c>
      <c r="I14" s="141">
        <v>1564</v>
      </c>
      <c r="J14" s="141" t="s">
        <v>11</v>
      </c>
      <c r="K14" s="148">
        <v>9965</v>
      </c>
      <c r="L14" s="255">
        <v>6843</v>
      </c>
      <c r="M14" s="255" t="s">
        <v>21</v>
      </c>
      <c r="N14" s="238">
        <v>23806</v>
      </c>
      <c r="O14" s="255">
        <v>6843</v>
      </c>
      <c r="P14" s="255" t="s">
        <v>21</v>
      </c>
      <c r="Q14" s="184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1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6">
        <v>6842</v>
      </c>
      <c r="AE14" s="76" t="s">
        <v>29</v>
      </c>
      <c r="AF14" s="82">
        <f>SUMIF($F$9:$F$11,$AD14,$E$9:$E$11)+SUMIF($I$9:$I$11,$AD14,$H$9:$H$11)+SUMIF($L$9:$L$11,$AD14,$K$9:$K$11)+SUMIF($O$9:$O$11,$AD14,$N$9:$N$11)</f>
        <v>0</v>
      </c>
      <c r="AG14" s="82">
        <f>SUMIF($F$12:$F$14,$AD14,$E$12:$E$14)+SUMIF($I$12:$I$14,$AD14,$H$12:$H$14)+SUMIF($L$12:$L$14,$AD14,$K$12:$K$14)+SUMIF($O$12:$O$14,$AD14,$N$12:$N$14)</f>
        <v>0</v>
      </c>
      <c r="AH14" s="82">
        <f>SUMIF($F$15:$F$17,$AD14,$E$15:$E$17)+SUMIF($I$15:$I$17,$AD14,$H$15:$H$17)+SUMIF($L$15:$L$17,$AD14,$K$15:$K$17)+SUMIF($O$15:$O$17,$AD14,$N$15:$N$17)</f>
        <v>0</v>
      </c>
      <c r="AI14" s="82">
        <f>SUMIF($F$18:$F$20,$AD14,$E$18:$E$20)+SUMIF($I$18:$I$20,$AD14,$H$18:$H$20)+SUMIF($L$18:$L$20,$AD14,$K$18:$K$20)+SUMIF($O$18:$O$20,$AD14,$N$18:$N$20)</f>
        <v>0</v>
      </c>
      <c r="AJ14" s="82">
        <f>SUMIF($F$21:$F$23,$AD14,$E$21:$E$23)+SUMIF($I$21:$I$23,$AD14,$H$21:$H$23)+SUMIF($L$21:$L$23,$AD14,$K$21:$K$23)+SUMIF($O$21:$O$23,$AD14,$N$21:$N$23)</f>
        <v>0</v>
      </c>
      <c r="AK14" s="82">
        <f>SUMIF($F$24:$F$26,$AD14,$E$24:$E$26)+SUMIF($I$24:$I$26,$AD14,$H$24:$H$26)+SUMIF($L$24:$L$26,$AD14,$K$24:$K$26)+SUMIF($O$24:$O$26,$AD14,$N$24:$N$26)</f>
        <v>0</v>
      </c>
      <c r="AL14" s="82">
        <f>SUMIF($F$27:$F$29,$AD14,$E$27:$E$29)+SUMIF($I$27:$I$29,$AD14,$H$27:$H$29)+SUMIF($L$27:$L$29,$AD14,$K$27:$K$29)+SUMIF($O$27:$O$29,$AD14,$N$27:$N$29)</f>
        <v>0</v>
      </c>
      <c r="AM14" s="83">
        <f>SUM(AF14:AL14)</f>
        <v>0</v>
      </c>
      <c r="AN14" s="74"/>
      <c r="AO14" s="79" t="s">
        <v>7</v>
      </c>
      <c r="AP14" s="79" t="s">
        <v>8</v>
      </c>
      <c r="AQ14" s="80">
        <f>AQ9</f>
        <v>45985</v>
      </c>
      <c r="AR14" s="80">
        <f t="shared" ref="AR14:AW14" si="6">AR9</f>
        <v>45986</v>
      </c>
      <c r="AS14" s="80">
        <f t="shared" si="6"/>
        <v>45987</v>
      </c>
      <c r="AT14" s="80">
        <f t="shared" si="6"/>
        <v>45988</v>
      </c>
      <c r="AU14" s="80">
        <f t="shared" si="6"/>
        <v>45989</v>
      </c>
      <c r="AV14" s="80">
        <f t="shared" si="6"/>
        <v>45990</v>
      </c>
      <c r="AW14" s="80">
        <f t="shared" si="6"/>
        <v>45991</v>
      </c>
      <c r="AX14" s="79" t="s">
        <v>17</v>
      </c>
      <c r="AY14" s="74"/>
      <c r="AZ14" s="74"/>
      <c r="BA14" s="74"/>
      <c r="BB14" s="74"/>
    </row>
    <row r="15" spans="1:68" ht="15" x14ac:dyDescent="0.25">
      <c r="A15" s="13"/>
      <c r="B15" s="216">
        <f>+B12+1</f>
        <v>45987</v>
      </c>
      <c r="C15" s="216" t="s">
        <v>10</v>
      </c>
      <c r="D15" s="175"/>
      <c r="E15" s="144"/>
      <c r="F15" s="144"/>
      <c r="G15" s="158" t="s">
        <v>30</v>
      </c>
      <c r="H15" s="231"/>
      <c r="I15" s="187"/>
      <c r="J15" s="177"/>
      <c r="K15" s="134">
        <v>30000</v>
      </c>
      <c r="L15" s="145">
        <v>2821</v>
      </c>
      <c r="M15" s="145" t="s">
        <v>23</v>
      </c>
      <c r="N15" s="229">
        <v>14784</v>
      </c>
      <c r="O15" s="145">
        <v>2821</v>
      </c>
      <c r="P15" s="145" t="s">
        <v>23</v>
      </c>
      <c r="Q15" s="178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>SUMIF($M$10:$M$30,S15,$L$10:$L$30)</f>
        <v>0</v>
      </c>
      <c r="W15" s="111">
        <f t="shared" si="1"/>
        <v>0</v>
      </c>
      <c r="X15" s="111">
        <f>SUMIF($Q$10:$Q$30,T15,$O$10:$O$30)</f>
        <v>0</v>
      </c>
      <c r="Y15" s="111">
        <f>+W15-X15</f>
        <v>0</v>
      </c>
      <c r="Z15" s="74"/>
      <c r="AA15" s="74"/>
      <c r="AB15" s="74"/>
      <c r="AC15" s="74"/>
      <c r="AF15" s="222">
        <f>SUM(AF10:AF14)</f>
        <v>225659</v>
      </c>
      <c r="AG15" s="222">
        <f t="shared" ref="AG15:AL15" si="7">SUM(AG10:AG14)</f>
        <v>228507</v>
      </c>
      <c r="AH15" s="222">
        <f t="shared" si="7"/>
        <v>205386</v>
      </c>
      <c r="AI15" s="222">
        <f t="shared" si="7"/>
        <v>131253</v>
      </c>
      <c r="AJ15" s="222">
        <f t="shared" si="7"/>
        <v>243198</v>
      </c>
      <c r="AK15" s="222">
        <f t="shared" si="7"/>
        <v>272663</v>
      </c>
      <c r="AL15" s="222">
        <f t="shared" si="7"/>
        <v>286500</v>
      </c>
      <c r="AM15" s="83">
        <f>SUM(AM10:AM14)</f>
        <v>1593166</v>
      </c>
      <c r="AN15" s="74"/>
      <c r="AO15" s="76">
        <v>1564</v>
      </c>
      <c r="AP15" s="76" t="s">
        <v>11</v>
      </c>
      <c r="AQ15" s="185">
        <f>SUMIF($O$9:$O$11,$AO15,$N$9:$N$11)+SUMIF($L$9:$L$11,$AO15,$K$9:$K$11)</f>
        <v>78935</v>
      </c>
      <c r="AR15" s="185">
        <f>SUMIF($O$12:$O$14,$AO15,$N$12:$N$14)+SUMIF($L$12:$L$14,$AO15,$K$12:$K$14)</f>
        <v>0</v>
      </c>
      <c r="AS15" s="185">
        <f>SUMIF($O$15:$O$17,$AO15,$N$15:$N$17)+SUMIF($L$15:$L$17,$AO15,$K$15:$K$17)</f>
        <v>0</v>
      </c>
      <c r="AT15" s="185">
        <f>SUMIF($O$18:$O$20,$AO15,$N$18:$N$20)+SUMIF($L$18:$L$20,$AO15,$K$18:$K$20)</f>
        <v>0</v>
      </c>
      <c r="AU15" s="185">
        <f>SUMIF($O$21:$O$23,$AO15,$N$21:$N$23)+SUMIF($L$21:$L$23,$AO15,$K$21:$K$23)</f>
        <v>92544</v>
      </c>
      <c r="AV15" s="185">
        <f>SUMIF($O$24:$O$26,$AO15,$N$24:$N$26)+SUMIF($L$24:$L$26,$AO15,$K$24:$K$26)</f>
        <v>176432</v>
      </c>
      <c r="AW15" s="185">
        <f>SUMIF($O$27:$O$29,$AO15,$N$27:$N$29)+SUMIF($L$27:$L$29,$AO15,$K$27:$K$29)</f>
        <v>186000</v>
      </c>
      <c r="AX15" s="220">
        <f>SUM(AQ15:AW15)</f>
        <v>533911</v>
      </c>
      <c r="AY15" s="74"/>
      <c r="AZ15" s="74"/>
      <c r="BA15" s="74"/>
      <c r="BB15" s="74"/>
    </row>
    <row r="16" spans="1:68" ht="15" x14ac:dyDescent="0.25">
      <c r="A16" s="13"/>
      <c r="B16" s="216" t="s">
        <v>31</v>
      </c>
      <c r="C16" s="216" t="s">
        <v>19</v>
      </c>
      <c r="D16" s="179"/>
      <c r="E16" s="151"/>
      <c r="F16" s="144"/>
      <c r="G16" s="158" t="s">
        <v>30</v>
      </c>
      <c r="H16" s="235"/>
      <c r="I16" s="219"/>
      <c r="J16" s="223"/>
      <c r="K16" s="134">
        <v>30000</v>
      </c>
      <c r="L16" s="145">
        <v>2821</v>
      </c>
      <c r="M16" s="145" t="s">
        <v>23</v>
      </c>
      <c r="N16" s="235">
        <v>30408</v>
      </c>
      <c r="O16" s="145">
        <v>2821</v>
      </c>
      <c r="P16" s="145" t="s">
        <v>23</v>
      </c>
      <c r="Q16" s="181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1"/>
        <v>0</v>
      </c>
      <c r="X16" s="114">
        <f>SUM(V16:W16)</f>
        <v>0</v>
      </c>
      <c r="Y16" s="114"/>
      <c r="Z16" s="74"/>
      <c r="AA16" s="74"/>
      <c r="AB16" s="74"/>
      <c r="AC16" s="74"/>
      <c r="AN16" s="74"/>
      <c r="AO16" s="76">
        <v>2821</v>
      </c>
      <c r="AP16" s="76" t="s">
        <v>23</v>
      </c>
      <c r="AQ16" s="185">
        <f t="shared" ref="AQ16:AQ18" si="8">SUMIF($O$9:$O$11,$AO16,$N$9:$N$11)+SUMIF($L$9:$L$11,$AO16,$K$9:$K$11)</f>
        <v>0</v>
      </c>
      <c r="AR16" s="185">
        <f t="shared" ref="AR16:AR18" si="9">SUMIF($O$12:$O$14,$AO16,$N$12:$N$14)+SUMIF($L$12:$L$14,$AO16,$K$12:$K$14)</f>
        <v>0</v>
      </c>
      <c r="AS16" s="185">
        <f t="shared" ref="AS16:AS18" si="10">SUMIF($O$15:$O$17,$AO16,$N$15:$N$17)+SUMIF($L$15:$L$17,$AO16,$K$15:$K$17)</f>
        <v>168726</v>
      </c>
      <c r="AT16" s="185">
        <f t="shared" ref="AT16:AT18" si="11">SUMIF($O$18:$O$20,$AO16,$N$18:$N$20)+SUMIF($L$18:$L$20,$AO16,$K$18:$K$20)</f>
        <v>36393</v>
      </c>
      <c r="AU16" s="185">
        <f t="shared" ref="AU16:AU18" si="12">SUMIF($O$21:$O$23,$AO16,$N$21:$N$23)+SUMIF($L$21:$L$23,$AO16,$K$21:$K$23)</f>
        <v>61764</v>
      </c>
      <c r="AV16" s="185">
        <f t="shared" ref="AV16:AV18" si="13">SUMIF($O$24:$O$26,$AO16,$N$24:$N$26)+SUMIF($L$24:$L$26,$AO16,$K$24:$K$26)</f>
        <v>0</v>
      </c>
      <c r="AW16" s="185">
        <f t="shared" ref="AW16:AW18" si="14">SUMIF($O$27:$O$29,$AO16,$N$27:$N$29)+SUMIF($L$27:$L$29,$AO16,$K$27:$K$29)</f>
        <v>0</v>
      </c>
      <c r="AX16" s="220">
        <f t="shared" ref="AX16:AX18" si="15">SUM(AQ16:AW16)</f>
        <v>266883</v>
      </c>
      <c r="AY16" s="74"/>
      <c r="AZ16" s="74"/>
      <c r="BA16" s="74"/>
      <c r="BB16" s="74"/>
    </row>
    <row r="17" spans="1:68" ht="17.25" x14ac:dyDescent="0.25">
      <c r="A17" s="13"/>
      <c r="B17" s="221"/>
      <c r="C17" s="221" t="s">
        <v>20</v>
      </c>
      <c r="D17" s="182"/>
      <c r="E17" s="148">
        <v>16500</v>
      </c>
      <c r="F17" s="140">
        <v>2395</v>
      </c>
      <c r="G17" s="261" t="s">
        <v>22</v>
      </c>
      <c r="H17" s="237">
        <v>20160</v>
      </c>
      <c r="I17" s="140">
        <v>2395</v>
      </c>
      <c r="J17" s="261" t="s">
        <v>22</v>
      </c>
      <c r="K17" s="148">
        <v>30000</v>
      </c>
      <c r="L17" s="146">
        <v>2821</v>
      </c>
      <c r="M17" s="146" t="s">
        <v>23</v>
      </c>
      <c r="N17" s="238">
        <f>28728+4806</f>
        <v>33534</v>
      </c>
      <c r="O17" s="146">
        <v>2821</v>
      </c>
      <c r="P17" s="146" t="s">
        <v>23</v>
      </c>
      <c r="Q17" s="184"/>
      <c r="R17" s="81"/>
      <c r="S17" s="74"/>
      <c r="T17" s="92" t="s">
        <v>32</v>
      </c>
      <c r="U17" s="93">
        <f>SUM(U10:U16)</f>
        <v>309000</v>
      </c>
      <c r="V17" s="93">
        <f>SUM(V10:V16)</f>
        <v>393545</v>
      </c>
      <c r="W17" s="93">
        <f>SUM(W10:W16)</f>
        <v>702545</v>
      </c>
      <c r="X17" s="127">
        <f>SUM(X10:X16)</f>
        <v>699410</v>
      </c>
      <c r="Y17" s="127">
        <f>SUM(Y10:Y16)</f>
        <v>3135</v>
      </c>
      <c r="Z17" s="74"/>
      <c r="AA17" s="74"/>
      <c r="AB17" s="74"/>
      <c r="AC17" s="74"/>
      <c r="AD17" s="215" t="s">
        <v>33</v>
      </c>
      <c r="AE17" s="74"/>
      <c r="AF17" s="74"/>
      <c r="AG17" s="74"/>
      <c r="AH17" s="74"/>
      <c r="AI17" s="74"/>
      <c r="AJ17" s="74"/>
      <c r="AK17" s="74"/>
      <c r="AL17" s="74"/>
      <c r="AM17" s="74"/>
      <c r="AN17" s="76"/>
      <c r="AO17" s="76">
        <v>6843</v>
      </c>
      <c r="AP17" s="76" t="s">
        <v>26</v>
      </c>
      <c r="AQ17" s="185">
        <f t="shared" si="8"/>
        <v>49848</v>
      </c>
      <c r="AR17" s="185">
        <f t="shared" si="9"/>
        <v>141363</v>
      </c>
      <c r="AS17" s="185">
        <f t="shared" si="10"/>
        <v>0</v>
      </c>
      <c r="AT17" s="185">
        <f t="shared" si="11"/>
        <v>0</v>
      </c>
      <c r="AU17" s="185">
        <f t="shared" si="12"/>
        <v>0</v>
      </c>
      <c r="AV17" s="185">
        <f t="shared" si="13"/>
        <v>0</v>
      </c>
      <c r="AW17" s="185">
        <f t="shared" si="14"/>
        <v>0</v>
      </c>
      <c r="AX17" s="220">
        <f t="shared" si="15"/>
        <v>191211</v>
      </c>
      <c r="AY17" s="74"/>
      <c r="AZ17" s="74"/>
      <c r="BA17" s="74"/>
      <c r="BB17" s="74"/>
    </row>
    <row r="18" spans="1:68" ht="15" x14ac:dyDescent="0.25">
      <c r="A18" s="13"/>
      <c r="B18" s="216">
        <f>+B15+1</f>
        <v>45988</v>
      </c>
      <c r="C18" s="87" t="s">
        <v>10</v>
      </c>
      <c r="D18" s="175"/>
      <c r="E18" s="134">
        <v>16500</v>
      </c>
      <c r="F18" s="135">
        <v>2395</v>
      </c>
      <c r="G18" s="135" t="s">
        <v>22</v>
      </c>
      <c r="H18" s="229">
        <v>14952</v>
      </c>
      <c r="I18" s="140">
        <v>2395</v>
      </c>
      <c r="J18" s="261" t="s">
        <v>22</v>
      </c>
      <c r="K18" s="144"/>
      <c r="L18" s="144"/>
      <c r="M18" s="158" t="s">
        <v>30</v>
      </c>
      <c r="N18" s="229"/>
      <c r="O18" s="217"/>
      <c r="P18" s="218"/>
      <c r="Q18" s="178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9" t="s">
        <v>7</v>
      </c>
      <c r="AE18" s="79" t="s">
        <v>8</v>
      </c>
      <c r="AF18" s="80">
        <f>AF9</f>
        <v>45985</v>
      </c>
      <c r="AG18" s="80">
        <f t="shared" ref="AG18:AL18" si="16">AG9</f>
        <v>45986</v>
      </c>
      <c r="AH18" s="80">
        <f t="shared" si="16"/>
        <v>45987</v>
      </c>
      <c r="AI18" s="80">
        <f t="shared" si="16"/>
        <v>45988</v>
      </c>
      <c r="AJ18" s="80">
        <f t="shared" si="16"/>
        <v>45989</v>
      </c>
      <c r="AK18" s="80">
        <f t="shared" si="16"/>
        <v>45990</v>
      </c>
      <c r="AL18" s="80">
        <f t="shared" si="16"/>
        <v>45991</v>
      </c>
      <c r="AM18" s="79" t="s">
        <v>34</v>
      </c>
      <c r="AN18" s="74"/>
      <c r="AO18" s="76">
        <v>6842</v>
      </c>
      <c r="AP18" s="76" t="s">
        <v>29</v>
      </c>
      <c r="AQ18" s="185">
        <f t="shared" si="8"/>
        <v>0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220">
        <f t="shared" si="15"/>
        <v>0</v>
      </c>
      <c r="AY18" s="74"/>
      <c r="AZ18" s="74"/>
      <c r="BA18" s="74"/>
      <c r="BB18" s="74"/>
    </row>
    <row r="19" spans="1:68" ht="15" x14ac:dyDescent="0.25">
      <c r="A19" s="13"/>
      <c r="B19" s="216" t="s">
        <v>35</v>
      </c>
      <c r="C19" s="85" t="s">
        <v>19</v>
      </c>
      <c r="D19" s="179"/>
      <c r="E19" s="147">
        <v>16500</v>
      </c>
      <c r="F19" s="137">
        <v>2395</v>
      </c>
      <c r="G19" s="137" t="s">
        <v>22</v>
      </c>
      <c r="H19" s="235">
        <v>15960</v>
      </c>
      <c r="I19" s="135">
        <v>2395</v>
      </c>
      <c r="J19" s="135" t="s">
        <v>22</v>
      </c>
      <c r="K19" s="151"/>
      <c r="L19" s="144"/>
      <c r="M19" s="158" t="s">
        <v>30</v>
      </c>
      <c r="N19" s="235"/>
      <c r="O19" s="219"/>
      <c r="P19" s="223"/>
      <c r="Q19" s="181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6">
        <v>1564</v>
      </c>
      <c r="AE19" s="76" t="s">
        <v>11</v>
      </c>
      <c r="AF19" s="82">
        <f t="shared" ref="AF19:AL19" si="17">AF10/(1/12/0.65*100)</f>
        <v>13713.258000000002</v>
      </c>
      <c r="AG19" s="82">
        <f t="shared" si="17"/>
        <v>6797.2320000000009</v>
      </c>
      <c r="AH19" s="82">
        <f t="shared" si="17"/>
        <v>0</v>
      </c>
      <c r="AI19" s="82">
        <f t="shared" si="17"/>
        <v>0</v>
      </c>
      <c r="AJ19" s="82">
        <f t="shared" si="17"/>
        <v>9671.6880000000001</v>
      </c>
      <c r="AK19" s="82">
        <f t="shared" si="17"/>
        <v>21267.714000000004</v>
      </c>
      <c r="AL19" s="82">
        <f t="shared" si="17"/>
        <v>22347.000000000004</v>
      </c>
      <c r="AM19" s="83">
        <f>SUM(AF19:AL19)</f>
        <v>73796.892000000007</v>
      </c>
      <c r="AN19" s="74"/>
      <c r="AO19" s="74"/>
      <c r="AP19" s="74"/>
      <c r="AQ19" s="224">
        <f>SUM(AQ15:AQ18)</f>
        <v>128783</v>
      </c>
      <c r="AR19" s="224">
        <f t="shared" ref="AR19:AW19" si="18">SUM(AR15:AR18)</f>
        <v>141363</v>
      </c>
      <c r="AS19" s="224">
        <f t="shared" si="18"/>
        <v>168726</v>
      </c>
      <c r="AT19" s="224">
        <f t="shared" si="18"/>
        <v>36393</v>
      </c>
      <c r="AU19" s="224">
        <f t="shared" si="18"/>
        <v>154308</v>
      </c>
      <c r="AV19" s="224">
        <f t="shared" si="18"/>
        <v>176432</v>
      </c>
      <c r="AW19" s="224">
        <f t="shared" si="18"/>
        <v>186000</v>
      </c>
      <c r="AX19" s="224">
        <f>SUM(AX15:AX18)</f>
        <v>992005</v>
      </c>
      <c r="AY19" s="74"/>
      <c r="AZ19" s="74"/>
      <c r="BA19" s="74"/>
      <c r="BB19" s="74"/>
    </row>
    <row r="20" spans="1:68" ht="18.75" x14ac:dyDescent="0.25">
      <c r="A20" s="13"/>
      <c r="B20" s="221"/>
      <c r="C20" s="86" t="s">
        <v>20</v>
      </c>
      <c r="D20" s="182"/>
      <c r="E20" s="148">
        <v>16500</v>
      </c>
      <c r="F20" s="140">
        <v>2395</v>
      </c>
      <c r="G20" s="140" t="s">
        <v>22</v>
      </c>
      <c r="H20" s="237">
        <v>14448</v>
      </c>
      <c r="I20" s="137">
        <v>2395</v>
      </c>
      <c r="J20" s="137" t="s">
        <v>22</v>
      </c>
      <c r="K20" s="148">
        <v>13545</v>
      </c>
      <c r="L20" s="146">
        <v>2821</v>
      </c>
      <c r="M20" s="146" t="s">
        <v>23</v>
      </c>
      <c r="N20" s="238">
        <v>22848</v>
      </c>
      <c r="O20" s="146">
        <v>2821</v>
      </c>
      <c r="P20" s="146" t="s">
        <v>23</v>
      </c>
      <c r="Q20" s="184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6">
        <v>2395</v>
      </c>
      <c r="AE20" s="76" t="s">
        <v>22</v>
      </c>
      <c r="AF20" s="82">
        <f t="shared" ref="AF20:AL20" si="19">AF11/(1/12/0.62*100)</f>
        <v>0</v>
      </c>
      <c r="AG20" s="82">
        <f t="shared" si="19"/>
        <v>0</v>
      </c>
      <c r="AH20" s="82">
        <f t="shared" si="19"/>
        <v>2727.5040000000004</v>
      </c>
      <c r="AI20" s="82">
        <f t="shared" si="19"/>
        <v>7057.5840000000007</v>
      </c>
      <c r="AJ20" s="82">
        <f t="shared" si="19"/>
        <v>4273.3872000000001</v>
      </c>
      <c r="AK20" s="82">
        <f t="shared" si="19"/>
        <v>0</v>
      </c>
      <c r="AL20" s="82">
        <f t="shared" si="19"/>
        <v>0</v>
      </c>
      <c r="AM20" s="83">
        <f>SUM(AF20:AL20)</f>
        <v>14058.475200000001</v>
      </c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</row>
    <row r="21" spans="1:68" ht="15.75" x14ac:dyDescent="0.25">
      <c r="A21" s="13"/>
      <c r="B21" s="216">
        <f>+B18+1</f>
        <v>45989</v>
      </c>
      <c r="C21" s="87" t="s">
        <v>10</v>
      </c>
      <c r="D21" s="175"/>
      <c r="E21" s="134">
        <v>16500</v>
      </c>
      <c r="F21" s="135">
        <v>2395</v>
      </c>
      <c r="G21" s="135" t="s">
        <v>22</v>
      </c>
      <c r="H21" s="207">
        <f>184*84</f>
        <v>15456</v>
      </c>
      <c r="I21" s="140">
        <v>2395</v>
      </c>
      <c r="J21" s="140" t="s">
        <v>22</v>
      </c>
      <c r="K21" s="202">
        <v>30000</v>
      </c>
      <c r="L21" s="145">
        <v>2821</v>
      </c>
      <c r="M21" s="205" t="s">
        <v>23</v>
      </c>
      <c r="N21" s="229">
        <f>21840+9924</f>
        <v>31764</v>
      </c>
      <c r="O21" s="145">
        <v>2821</v>
      </c>
      <c r="P21" s="205" t="s">
        <v>23</v>
      </c>
      <c r="Q21" s="178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6">
        <v>2821</v>
      </c>
      <c r="AE21" s="76" t="s">
        <v>23</v>
      </c>
      <c r="AF21" s="82">
        <f t="shared" ref="AF21:AL21" si="20">AF12/(1/12/0.63*100)</f>
        <v>0</v>
      </c>
      <c r="AG21" s="82">
        <f t="shared" si="20"/>
        <v>0</v>
      </c>
      <c r="AH21" s="82">
        <f t="shared" si="20"/>
        <v>12755.685600000001</v>
      </c>
      <c r="AI21" s="82">
        <f t="shared" si="20"/>
        <v>2751.3108000000002</v>
      </c>
      <c r="AJ21" s="82">
        <f t="shared" si="20"/>
        <v>4669.3584000000001</v>
      </c>
      <c r="AK21" s="82">
        <f t="shared" si="20"/>
        <v>0</v>
      </c>
      <c r="AL21" s="82">
        <f t="shared" si="20"/>
        <v>0</v>
      </c>
      <c r="AM21" s="83">
        <f>SUM(AF21:AL21)</f>
        <v>20176.354800000001</v>
      </c>
      <c r="AN21" s="74"/>
      <c r="AO21" s="215" t="s">
        <v>9</v>
      </c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</row>
    <row r="22" spans="1:68" ht="15" x14ac:dyDescent="0.25">
      <c r="A22" s="13"/>
      <c r="B22" s="216" t="s">
        <v>42</v>
      </c>
      <c r="C22" s="85" t="s">
        <v>19</v>
      </c>
      <c r="D22" s="179"/>
      <c r="E22" s="147">
        <v>16500</v>
      </c>
      <c r="F22" s="137">
        <v>2395</v>
      </c>
      <c r="G22" s="137" t="s">
        <v>22</v>
      </c>
      <c r="H22" s="176">
        <v>8982</v>
      </c>
      <c r="I22" s="135">
        <v>2395</v>
      </c>
      <c r="J22" s="135" t="s">
        <v>22</v>
      </c>
      <c r="K22" s="147">
        <v>15000</v>
      </c>
      <c r="L22" s="138">
        <v>1564</v>
      </c>
      <c r="M22" s="138" t="s">
        <v>11</v>
      </c>
      <c r="N22" s="176">
        <v>15792</v>
      </c>
      <c r="O22" s="138">
        <v>1564</v>
      </c>
      <c r="P22" s="138" t="s">
        <v>11</v>
      </c>
      <c r="Q22" s="181"/>
      <c r="R22" s="81"/>
      <c r="S22" s="94">
        <v>1564</v>
      </c>
      <c r="T22" s="95" t="s">
        <v>11</v>
      </c>
      <c r="U22" s="96">
        <f>U10*12*0.65/100</f>
        <v>16380</v>
      </c>
      <c r="V22" s="96">
        <f>V10*12*0.65/100</f>
        <v>20280</v>
      </c>
      <c r="W22" s="96">
        <f>SUM(U22:V22)</f>
        <v>36660</v>
      </c>
      <c r="X22" s="96">
        <v>28782</v>
      </c>
      <c r="Y22" s="96">
        <f>W22-X22</f>
        <v>7878</v>
      </c>
      <c r="Z22" s="74"/>
      <c r="AA22" s="74"/>
      <c r="AB22" s="74"/>
      <c r="AC22" s="74"/>
      <c r="AD22" s="76">
        <v>6843</v>
      </c>
      <c r="AE22" s="76" t="s">
        <v>26</v>
      </c>
      <c r="AF22" s="82">
        <f t="shared" ref="AF22:AL23" si="21">AF13/(1/12/0.62*100)</f>
        <v>3708.6912000000002</v>
      </c>
      <c r="AG22" s="82">
        <f t="shared" si="21"/>
        <v>10517.407200000001</v>
      </c>
      <c r="AH22" s="82">
        <f t="shared" si="21"/>
        <v>0</v>
      </c>
      <c r="AI22" s="82">
        <f t="shared" si="21"/>
        <v>0</v>
      </c>
      <c r="AJ22" s="82">
        <f t="shared" si="21"/>
        <v>0</v>
      </c>
      <c r="AK22" s="82">
        <f t="shared" si="21"/>
        <v>0</v>
      </c>
      <c r="AL22" s="82">
        <f t="shared" si="21"/>
        <v>0</v>
      </c>
      <c r="AM22" s="83">
        <f>SUM(AF22:AL22)</f>
        <v>14226.098400000003</v>
      </c>
      <c r="AN22" s="74"/>
      <c r="AO22" s="79" t="s">
        <v>7</v>
      </c>
      <c r="AP22" s="79" t="s">
        <v>8</v>
      </c>
      <c r="AQ22" s="80">
        <f>AQ9</f>
        <v>45985</v>
      </c>
      <c r="AR22" s="80">
        <f t="shared" ref="AR22:AW22" si="22">AR9</f>
        <v>45986</v>
      </c>
      <c r="AS22" s="80">
        <f t="shared" si="22"/>
        <v>45987</v>
      </c>
      <c r="AT22" s="80">
        <f t="shared" si="22"/>
        <v>45988</v>
      </c>
      <c r="AU22" s="80">
        <f t="shared" si="22"/>
        <v>45989</v>
      </c>
      <c r="AV22" s="80">
        <f t="shared" si="22"/>
        <v>45990</v>
      </c>
      <c r="AW22" s="80">
        <f t="shared" si="22"/>
        <v>45991</v>
      </c>
      <c r="AX22" s="79" t="s">
        <v>34</v>
      </c>
      <c r="AY22" s="74"/>
      <c r="AZ22" s="74"/>
      <c r="BA22" s="74"/>
      <c r="BB22" s="74"/>
    </row>
    <row r="23" spans="1:68" ht="15.75" x14ac:dyDescent="0.25">
      <c r="A23" s="13"/>
      <c r="B23" s="221"/>
      <c r="C23" s="86" t="s">
        <v>20</v>
      </c>
      <c r="D23" s="182"/>
      <c r="E23" s="148">
        <v>16500</v>
      </c>
      <c r="F23" s="141">
        <v>1564</v>
      </c>
      <c r="G23" s="141" t="s">
        <v>11</v>
      </c>
      <c r="H23" s="183">
        <v>14952</v>
      </c>
      <c r="I23" s="141">
        <v>1564</v>
      </c>
      <c r="J23" s="141" t="s">
        <v>11</v>
      </c>
      <c r="K23" s="148">
        <v>30000</v>
      </c>
      <c r="L23" s="256">
        <v>1564</v>
      </c>
      <c r="M23" s="257" t="s">
        <v>11</v>
      </c>
      <c r="N23" s="183">
        <v>31752</v>
      </c>
      <c r="O23" s="256">
        <v>1564</v>
      </c>
      <c r="P23" s="257" t="s">
        <v>11</v>
      </c>
      <c r="Q23" s="184"/>
      <c r="R23" s="81"/>
      <c r="S23" s="97">
        <v>2395</v>
      </c>
      <c r="T23" s="98" t="s">
        <v>22</v>
      </c>
      <c r="U23" s="99">
        <f>U11*12*0.62/100</f>
        <v>7365.6</v>
      </c>
      <c r="V23" s="99">
        <f>V11*12*0.62/100</f>
        <v>0</v>
      </c>
      <c r="W23" s="99">
        <f t="shared" ref="W23:W28" si="23">SUM(U23:V23)</f>
        <v>7365.6</v>
      </c>
      <c r="X23" s="99">
        <v>10416</v>
      </c>
      <c r="Y23" s="99">
        <f t="shared" ref="Y23:Y28" si="24">W23-X23</f>
        <v>-3050.3999999999996</v>
      </c>
      <c r="Z23" s="82"/>
      <c r="AA23" s="92" t="s">
        <v>43</v>
      </c>
      <c r="AB23" s="92" t="s">
        <v>33</v>
      </c>
      <c r="AC23" s="74"/>
      <c r="AD23" s="76">
        <v>6842</v>
      </c>
      <c r="AE23" s="76" t="s">
        <v>29</v>
      </c>
      <c r="AF23" s="82">
        <f t="shared" si="21"/>
        <v>0</v>
      </c>
      <c r="AG23" s="82">
        <f t="shared" si="21"/>
        <v>0</v>
      </c>
      <c r="AH23" s="82">
        <f t="shared" si="21"/>
        <v>0</v>
      </c>
      <c r="AI23" s="82">
        <f t="shared" si="21"/>
        <v>0</v>
      </c>
      <c r="AJ23" s="82">
        <f t="shared" si="21"/>
        <v>0</v>
      </c>
      <c r="AK23" s="82">
        <f t="shared" si="21"/>
        <v>0</v>
      </c>
      <c r="AL23" s="82">
        <f t="shared" si="21"/>
        <v>0</v>
      </c>
      <c r="AM23" s="83">
        <f>SUM(AF23:AL23)</f>
        <v>0</v>
      </c>
      <c r="AN23" s="74"/>
      <c r="AO23" s="76">
        <v>1564</v>
      </c>
      <c r="AP23" s="76" t="s">
        <v>11</v>
      </c>
      <c r="AQ23" s="185">
        <f>AQ10*12*0.65/100</f>
        <v>7556.3280000000004</v>
      </c>
      <c r="AR23" s="185">
        <f t="shared" ref="AR23:AW23" si="25">AR10*12*0.65/100</f>
        <v>6797.2320000000009</v>
      </c>
      <c r="AS23" s="185">
        <f t="shared" si="25"/>
        <v>0</v>
      </c>
      <c r="AT23" s="185">
        <f t="shared" si="25"/>
        <v>0</v>
      </c>
      <c r="AU23" s="185">
        <f t="shared" si="25"/>
        <v>2453.2559999999999</v>
      </c>
      <c r="AV23" s="185">
        <f t="shared" si="25"/>
        <v>7506.018</v>
      </c>
      <c r="AW23" s="185">
        <f t="shared" si="25"/>
        <v>7839</v>
      </c>
      <c r="AX23" s="220">
        <f>SUM(AQ23:AW23)</f>
        <v>32151.834000000003</v>
      </c>
      <c r="AY23" s="74"/>
      <c r="AZ23" s="74"/>
      <c r="BA23" s="74"/>
      <c r="BB23" s="74"/>
    </row>
    <row r="24" spans="1:68" ht="15" x14ac:dyDescent="0.25">
      <c r="A24" s="13"/>
      <c r="B24" s="216">
        <f>+B21+1</f>
        <v>45990</v>
      </c>
      <c r="C24" s="87" t="s">
        <v>10</v>
      </c>
      <c r="D24" s="175"/>
      <c r="E24" s="134">
        <v>16500</v>
      </c>
      <c r="F24" s="138">
        <v>1564</v>
      </c>
      <c r="G24" s="138" t="s">
        <v>11</v>
      </c>
      <c r="H24" s="229">
        <v>15456</v>
      </c>
      <c r="I24" s="138">
        <v>1564</v>
      </c>
      <c r="J24" s="138" t="s">
        <v>11</v>
      </c>
      <c r="K24" s="134">
        <v>30000</v>
      </c>
      <c r="L24" s="259">
        <v>1564</v>
      </c>
      <c r="M24" s="259" t="s">
        <v>11</v>
      </c>
      <c r="N24" s="134">
        <v>25368</v>
      </c>
      <c r="O24" s="259">
        <v>1564</v>
      </c>
      <c r="P24" s="259" t="s">
        <v>11</v>
      </c>
      <c r="Q24" s="178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10096.002</v>
      </c>
      <c r="W24" s="102">
        <f t="shared" si="23"/>
        <v>10096.002</v>
      </c>
      <c r="X24" s="102">
        <v>10962</v>
      </c>
      <c r="Y24" s="102">
        <f t="shared" si="24"/>
        <v>-865.99799999999959</v>
      </c>
      <c r="Z24" s="74"/>
      <c r="AA24" s="116" t="s">
        <v>44</v>
      </c>
      <c r="AB24" s="117">
        <f>W22+W25</f>
        <v>36660</v>
      </c>
      <c r="AC24" s="74"/>
      <c r="AD24" s="74"/>
      <c r="AE24" s="74"/>
      <c r="AF24" s="83">
        <f t="shared" ref="AF24:AL24" si="26">+SUM(AF19:AF23)</f>
        <v>17421.949200000003</v>
      </c>
      <c r="AG24" s="83">
        <f t="shared" si="26"/>
        <v>17314.639200000001</v>
      </c>
      <c r="AH24" s="83">
        <f t="shared" si="26"/>
        <v>15483.189600000002</v>
      </c>
      <c r="AI24" s="83">
        <f t="shared" si="26"/>
        <v>9808.8948000000019</v>
      </c>
      <c r="AJ24" s="83">
        <f t="shared" si="26"/>
        <v>18614.4336</v>
      </c>
      <c r="AK24" s="83">
        <f t="shared" si="26"/>
        <v>21267.714000000004</v>
      </c>
      <c r="AL24" s="83">
        <f t="shared" si="26"/>
        <v>22347.000000000004</v>
      </c>
      <c r="AM24" s="83">
        <f>SUM(AM19:AM23)</f>
        <v>122257.82040000001</v>
      </c>
      <c r="AN24" s="74"/>
      <c r="AO24" s="76">
        <v>2395</v>
      </c>
      <c r="AP24" s="76" t="s">
        <v>22</v>
      </c>
      <c r="AQ24" s="185">
        <f>AQ11*12*0.62/100</f>
        <v>0</v>
      </c>
      <c r="AR24" s="185">
        <f t="shared" ref="AR24:AW24" si="27">AR11*12*0.62/100</f>
        <v>0</v>
      </c>
      <c r="AS24" s="185">
        <f t="shared" si="27"/>
        <v>2727.5040000000004</v>
      </c>
      <c r="AT24" s="185">
        <f t="shared" si="27"/>
        <v>7057.5839999999998</v>
      </c>
      <c r="AU24" s="185">
        <f t="shared" si="27"/>
        <v>4273.3872000000001</v>
      </c>
      <c r="AV24" s="185">
        <f t="shared" si="27"/>
        <v>0</v>
      </c>
      <c r="AW24" s="185">
        <f t="shared" si="27"/>
        <v>0</v>
      </c>
      <c r="AX24" s="220">
        <f t="shared" ref="AX24" si="28">SUM(AQ24:AW24)</f>
        <v>14058.475200000001</v>
      </c>
      <c r="AY24" s="74"/>
      <c r="AZ24" s="74"/>
      <c r="BA24" s="74"/>
      <c r="BB24" s="74"/>
    </row>
    <row r="25" spans="1:68" s="293" customFormat="1" ht="15" x14ac:dyDescent="0.25">
      <c r="A25" s="275"/>
      <c r="B25" s="276" t="s">
        <v>45</v>
      </c>
      <c r="C25" s="277" t="s">
        <v>19</v>
      </c>
      <c r="D25" s="278"/>
      <c r="E25" s="279">
        <v>16500</v>
      </c>
      <c r="F25" s="280">
        <v>1564</v>
      </c>
      <c r="G25" s="280" t="s">
        <v>11</v>
      </c>
      <c r="H25" s="281">
        <v>14280</v>
      </c>
      <c r="I25" s="280">
        <v>1564</v>
      </c>
      <c r="J25" s="280" t="s">
        <v>11</v>
      </c>
      <c r="K25" s="279">
        <v>30000</v>
      </c>
      <c r="L25" s="280">
        <v>1564</v>
      </c>
      <c r="M25" s="280" t="s">
        <v>11</v>
      </c>
      <c r="N25" s="279">
        <v>29064</v>
      </c>
      <c r="O25" s="280">
        <v>1564</v>
      </c>
      <c r="P25" s="280" t="s">
        <v>11</v>
      </c>
      <c r="Q25" s="282"/>
      <c r="R25" s="283"/>
      <c r="S25" s="284">
        <v>5037</v>
      </c>
      <c r="T25" s="285" t="s">
        <v>25</v>
      </c>
      <c r="U25" s="286">
        <f>U13*12/100</f>
        <v>0</v>
      </c>
      <c r="V25" s="286">
        <f>V13*12/100</f>
        <v>0</v>
      </c>
      <c r="W25" s="286">
        <f t="shared" si="23"/>
        <v>0</v>
      </c>
      <c r="X25" s="286">
        <v>0</v>
      </c>
      <c r="Y25" s="286">
        <f t="shared" si="24"/>
        <v>0</v>
      </c>
      <c r="Z25" s="287"/>
      <c r="AA25" s="288" t="s">
        <v>46</v>
      </c>
      <c r="AB25" s="289">
        <f>W23+W26</f>
        <v>7365.6</v>
      </c>
      <c r="AC25" s="287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87"/>
      <c r="AO25" s="287"/>
      <c r="AP25" s="287"/>
      <c r="AQ25" s="291">
        <f>SUM(AQ23:AQ24)</f>
        <v>7556.3280000000004</v>
      </c>
      <c r="AR25" s="291">
        <f t="shared" ref="AR25:AX25" si="29">SUM(AR23:AR24)</f>
        <v>6797.2320000000009</v>
      </c>
      <c r="AS25" s="291">
        <f t="shared" si="29"/>
        <v>2727.5040000000004</v>
      </c>
      <c r="AT25" s="291">
        <f t="shared" si="29"/>
        <v>7057.5839999999998</v>
      </c>
      <c r="AU25" s="291">
        <f t="shared" si="29"/>
        <v>6726.6432000000004</v>
      </c>
      <c r="AV25" s="291">
        <f t="shared" si="29"/>
        <v>7506.018</v>
      </c>
      <c r="AW25" s="291">
        <f t="shared" si="29"/>
        <v>7839</v>
      </c>
      <c r="AX25" s="292">
        <f t="shared" si="29"/>
        <v>46210.309200000003</v>
      </c>
      <c r="AY25" s="287"/>
      <c r="AZ25" s="287"/>
      <c r="BA25" s="287"/>
      <c r="BB25" s="287"/>
      <c r="BC25" s="290"/>
      <c r="BD25" s="290"/>
      <c r="BE25" s="290"/>
      <c r="BF25" s="290"/>
      <c r="BG25" s="290"/>
      <c r="BH25" s="290"/>
      <c r="BI25" s="290"/>
      <c r="BJ25" s="290"/>
      <c r="BK25" s="290"/>
      <c r="BL25" s="290"/>
      <c r="BM25" s="290"/>
      <c r="BN25" s="290"/>
      <c r="BO25" s="290"/>
      <c r="BP25" s="290"/>
    </row>
    <row r="26" spans="1:68" ht="15" x14ac:dyDescent="0.25">
      <c r="A26" s="13"/>
      <c r="B26" s="221"/>
      <c r="C26" s="294" t="s">
        <v>20</v>
      </c>
      <c r="D26" s="295"/>
      <c r="E26" s="139">
        <v>16500</v>
      </c>
      <c r="F26" s="260">
        <v>1564</v>
      </c>
      <c r="G26" s="260" t="s">
        <v>11</v>
      </c>
      <c r="H26" s="296">
        <v>16995</v>
      </c>
      <c r="I26" s="260">
        <v>1564</v>
      </c>
      <c r="J26" s="260" t="s">
        <v>11</v>
      </c>
      <c r="K26" s="139">
        <v>30000</v>
      </c>
      <c r="L26" s="260">
        <v>1564</v>
      </c>
      <c r="M26" s="260" t="s">
        <v>11</v>
      </c>
      <c r="N26" s="139">
        <v>32000</v>
      </c>
      <c r="O26" s="260">
        <v>1564</v>
      </c>
      <c r="P26" s="260" t="s">
        <v>11</v>
      </c>
      <c r="Q26" s="297"/>
      <c r="R26" s="81"/>
      <c r="S26" s="298">
        <v>6788</v>
      </c>
      <c r="T26" s="299" t="s">
        <v>28</v>
      </c>
      <c r="U26" s="300">
        <f>U14*12/100</f>
        <v>0</v>
      </c>
      <c r="V26" s="300">
        <f>V14*12/100</f>
        <v>0</v>
      </c>
      <c r="W26" s="300">
        <f t="shared" si="23"/>
        <v>0</v>
      </c>
      <c r="X26" s="300">
        <v>0</v>
      </c>
      <c r="Y26" s="300">
        <f t="shared" si="24"/>
        <v>0</v>
      </c>
      <c r="Z26" s="74"/>
      <c r="AA26" s="301" t="s">
        <v>47</v>
      </c>
      <c r="AB26" s="302">
        <f>W24</f>
        <v>10096.002</v>
      </c>
      <c r="AC26" s="74"/>
      <c r="AN26" s="76"/>
      <c r="AO26" s="215" t="s">
        <v>27</v>
      </c>
      <c r="AP26" s="74"/>
      <c r="AQ26" s="74"/>
      <c r="AR26" s="74"/>
      <c r="AS26" s="74"/>
      <c r="AT26" s="74"/>
      <c r="AU26" s="74"/>
      <c r="AV26" s="74"/>
      <c r="AW26" s="74"/>
      <c r="AX26" s="83"/>
      <c r="AY26" s="74"/>
      <c r="AZ26" s="74"/>
      <c r="BA26" s="74"/>
      <c r="BB26" s="74"/>
    </row>
    <row r="27" spans="1:68" ht="15" x14ac:dyDescent="0.25">
      <c r="A27" s="13"/>
      <c r="B27" s="216">
        <f>+B24+1</f>
        <v>45991</v>
      </c>
      <c r="C27" s="87" t="s">
        <v>10</v>
      </c>
      <c r="D27" s="175"/>
      <c r="E27" s="134">
        <v>16500</v>
      </c>
      <c r="F27" s="136">
        <v>1564</v>
      </c>
      <c r="G27" s="136" t="s">
        <v>11</v>
      </c>
      <c r="H27" s="186">
        <v>17000</v>
      </c>
      <c r="I27" s="136">
        <v>1564</v>
      </c>
      <c r="J27" s="136" t="s">
        <v>11</v>
      </c>
      <c r="K27" s="134">
        <v>30000</v>
      </c>
      <c r="L27" s="136">
        <v>1564</v>
      </c>
      <c r="M27" s="136" t="s">
        <v>11</v>
      </c>
      <c r="N27" s="134">
        <v>32000</v>
      </c>
      <c r="O27" s="136">
        <v>1564</v>
      </c>
      <c r="P27" s="136" t="s">
        <v>11</v>
      </c>
      <c r="Q27" s="178"/>
      <c r="R27" s="81"/>
      <c r="S27" s="109">
        <v>6841</v>
      </c>
      <c r="T27" s="110" t="s">
        <v>26</v>
      </c>
      <c r="U27" s="111">
        <f>U15*12*0.62/100</f>
        <v>0</v>
      </c>
      <c r="V27" s="111">
        <f t="shared" ref="V27:V28" si="30">V15*12*0.62/100</f>
        <v>0</v>
      </c>
      <c r="W27" s="111">
        <f t="shared" si="23"/>
        <v>0</v>
      </c>
      <c r="X27" s="111">
        <v>0</v>
      </c>
      <c r="Y27" s="111">
        <f t="shared" si="24"/>
        <v>0</v>
      </c>
      <c r="Z27" s="74"/>
      <c r="AA27" s="124" t="s">
        <v>48</v>
      </c>
      <c r="AB27" s="125">
        <f>W27</f>
        <v>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9" t="s">
        <v>7</v>
      </c>
      <c r="AP27" s="79" t="s">
        <v>8</v>
      </c>
      <c r="AQ27" s="80">
        <f>AQ22</f>
        <v>45985</v>
      </c>
      <c r="AR27" s="80">
        <f t="shared" ref="AR27:AW27" si="31">AR22</f>
        <v>45986</v>
      </c>
      <c r="AS27" s="80">
        <f t="shared" si="31"/>
        <v>45987</v>
      </c>
      <c r="AT27" s="80">
        <f t="shared" si="31"/>
        <v>45988</v>
      </c>
      <c r="AU27" s="80">
        <f t="shared" si="31"/>
        <v>45989</v>
      </c>
      <c r="AV27" s="80">
        <f t="shared" si="31"/>
        <v>45990</v>
      </c>
      <c r="AW27" s="80">
        <f t="shared" si="31"/>
        <v>45991</v>
      </c>
      <c r="AX27" s="79" t="s">
        <v>34</v>
      </c>
      <c r="AY27" s="74"/>
      <c r="AZ27" s="74"/>
      <c r="BA27" s="74"/>
      <c r="BB27" s="74"/>
    </row>
    <row r="28" spans="1:68" ht="15" x14ac:dyDescent="0.25">
      <c r="A28" s="13"/>
      <c r="B28" s="216" t="s">
        <v>49</v>
      </c>
      <c r="C28" s="85" t="s">
        <v>19</v>
      </c>
      <c r="D28" s="179"/>
      <c r="E28" s="147">
        <v>16500</v>
      </c>
      <c r="F28" s="138">
        <v>1564</v>
      </c>
      <c r="G28" s="138" t="s">
        <v>11</v>
      </c>
      <c r="H28" s="206">
        <v>17000</v>
      </c>
      <c r="I28" s="138">
        <v>1564</v>
      </c>
      <c r="J28" s="138" t="s">
        <v>11</v>
      </c>
      <c r="K28" s="134">
        <v>30000</v>
      </c>
      <c r="L28" s="138">
        <v>1564</v>
      </c>
      <c r="M28" s="138" t="s">
        <v>11</v>
      </c>
      <c r="N28" s="134">
        <v>32000</v>
      </c>
      <c r="O28" s="138">
        <v>1564</v>
      </c>
      <c r="P28" s="138" t="s">
        <v>11</v>
      </c>
      <c r="Q28" s="181"/>
      <c r="R28" s="81"/>
      <c r="S28" s="112">
        <v>6842</v>
      </c>
      <c r="T28" s="113" t="s">
        <v>29</v>
      </c>
      <c r="U28" s="114">
        <f t="shared" ref="U28" si="32">U16*12*0.62/100</f>
        <v>0</v>
      </c>
      <c r="V28" s="114">
        <f t="shared" si="30"/>
        <v>0</v>
      </c>
      <c r="W28" s="114">
        <f t="shared" si="23"/>
        <v>0</v>
      </c>
      <c r="X28" s="114">
        <v>0</v>
      </c>
      <c r="Y28" s="114">
        <f t="shared" si="24"/>
        <v>0</v>
      </c>
      <c r="Z28" s="74"/>
      <c r="AA28" s="122" t="s">
        <v>50</v>
      </c>
      <c r="AB28" s="123">
        <f>W28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>
        <v>1564</v>
      </c>
      <c r="AP28" s="76" t="s">
        <v>11</v>
      </c>
      <c r="AQ28" s="185">
        <f>AQ15*12*0.65/100</f>
        <v>6156.93</v>
      </c>
      <c r="AR28" s="185">
        <f t="shared" ref="AR28:AW28" si="33">AR15*12*0.65/100</f>
        <v>0</v>
      </c>
      <c r="AS28" s="185">
        <f t="shared" si="33"/>
        <v>0</v>
      </c>
      <c r="AT28" s="185">
        <f t="shared" si="33"/>
        <v>0</v>
      </c>
      <c r="AU28" s="185">
        <f t="shared" si="33"/>
        <v>7218.4320000000007</v>
      </c>
      <c r="AV28" s="185">
        <f t="shared" si="33"/>
        <v>13761.696000000002</v>
      </c>
      <c r="AW28" s="185">
        <f t="shared" si="33"/>
        <v>14508</v>
      </c>
      <c r="AX28" s="220">
        <f>SUM(AQ28:AW28)</f>
        <v>41645.058000000005</v>
      </c>
      <c r="AY28" s="74"/>
      <c r="AZ28" s="74"/>
      <c r="BA28" s="74"/>
      <c r="BB28" s="74"/>
    </row>
    <row r="29" spans="1:68" ht="17.25" x14ac:dyDescent="0.25">
      <c r="A29" s="13"/>
      <c r="B29" s="221"/>
      <c r="C29" s="86" t="s">
        <v>20</v>
      </c>
      <c r="D29" s="182"/>
      <c r="E29" s="148">
        <v>16500</v>
      </c>
      <c r="F29" s="141">
        <v>1564</v>
      </c>
      <c r="G29" s="141" t="s">
        <v>11</v>
      </c>
      <c r="H29" s="235">
        <v>17000</v>
      </c>
      <c r="I29" s="141">
        <v>1564</v>
      </c>
      <c r="J29" s="141" t="s">
        <v>11</v>
      </c>
      <c r="K29" s="148">
        <v>30000</v>
      </c>
      <c r="L29" s="260">
        <v>1564</v>
      </c>
      <c r="M29" s="260" t="s">
        <v>11</v>
      </c>
      <c r="N29" s="148">
        <v>32000</v>
      </c>
      <c r="O29" s="260">
        <v>1564</v>
      </c>
      <c r="P29" s="260" t="s">
        <v>11</v>
      </c>
      <c r="Q29" s="181"/>
      <c r="R29" s="81"/>
      <c r="S29" s="74"/>
      <c r="T29" s="126" t="s">
        <v>39</v>
      </c>
      <c r="U29" s="127">
        <f>SUM(U22:U28)</f>
        <v>23745.599999999999</v>
      </c>
      <c r="V29" s="127">
        <f>SUM(V22:V28)</f>
        <v>30376.002</v>
      </c>
      <c r="W29" s="127">
        <f>SUM(W22:W28)</f>
        <v>54121.601999999999</v>
      </c>
      <c r="X29" s="127">
        <f>SUM(X22:X28)</f>
        <v>50160</v>
      </c>
      <c r="Y29" s="127">
        <f>SUM(Y22:Y28)</f>
        <v>3961.6020000000008</v>
      </c>
      <c r="Z29" s="74"/>
      <c r="AA29" s="92" t="s">
        <v>51</v>
      </c>
      <c r="AB29" s="93">
        <f>SUM(AB24:AB28)</f>
        <v>54121.601999999999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>
        <v>2821</v>
      </c>
      <c r="AP29" s="76" t="s">
        <v>23</v>
      </c>
      <c r="AQ29" s="185">
        <f>AQ16*12*0.63/100</f>
        <v>0</v>
      </c>
      <c r="AR29" s="185">
        <f t="shared" ref="AR29:AW29" si="34">AR16*12*0.63/100</f>
        <v>0</v>
      </c>
      <c r="AS29" s="185">
        <f t="shared" si="34"/>
        <v>12755.685600000001</v>
      </c>
      <c r="AT29" s="185">
        <f t="shared" si="34"/>
        <v>2751.3108000000002</v>
      </c>
      <c r="AU29" s="185">
        <f t="shared" si="34"/>
        <v>4669.3584000000001</v>
      </c>
      <c r="AV29" s="185">
        <f t="shared" si="34"/>
        <v>0</v>
      </c>
      <c r="AW29" s="185">
        <f t="shared" si="34"/>
        <v>0</v>
      </c>
      <c r="AX29" s="220">
        <f t="shared" ref="AX29:AX31" si="35">SUM(AQ29:AW29)</f>
        <v>20176.354800000001</v>
      </c>
      <c r="AY29" s="74"/>
      <c r="AZ29" s="74"/>
      <c r="BA29" s="74"/>
      <c r="BB29" s="74"/>
    </row>
    <row r="30" spans="1:68" ht="15" x14ac:dyDescent="0.2">
      <c r="A30" s="19"/>
      <c r="B30" s="67"/>
      <c r="C30" s="67"/>
      <c r="D30" s="67"/>
      <c r="E30" s="67" t="s">
        <v>52</v>
      </c>
      <c r="F30" s="67"/>
      <c r="G30" s="272">
        <f>SUM(E23:E29)</f>
        <v>115500</v>
      </c>
      <c r="H30" s="67"/>
      <c r="I30" s="67"/>
      <c r="J30" s="67"/>
      <c r="K30" s="67"/>
      <c r="L30" s="67" t="s">
        <v>52</v>
      </c>
      <c r="M30" s="67"/>
      <c r="N30" s="273">
        <f>SUM(K22:K29)</f>
        <v>225000</v>
      </c>
      <c r="O30" s="67"/>
      <c r="P30" s="67"/>
      <c r="Q30" s="67"/>
      <c r="R30" s="214">
        <f>+N30+G30</f>
        <v>340500</v>
      </c>
      <c r="S30" s="82"/>
      <c r="T30" s="82"/>
      <c r="U30" s="74"/>
      <c r="V30" s="74"/>
      <c r="W30" s="74"/>
      <c r="X30" s="74"/>
      <c r="Y30" s="74"/>
      <c r="Z30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6">
        <v>6843</v>
      </c>
      <c r="AP30" s="76" t="s">
        <v>26</v>
      </c>
      <c r="AQ30" s="185">
        <f>AQ17*12*0.62/100</f>
        <v>3708.6911999999998</v>
      </c>
      <c r="AR30" s="185">
        <f t="shared" ref="AR30:AW31" si="36">AR17*12*0.62/100</f>
        <v>10517.4072</v>
      </c>
      <c r="AS30" s="185">
        <f t="shared" si="36"/>
        <v>0</v>
      </c>
      <c r="AT30" s="185">
        <f t="shared" si="36"/>
        <v>0</v>
      </c>
      <c r="AU30" s="185">
        <f t="shared" si="36"/>
        <v>0</v>
      </c>
      <c r="AV30" s="185">
        <f t="shared" si="36"/>
        <v>0</v>
      </c>
      <c r="AW30" s="185">
        <f t="shared" si="36"/>
        <v>0</v>
      </c>
      <c r="AX30" s="220">
        <f t="shared" si="35"/>
        <v>14226.098399999999</v>
      </c>
      <c r="AY30" s="74"/>
      <c r="AZ30" s="74"/>
      <c r="BA30" s="74"/>
      <c r="BB30" s="74"/>
    </row>
    <row r="31" spans="1:68" s="10" customFormat="1" ht="15" x14ac:dyDescent="0.2">
      <c r="A31" s="9"/>
      <c r="B31"/>
      <c r="C31"/>
      <c r="D31"/>
      <c r="E31" t="s">
        <v>53</v>
      </c>
      <c r="F31"/>
      <c r="G31" s="149">
        <f>SUM(H23:H25)</f>
        <v>44688</v>
      </c>
      <c r="H31"/>
      <c r="I31"/>
      <c r="J31"/>
      <c r="K31"/>
      <c r="L31" t="s">
        <v>53</v>
      </c>
      <c r="M31"/>
      <c r="N31" s="149">
        <f>SUM(N22:N25)</f>
        <v>101976</v>
      </c>
      <c r="O31"/>
      <c r="P31">
        <v>32000</v>
      </c>
      <c r="Q31"/>
      <c r="R31"/>
      <c r="S31"/>
      <c r="U31"/>
      <c r="V31"/>
      <c r="W31"/>
      <c r="X31"/>
      <c r="Y31"/>
      <c r="Z31"/>
      <c r="AA31"/>
      <c r="AO31" s="76">
        <v>6842</v>
      </c>
      <c r="AP31" s="76" t="s">
        <v>29</v>
      </c>
      <c r="AQ31" s="185">
        <f>AQ18*12*0.62/100</f>
        <v>0</v>
      </c>
      <c r="AR31" s="185">
        <f t="shared" si="36"/>
        <v>0</v>
      </c>
      <c r="AS31" s="185">
        <f t="shared" si="36"/>
        <v>0</v>
      </c>
      <c r="AT31" s="185">
        <f t="shared" si="36"/>
        <v>0</v>
      </c>
      <c r="AU31" s="185">
        <f t="shared" si="36"/>
        <v>0</v>
      </c>
      <c r="AV31" s="185">
        <f t="shared" si="36"/>
        <v>0</v>
      </c>
      <c r="AW31" s="185">
        <f t="shared" si="36"/>
        <v>0</v>
      </c>
      <c r="AX31" s="220">
        <f t="shared" si="35"/>
        <v>0</v>
      </c>
    </row>
    <row r="32" spans="1:68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U32"/>
      <c r="V32"/>
      <c r="W32"/>
      <c r="X32"/>
      <c r="Y32"/>
      <c r="Z32"/>
      <c r="AA32"/>
      <c r="AO32" s="74"/>
      <c r="AP32" s="74"/>
      <c r="AQ32" s="224">
        <f>SUM(AQ28:AQ31)</f>
        <v>9865.6211999999996</v>
      </c>
      <c r="AR32" s="224">
        <f t="shared" ref="AR32:AW32" si="37">SUM(AR28:AR31)</f>
        <v>10517.4072</v>
      </c>
      <c r="AS32" s="224">
        <f t="shared" si="37"/>
        <v>12755.685600000001</v>
      </c>
      <c r="AT32" s="224">
        <f t="shared" si="37"/>
        <v>2751.3108000000002</v>
      </c>
      <c r="AU32" s="224">
        <f t="shared" si="37"/>
        <v>11887.790400000002</v>
      </c>
      <c r="AV32" s="224">
        <f t="shared" si="37"/>
        <v>13761.696000000002</v>
      </c>
      <c r="AW32" s="224">
        <f t="shared" si="37"/>
        <v>14508</v>
      </c>
      <c r="AX32" s="224">
        <f>SUM(AX28:AX31)</f>
        <v>76047.511200000008</v>
      </c>
    </row>
    <row r="33" spans="1:27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U33"/>
      <c r="V33"/>
      <c r="W33"/>
      <c r="X33"/>
      <c r="Y33"/>
      <c r="Z33"/>
      <c r="AA33"/>
    </row>
    <row r="34" spans="1:27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U34"/>
      <c r="V34"/>
      <c r="W34"/>
      <c r="X34"/>
      <c r="Y34"/>
      <c r="Z34"/>
      <c r="AA34"/>
    </row>
    <row r="35" spans="1:27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U35"/>
      <c r="V35"/>
      <c r="W35"/>
      <c r="X35"/>
      <c r="Y35"/>
      <c r="Z35"/>
      <c r="AA35"/>
    </row>
    <row r="36" spans="1:27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U36"/>
      <c r="V36"/>
      <c r="W36"/>
      <c r="X36"/>
      <c r="Y36"/>
      <c r="Z36"/>
      <c r="AA36"/>
    </row>
    <row r="37" spans="1:27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U37"/>
      <c r="V37"/>
      <c r="W37"/>
      <c r="X37"/>
      <c r="Y37"/>
      <c r="Z37"/>
      <c r="AA37"/>
    </row>
    <row r="38" spans="1:27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U38"/>
      <c r="V38"/>
      <c r="W38"/>
      <c r="X38"/>
      <c r="Y38"/>
      <c r="Z38"/>
      <c r="AA38"/>
    </row>
    <row r="39" spans="1:27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</row>
    <row r="40" spans="1:27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</row>
    <row r="41" spans="1:27" s="10" customFormat="1" ht="12.75" customHeight="1" x14ac:dyDescent="0.2">
      <c r="A41" s="9"/>
      <c r="B41"/>
      <c r="C41"/>
      <c r="D41"/>
      <c r="E41" t="s">
        <v>54</v>
      </c>
      <c r="F41"/>
      <c r="G41" s="271">
        <f>+G30-G31</f>
        <v>70812</v>
      </c>
      <c r="H41" s="274">
        <f>+G41/4</f>
        <v>17703</v>
      </c>
      <c r="I41">
        <v>17000</v>
      </c>
      <c r="J41">
        <f>+H41-I41</f>
        <v>703</v>
      </c>
      <c r="K41"/>
      <c r="L41" t="s">
        <v>54</v>
      </c>
      <c r="M41"/>
      <c r="N41" s="271">
        <f>+N30-N31+J42</f>
        <v>125836</v>
      </c>
      <c r="O41" s="274">
        <f>+N41/4</f>
        <v>31459</v>
      </c>
      <c r="P41">
        <v>32000</v>
      </c>
      <c r="Q41"/>
      <c r="R41"/>
      <c r="S41"/>
      <c r="U41"/>
      <c r="V41"/>
      <c r="W41"/>
      <c r="X41"/>
      <c r="Y41"/>
      <c r="Z41"/>
      <c r="AA41"/>
    </row>
    <row r="42" spans="1:27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112683</v>
      </c>
      <c r="H42"/>
      <c r="I42"/>
      <c r="J42">
        <f>+J41*4</f>
        <v>2812</v>
      </c>
      <c r="K42"/>
      <c r="L42"/>
      <c r="M42"/>
      <c r="N42" s="273">
        <f>SUM(N22:N29)</f>
        <v>229976</v>
      </c>
      <c r="O42"/>
      <c r="P42">
        <v>32000</v>
      </c>
      <c r="Q42"/>
      <c r="R42" s="149">
        <f>+N42+G42</f>
        <v>342659</v>
      </c>
      <c r="S42"/>
      <c r="U42"/>
      <c r="V42" s="10" t="s">
        <v>55</v>
      </c>
      <c r="W42"/>
      <c r="X42"/>
      <c r="Y42"/>
      <c r="Z42"/>
      <c r="AA42"/>
    </row>
    <row r="43" spans="1:27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 t="s">
        <v>59</v>
      </c>
      <c r="P43" t="s">
        <v>57</v>
      </c>
      <c r="Q43"/>
      <c r="R43"/>
      <c r="S43"/>
      <c r="U43"/>
      <c r="V43"/>
      <c r="W43"/>
      <c r="X43"/>
      <c r="Y43"/>
      <c r="Z43"/>
      <c r="AA43"/>
    </row>
    <row r="44" spans="1:27" s="10" customFormat="1" ht="48.75" customHeight="1" x14ac:dyDescent="0.25">
      <c r="A44" s="9"/>
      <c r="B44"/>
      <c r="C44"/>
      <c r="D44"/>
      <c r="E44" s="136" t="s">
        <v>11</v>
      </c>
      <c r="F44" s="149">
        <f>SUM(H9:H14,E23:E29)</f>
        <v>205020</v>
      </c>
      <c r="G44">
        <v>33000</v>
      </c>
      <c r="H44">
        <f>G44/12</f>
        <v>2750</v>
      </c>
      <c r="I44">
        <f>F44/H44</f>
        <v>74.552727272727267</v>
      </c>
      <c r="J44"/>
      <c r="K44"/>
      <c r="L44" s="136" t="s">
        <v>11</v>
      </c>
      <c r="M44" s="149">
        <f>SUM(N9:N10,K23:K29)</f>
        <v>253935</v>
      </c>
      <c r="N44">
        <v>60000</v>
      </c>
      <c r="O44">
        <f>N44/12</f>
        <v>5000</v>
      </c>
      <c r="P44">
        <f>M44/O44</f>
        <v>50.786999999999999</v>
      </c>
      <c r="Q44"/>
      <c r="R44"/>
      <c r="S44"/>
      <c r="T44"/>
      <c r="U44"/>
    </row>
    <row r="45" spans="1:27" s="10" customFormat="1" ht="21.75" customHeight="1" x14ac:dyDescent="0.25">
      <c r="A45" s="9"/>
      <c r="B45"/>
      <c r="C45"/>
      <c r="D45"/>
      <c r="E45" s="261" t="s">
        <v>22</v>
      </c>
      <c r="F45" s="149">
        <f>SUM(H17:H20,E21:E22)</f>
        <v>98520</v>
      </c>
      <c r="G45">
        <v>34000</v>
      </c>
      <c r="H45">
        <f>G45/12</f>
        <v>2833.3333333333335</v>
      </c>
      <c r="I45">
        <f>F45/H45</f>
        <v>34.771764705882354</v>
      </c>
      <c r="J45"/>
      <c r="K45"/>
      <c r="L45" s="255" t="s">
        <v>21</v>
      </c>
      <c r="M45" s="149">
        <f>SUM(N11:N14)</f>
        <v>100246</v>
      </c>
      <c r="N45">
        <v>55000</v>
      </c>
      <c r="O45">
        <f t="shared" ref="O45:O46" si="38">N45/12</f>
        <v>4583.333333333333</v>
      </c>
      <c r="P45">
        <f t="shared" ref="P45:P46" si="39">M45/O45</f>
        <v>21.871854545454546</v>
      </c>
      <c r="Q45"/>
      <c r="R45"/>
      <c r="S45"/>
      <c r="T45"/>
      <c r="U45"/>
    </row>
    <row r="46" spans="1:27" s="10" customFormat="1" ht="21.75" customHeight="1" x14ac:dyDescent="0.25">
      <c r="A46" s="9"/>
      <c r="B46"/>
      <c r="C46"/>
      <c r="D46"/>
      <c r="E46"/>
      <c r="F46"/>
      <c r="G46"/>
      <c r="H46"/>
      <c r="I46">
        <f>SUM(I44:I45)</f>
        <v>109.32449197860961</v>
      </c>
      <c r="J46"/>
      <c r="K46"/>
      <c r="L46" s="145" t="s">
        <v>23</v>
      </c>
      <c r="M46" s="149">
        <f>SUM(N15:N20,K21)</f>
        <v>131574</v>
      </c>
      <c r="N46">
        <v>60000</v>
      </c>
      <c r="O46">
        <f t="shared" si="38"/>
        <v>5000</v>
      </c>
      <c r="P46">
        <f t="shared" si="39"/>
        <v>26.314800000000002</v>
      </c>
      <c r="Q46"/>
      <c r="R46" t="s">
        <v>60</v>
      </c>
      <c r="S46"/>
      <c r="T46"/>
      <c r="U46"/>
    </row>
    <row r="47" spans="1:27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98.973654545454551</v>
      </c>
      <c r="Q47"/>
      <c r="R47">
        <f>P47+I46</f>
        <v>208.29814652406418</v>
      </c>
      <c r="S47"/>
      <c r="T47"/>
      <c r="U47"/>
    </row>
    <row r="48" spans="1:27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18"/>
    </row>
    <row r="49" spans="1:68" s="10" customFormat="1" ht="24" customHeight="1" x14ac:dyDescent="0.2">
      <c r="A49" s="9"/>
      <c r="B49"/>
      <c r="C49"/>
      <c r="D49"/>
      <c r="E49" t="s">
        <v>61</v>
      </c>
      <c r="F49" s="268">
        <f>COUNTA(C9:C29)-2</f>
        <v>19</v>
      </c>
      <c r="G49">
        <f>F49*8</f>
        <v>152</v>
      </c>
      <c r="H49" t="s">
        <v>62</v>
      </c>
      <c r="I49"/>
      <c r="J49"/>
      <c r="K49"/>
      <c r="L49" t="s">
        <v>63</v>
      </c>
      <c r="M49">
        <f>21-2</f>
        <v>19</v>
      </c>
      <c r="N49" t="s">
        <v>61</v>
      </c>
      <c r="O49">
        <f>M49*8-12</f>
        <v>140</v>
      </c>
      <c r="P49"/>
      <c r="Q49"/>
      <c r="R49"/>
      <c r="S49"/>
      <c r="T49"/>
      <c r="U49"/>
    </row>
    <row r="50" spans="1:68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68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68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68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68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68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68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68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68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68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64" t="s">
        <v>64</v>
      </c>
      <c r="S59"/>
    </row>
    <row r="60" spans="1:68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0.7192400788066422</v>
      </c>
      <c r="H60" s="267">
        <v>0.69</v>
      </c>
      <c r="I60"/>
      <c r="J60"/>
      <c r="K60"/>
      <c r="L60"/>
      <c r="M60"/>
      <c r="N60" s="262" t="s">
        <v>66</v>
      </c>
      <c r="O60" s="263">
        <f>P47/O49</f>
        <v>0.70695467532467537</v>
      </c>
      <c r="P60">
        <v>75.58</v>
      </c>
      <c r="R60" s="265">
        <f>R47/(O49+G49)</f>
        <v>0.71334981686323351</v>
      </c>
      <c r="S60"/>
    </row>
    <row r="61" spans="1:68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K61" s="62"/>
      <c r="L61" s="61"/>
      <c r="M61" s="62"/>
      <c r="N61" s="62"/>
      <c r="O61" s="61"/>
      <c r="P61" s="62"/>
      <c r="Q61" s="61"/>
      <c r="R61" s="62"/>
    </row>
    <row r="62" spans="1:68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</row>
    <row r="63" spans="1:68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0"/>
      <c r="R63" s="197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</row>
    <row r="64" spans="1:68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3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</row>
    <row r="66" spans="1:68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3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</row>
    <row r="67" spans="1:68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197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</row>
    <row r="68" spans="1:68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</row>
    <row r="70" spans="1:68" x14ac:dyDescent="0.2">
      <c r="E70" s="188"/>
      <c r="G70" s="18"/>
    </row>
    <row r="73" spans="1:68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U73" s="14" t="s">
        <v>71</v>
      </c>
      <c r="Y73" s="10" t="s">
        <v>57</v>
      </c>
    </row>
    <row r="74" spans="1:68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U74" s="10" t="s">
        <v>72</v>
      </c>
      <c r="V74" s="10">
        <v>8000</v>
      </c>
      <c r="W74" s="10">
        <f>V74*6</f>
        <v>48000</v>
      </c>
      <c r="X74" s="269">
        <v>5400</v>
      </c>
      <c r="Y74" s="10">
        <f>W74/X74</f>
        <v>8.8888888888888893</v>
      </c>
    </row>
    <row r="75" spans="1:68" ht="15" x14ac:dyDescent="0.25">
      <c r="E75" s="136" t="s">
        <v>11</v>
      </c>
      <c r="F75" s="149">
        <f>SUM(E23:E29)</f>
        <v>115500</v>
      </c>
      <c r="G75">
        <v>33000</v>
      </c>
      <c r="H75">
        <f>G75/12</f>
        <v>2750</v>
      </c>
      <c r="I75">
        <f>F75/H75</f>
        <v>42</v>
      </c>
      <c r="J75"/>
      <c r="K75"/>
      <c r="L75" s="136" t="s">
        <v>11</v>
      </c>
      <c r="M75" s="149">
        <f>SUM(K22:K29)</f>
        <v>225000</v>
      </c>
      <c r="N75">
        <v>60000</v>
      </c>
      <c r="O75">
        <f>N75/12</f>
        <v>5000</v>
      </c>
      <c r="P75">
        <f>M75/O75</f>
        <v>45</v>
      </c>
      <c r="Q75"/>
      <c r="R75"/>
      <c r="U75" s="10" t="s">
        <v>73</v>
      </c>
      <c r="V75" s="10">
        <v>4000</v>
      </c>
      <c r="W75" s="10">
        <f>V75*6</f>
        <v>24000</v>
      </c>
      <c r="X75" s="269">
        <v>6000</v>
      </c>
      <c r="Y75" s="10">
        <f t="shared" ref="Y75:Y76" si="40">W75/X75</f>
        <v>4</v>
      </c>
    </row>
    <row r="76" spans="1:68" ht="15" x14ac:dyDescent="0.25">
      <c r="E76" s="261" t="s">
        <v>22</v>
      </c>
      <c r="F76" s="149">
        <f>SUM(E21:E22)</f>
        <v>33000</v>
      </c>
      <c r="G76">
        <v>34000</v>
      </c>
      <c r="H76">
        <f>G76/12</f>
        <v>2833.3333333333335</v>
      </c>
      <c r="I76">
        <f>F76/H76</f>
        <v>11.647058823529411</v>
      </c>
      <c r="J76"/>
      <c r="K76"/>
      <c r="L76" s="255" t="s">
        <v>21</v>
      </c>
      <c r="M76" s="149">
        <v>0</v>
      </c>
      <c r="N76">
        <v>55000</v>
      </c>
      <c r="O76">
        <f t="shared" ref="O76:O77" si="41">N76/12</f>
        <v>4583.333333333333</v>
      </c>
      <c r="P76">
        <f t="shared" ref="P76:P77" si="42">M76/O76</f>
        <v>0</v>
      </c>
      <c r="Q76"/>
      <c r="R76"/>
      <c r="U76" s="10" t="s">
        <v>74</v>
      </c>
      <c r="V76" s="10">
        <v>1984</v>
      </c>
      <c r="W76" s="10">
        <f>V76*15</f>
        <v>29760</v>
      </c>
      <c r="X76" s="269">
        <v>12600</v>
      </c>
      <c r="Y76" s="10">
        <f t="shared" si="40"/>
        <v>2.361904761904762</v>
      </c>
    </row>
    <row r="77" spans="1:68" ht="15" x14ac:dyDescent="0.25">
      <c r="E77"/>
      <c r="F77"/>
      <c r="G77"/>
      <c r="H77"/>
      <c r="I77">
        <f>SUM(I75:I76)</f>
        <v>53.647058823529413</v>
      </c>
      <c r="J77"/>
      <c r="K77"/>
      <c r="L77" s="145" t="s">
        <v>23</v>
      </c>
      <c r="M77" s="149">
        <f>SUM(K20:K21)</f>
        <v>43545</v>
      </c>
      <c r="N77">
        <v>60000</v>
      </c>
      <c r="O77">
        <f t="shared" si="41"/>
        <v>5000</v>
      </c>
      <c r="P77">
        <f t="shared" si="42"/>
        <v>8.7089999999999996</v>
      </c>
      <c r="Q77"/>
      <c r="R77" t="s">
        <v>60</v>
      </c>
      <c r="Y77" s="10">
        <f>SUM(Y74:Y76)</f>
        <v>15.250793650793652</v>
      </c>
    </row>
    <row r="78" spans="1:68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53.709000000000003</v>
      </c>
      <c r="Q78"/>
      <c r="R78">
        <f>P78+I77</f>
        <v>107.35605882352942</v>
      </c>
    </row>
    <row r="96" spans="5:5" x14ac:dyDescent="0.2">
      <c r="E96" s="188" t="s">
        <v>75</v>
      </c>
    </row>
    <row r="97" spans="5:18" x14ac:dyDescent="0.2">
      <c r="E97" s="188" t="s">
        <v>9</v>
      </c>
      <c r="G97" s="10">
        <f t="shared" ref="G97:P97" si="43">+G45*12</f>
        <v>408000</v>
      </c>
      <c r="H97" s="10">
        <f t="shared" si="43"/>
        <v>34000</v>
      </c>
      <c r="I97" s="10">
        <f t="shared" si="43"/>
        <v>417.26117647058823</v>
      </c>
      <c r="J97" s="10">
        <f t="shared" si="43"/>
        <v>0</v>
      </c>
      <c r="K97" s="10">
        <f t="shared" si="43"/>
        <v>0</v>
      </c>
      <c r="L97" s="10" t="e">
        <f t="shared" si="43"/>
        <v>#VALUE!</v>
      </c>
      <c r="M97" s="10">
        <f t="shared" si="43"/>
        <v>1202952</v>
      </c>
      <c r="N97" s="10">
        <f t="shared" si="43"/>
        <v>660000</v>
      </c>
      <c r="O97" s="10">
        <f t="shared" si="43"/>
        <v>55000</v>
      </c>
      <c r="P97" s="10">
        <f t="shared" si="43"/>
        <v>262.46225454545458</v>
      </c>
      <c r="R97" s="10" t="e">
        <f>SUM(G97:P97)</f>
        <v>#VALUE!</v>
      </c>
    </row>
    <row r="98" spans="5:18" x14ac:dyDescent="0.2">
      <c r="E98" s="188" t="s">
        <v>27</v>
      </c>
      <c r="G98" s="10">
        <f t="shared" ref="G98:P98" si="44">+G47*12</f>
        <v>0</v>
      </c>
      <c r="H98" s="10">
        <f t="shared" si="44"/>
        <v>0</v>
      </c>
      <c r="I98" s="10">
        <f t="shared" si="44"/>
        <v>0</v>
      </c>
      <c r="J98" s="10">
        <f t="shared" si="44"/>
        <v>0</v>
      </c>
      <c r="K98" s="10">
        <f t="shared" si="44"/>
        <v>0</v>
      </c>
      <c r="L98" s="10">
        <f t="shared" si="44"/>
        <v>0</v>
      </c>
      <c r="M98" s="10">
        <f t="shared" si="44"/>
        <v>0</v>
      </c>
      <c r="N98" s="10">
        <f t="shared" si="44"/>
        <v>0</v>
      </c>
      <c r="O98" s="10">
        <f t="shared" si="44"/>
        <v>0</v>
      </c>
      <c r="P98" s="10">
        <f t="shared" si="44"/>
        <v>1187.6838545454546</v>
      </c>
      <c r="R98" s="10">
        <f>SUM(G98:P98)</f>
        <v>1187.6838545454546</v>
      </c>
    </row>
    <row r="99" spans="5:18" x14ac:dyDescent="0.2">
      <c r="R99" s="10" t="e">
        <f>+R97+R98</f>
        <v>#VALUE!</v>
      </c>
    </row>
    <row r="100" spans="5:18" x14ac:dyDescent="0.2">
      <c r="R100" s="18">
        <v>-6276000</v>
      </c>
    </row>
  </sheetData>
  <sheetProtection algorithmName="SHA-512" hashValue="8MPIKCTBb3REv79aBI6I2SnoLfqgEXdg4OC9gPndBpP6pkWAe8EFALLbgUoCcYy0+V/Epn6hsij0NHCQ7gV7Aw==" saltValue="Awzdvbzh4AIG+eXXcfeVeA==" spinCount="100000" sheet="1" objects="1" scenarios="1"/>
  <mergeCells count="5">
    <mergeCell ref="B1:P1"/>
    <mergeCell ref="B7:B8"/>
    <mergeCell ref="C7:C8"/>
    <mergeCell ref="E7:J7"/>
    <mergeCell ref="K7:P7"/>
  </mergeCells>
  <conditionalFormatting sqref="I15:I16">
    <cfRule type="cellIs" dxfId="280" priority="13" operator="equal">
      <formula>6842</formula>
    </cfRule>
    <cfRule type="cellIs" dxfId="279" priority="14" operator="equal">
      <formula>2821</formula>
    </cfRule>
    <cfRule type="cellIs" dxfId="278" priority="15" operator="equal">
      <formula>2395</formula>
    </cfRule>
    <cfRule type="cellIs" dxfId="277" priority="16" operator="equal">
      <formula>1564</formula>
    </cfRule>
  </conditionalFormatting>
  <conditionalFormatting sqref="J15:J16">
    <cfRule type="containsText" dxfId="276" priority="9" operator="containsText" text="CM620RT-TEL">
      <formula>NOT(ISERROR(SEARCH("CM620RT-TEL",J15)))</formula>
    </cfRule>
    <cfRule type="containsText" dxfId="275" priority="10" operator="containsText" text="PC630RT">
      <formula>NOT(ISERROR(SEARCH("PC630RT",J15)))</formula>
    </cfRule>
    <cfRule type="containsText" dxfId="274" priority="11" operator="containsText" text="PT620RT">
      <formula>NOT(ISERROR(SEARCH("PT620RT",J15)))</formula>
    </cfRule>
    <cfRule type="containsText" dxfId="273" priority="12" operator="containsText" text="CR650RT">
      <formula>NOT(ISERROR(SEARCH("CR650RT",J15)))</formula>
    </cfRule>
  </conditionalFormatting>
  <conditionalFormatting sqref="O18:O19">
    <cfRule type="cellIs" dxfId="272" priority="5" operator="equal">
      <formula>6842</formula>
    </cfRule>
    <cfRule type="cellIs" dxfId="271" priority="6" operator="equal">
      <formula>2821</formula>
    </cfRule>
    <cfRule type="cellIs" dxfId="270" priority="7" operator="equal">
      <formula>2395</formula>
    </cfRule>
    <cfRule type="cellIs" dxfId="269" priority="8" operator="equal">
      <formula>1564</formula>
    </cfRule>
  </conditionalFormatting>
  <conditionalFormatting sqref="P18:P19">
    <cfRule type="containsText" dxfId="268" priority="1" operator="containsText" text="CM620RT-TEL">
      <formula>NOT(ISERROR(SEARCH("CM620RT-TEL",P18)))</formula>
    </cfRule>
    <cfRule type="containsText" dxfId="267" priority="2" operator="containsText" text="PC630RT">
      <formula>NOT(ISERROR(SEARCH("PC630RT",P18)))</formula>
    </cfRule>
    <cfRule type="containsText" dxfId="266" priority="3" operator="containsText" text="PT620RT">
      <formula>NOT(ISERROR(SEARCH("PT620RT",P18)))</formula>
    </cfRule>
    <cfRule type="containsText" dxfId="265" priority="4" operator="containsText" text="CR650RT">
      <formula>NOT(ISERROR(SEARCH("CR650RT",P18)))</formula>
    </cfRule>
  </conditionalFormatting>
  <dataValidations count="1">
    <dataValidation type="list" allowBlank="1" showInputMessage="1" showErrorMessage="1" sqref="Q9:Q29 D9:D29" xr:uid="{CF3225B0-8693-4AE0-BCB8-20D8C0750BCE}">
      <formula1>#REF!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262D-0385-4F29-82FC-C3BA86D5983C}">
  <sheetPr>
    <tabColor rgb="FFCC9900"/>
  </sheetPr>
  <dimension ref="A1:BP100"/>
  <sheetViews>
    <sheetView showGridLines="0" zoomScale="60" zoomScaleNormal="60" workbookViewId="0">
      <selection activeCell="W10" sqref="W10"/>
    </sheetView>
  </sheetViews>
  <sheetFormatPr baseColWidth="10" defaultColWidth="11.42578125" defaultRowHeight="12.75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8.5703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5.42578125" style="10" customWidth="1"/>
    <col min="18" max="18" width="13.5703125" style="10" customWidth="1"/>
    <col min="19" max="19" width="8" style="10" customWidth="1"/>
    <col min="20" max="20" width="10.42578125" style="10" bestFit="1" customWidth="1"/>
    <col min="21" max="21" width="12.5703125" style="10" customWidth="1"/>
    <col min="22" max="22" width="9.140625" style="10"/>
    <col min="23" max="23" width="15.5703125" style="10" customWidth="1"/>
    <col min="24" max="24" width="15" style="10" customWidth="1"/>
    <col min="25" max="25" width="19.85546875" style="10" customWidth="1"/>
    <col min="26" max="26" width="5.7109375" style="10" customWidth="1" collapsed="1"/>
    <col min="27" max="68" width="11.42578125" style="10"/>
  </cols>
  <sheetData>
    <row r="1" spans="1:68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49</v>
      </c>
      <c r="K3" s="4"/>
      <c r="L3" s="7"/>
      <c r="M3" s="7"/>
      <c r="N3" s="7"/>
      <c r="O3" s="7"/>
      <c r="P3" s="7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5" spans="1:68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01/12/YYYY al 07/12/YYYY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">
      <c r="B6" s="11" t="s">
        <v>2</v>
      </c>
      <c r="C6" s="11" t="s">
        <v>3</v>
      </c>
      <c r="D6" s="12">
        <v>2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</row>
    <row r="7" spans="1:68" ht="31.5" x14ac:dyDescent="0.2">
      <c r="A7" s="13"/>
      <c r="B7" s="997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1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8.75" x14ac:dyDescent="0.2">
      <c r="A8" s="13"/>
      <c r="B8" s="998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174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215" t="s">
        <v>6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215" t="s">
        <v>9</v>
      </c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</row>
    <row r="9" spans="1:68" ht="15.75" x14ac:dyDescent="0.25">
      <c r="A9" s="13"/>
      <c r="B9" s="216">
        <v>45992</v>
      </c>
      <c r="C9" s="87" t="s">
        <v>10</v>
      </c>
      <c r="D9" s="175"/>
      <c r="E9" s="312">
        <v>8000</v>
      </c>
      <c r="F9" s="217">
        <v>2395</v>
      </c>
      <c r="G9" s="218" t="s">
        <v>22</v>
      </c>
      <c r="H9" s="229">
        <v>6312</v>
      </c>
      <c r="I9" s="219">
        <v>1564</v>
      </c>
      <c r="J9" s="223" t="s">
        <v>11</v>
      </c>
      <c r="K9" s="176">
        <v>35000</v>
      </c>
      <c r="L9" s="136">
        <v>1564</v>
      </c>
      <c r="M9" s="136" t="s">
        <v>11</v>
      </c>
      <c r="N9" s="234">
        <f>28392+7492</f>
        <v>35884</v>
      </c>
      <c r="O9" s="136">
        <v>1564</v>
      </c>
      <c r="P9" s="136" t="s">
        <v>11</v>
      </c>
      <c r="Q9" s="178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/>
      <c r="AB9" s="74"/>
      <c r="AC9" s="74"/>
      <c r="AD9" s="79" t="s">
        <v>7</v>
      </c>
      <c r="AE9" s="79" t="s">
        <v>8</v>
      </c>
      <c r="AF9" s="80">
        <f>B9</f>
        <v>45992</v>
      </c>
      <c r="AG9" s="80">
        <f>B12</f>
        <v>45993</v>
      </c>
      <c r="AH9" s="80">
        <f>B15</f>
        <v>45994</v>
      </c>
      <c r="AI9" s="80">
        <f>B18</f>
        <v>45995</v>
      </c>
      <c r="AJ9" s="80">
        <f>B21</f>
        <v>45996</v>
      </c>
      <c r="AK9" s="80">
        <f>B24</f>
        <v>45997</v>
      </c>
      <c r="AL9" s="80">
        <f>B27</f>
        <v>45998</v>
      </c>
      <c r="AM9" s="79" t="s">
        <v>17</v>
      </c>
      <c r="AN9" s="74"/>
      <c r="AO9" s="79" t="s">
        <v>7</v>
      </c>
      <c r="AP9" s="79" t="s">
        <v>8</v>
      </c>
      <c r="AQ9" s="80">
        <f>AF9</f>
        <v>45992</v>
      </c>
      <c r="AR9" s="80">
        <f t="shared" ref="AR9:AW9" si="0">AG9</f>
        <v>45993</v>
      </c>
      <c r="AS9" s="80">
        <f t="shared" si="0"/>
        <v>45994</v>
      </c>
      <c r="AT9" s="80">
        <f t="shared" si="0"/>
        <v>45995</v>
      </c>
      <c r="AU9" s="80">
        <f t="shared" si="0"/>
        <v>45996</v>
      </c>
      <c r="AV9" s="80">
        <f t="shared" si="0"/>
        <v>45997</v>
      </c>
      <c r="AW9" s="80">
        <f t="shared" si="0"/>
        <v>45998</v>
      </c>
      <c r="AX9" s="79" t="s">
        <v>17</v>
      </c>
      <c r="AY9" s="74"/>
      <c r="AZ9" s="74"/>
      <c r="BA9" s="74"/>
      <c r="BB9" s="74"/>
    </row>
    <row r="10" spans="1:68" ht="15" x14ac:dyDescent="0.25">
      <c r="A10" s="13"/>
      <c r="B10" s="216" t="s">
        <v>18</v>
      </c>
      <c r="C10" s="85" t="s">
        <v>19</v>
      </c>
      <c r="D10" s="179"/>
      <c r="E10" s="312">
        <v>16500</v>
      </c>
      <c r="F10" s="226">
        <v>2395</v>
      </c>
      <c r="G10" s="180" t="s">
        <v>22</v>
      </c>
      <c r="H10" s="235">
        <f>5208+16800</f>
        <v>22008</v>
      </c>
      <c r="I10" s="226">
        <v>2395</v>
      </c>
      <c r="J10" s="180" t="s">
        <v>22</v>
      </c>
      <c r="K10" s="176">
        <v>10000</v>
      </c>
      <c r="L10" s="136">
        <v>1564</v>
      </c>
      <c r="M10" s="136" t="s">
        <v>11</v>
      </c>
      <c r="N10" s="176">
        <v>21000</v>
      </c>
      <c r="O10" s="187">
        <v>2821</v>
      </c>
      <c r="P10" s="177" t="s">
        <v>23</v>
      </c>
      <c r="Q10" s="181"/>
      <c r="R10" s="81"/>
      <c r="S10" s="94">
        <v>1564</v>
      </c>
      <c r="T10" s="95" t="s">
        <v>11</v>
      </c>
      <c r="U10" s="96">
        <f>SUMIF($F$9:$F$29,S10,$E$9:$E$29)</f>
        <v>115000</v>
      </c>
      <c r="V10" s="96">
        <f>SUMIF($M$9:$M$29,T10,$K$9:$K$29)</f>
        <v>315000</v>
      </c>
      <c r="W10" s="96">
        <f t="shared" ref="W10:W16" si="1">SUM(U10:V10)</f>
        <v>430000</v>
      </c>
      <c r="X10" s="96">
        <f>(SUMIF($J$9:$J$29,T10,$H$9:$H$29))+(SUMIF($P$9:$P$29,T10,$N$9:$N$29))</f>
        <v>403729</v>
      </c>
      <c r="Y10" s="96">
        <f>+W10-X10</f>
        <v>26271</v>
      </c>
      <c r="Z10" s="74"/>
      <c r="AA10" s="74"/>
      <c r="AB10" s="74"/>
      <c r="AC10" s="74"/>
      <c r="AD10" s="76">
        <v>1564</v>
      </c>
      <c r="AE10" s="76" t="s">
        <v>11</v>
      </c>
      <c r="AF10" s="82">
        <f>SUMIF($F$9:$F$11,$AD10,$E$9:$E$11)+SUMIF($I$9:$I$11,$AD10,$H$9:$H$11)+SUMIF($L$9:$L$11,$AD10,$K$9:$K$11)+SUMIF($O$9:$O$11,$AD10,$N$9:$N$11)</f>
        <v>87196</v>
      </c>
      <c r="AG10" s="82">
        <f>SUMIF($F$12:$F$14,$AD10,$E$12:$E$14)+SUMIF($I$12:$I$14,$AD10,$H$12:$H$14)+SUMIF($L$12:$L$14,$AD10,$K$12:$K$14)+SUMIF($O$12:$O$14,$AD10,$N$12:$N$14)</f>
        <v>0</v>
      </c>
      <c r="AH10" s="82">
        <f>SUMIF($F$15:$F$17,$AD10,$E$15:$E$17)+SUMIF($I$15:$I$17,$AD10,$H$15:$H$17)+SUMIF($L$15:$L$17,$AD10,$K$15:$K$17)+SUMIF($O$15:$O$17,$AD10,$N$15:$N$17)</f>
        <v>0</v>
      </c>
      <c r="AI10" s="82">
        <f>SUMIF($F$18:$F$20,$AD10,$E$18:$E$20)+SUMIF($I$18:$I$20,$AD10,$H$18:$H$20)+SUMIF($L$18:$L$20,$AD10,$K$18:$K$20)+SUMIF($O$18:$O$20,$AD10,$N$18:$N$20)</f>
        <v>59856</v>
      </c>
      <c r="AJ10" s="82">
        <f>SUMIF($F$21:$F$23,$AD10,$E$21:$E$23)+SUMIF($I$21:$I$23,$AD10,$H$21:$H$23)+SUMIF($L$21:$L$23,$AD10,$K$21:$K$23)+SUMIF($O$21:$O$23,$AD10,$N$21:$N$23)</f>
        <v>230393</v>
      </c>
      <c r="AK10" s="82">
        <f>SUMIF($F$24:$F$26,$AD10,$E$24:$E$26)+SUMIF($I$24:$I$26,$AD10,$H$24:$H$26)+SUMIF($L$24:$L$26,$AD10,$K$24:$K$26)+SUMIF($O$24:$O$26,$AD10,$N$24:$N$26)</f>
        <v>249168</v>
      </c>
      <c r="AL10" s="82">
        <f>SUMIF($F$27:$F$29,$AD10,$E$27:$E$29)+SUMIF($I$27:$I$29,$AD10,$H$27:$H$29)+SUMIF($L$27:$L$29,$AD10,$K$27:$K$29)+SUMIF($O$27:$O$29,$AD10,$N$27:$N$29)</f>
        <v>207116</v>
      </c>
      <c r="AM10" s="83">
        <f>SUM(AF10:AL10)</f>
        <v>833729</v>
      </c>
      <c r="AN10" s="74"/>
      <c r="AO10" s="76">
        <v>1564</v>
      </c>
      <c r="AP10" s="76" t="s">
        <v>11</v>
      </c>
      <c r="AQ10" s="185">
        <f>SUMIF($I$9:$I$11,$AO10,$H$9:$H$11)+SUMIF($F$9:$F$11,$AO10,$E$9:$E$11)</f>
        <v>6312</v>
      </c>
      <c r="AR10" s="185">
        <f>SUMIF($I$12:$I$14,$AO10,$H$12:$H$14)+SUMIF($F$12:$F$14,$AO10,$E$12:$E$14)</f>
        <v>0</v>
      </c>
      <c r="AS10" s="185">
        <f>SUMIF($I$15:$I$17,$AO10,$H$15:$H$17)+SUMIF($F$15:$F$17,$AO10,$E$15:$E$17)</f>
        <v>0</v>
      </c>
      <c r="AT10" s="185">
        <f>SUMIF($I$18:$I$20,$AO10,$H$18:$H$20)+SUMIF($F$18:$F$20,$AO10,$E$18:$E$20)</f>
        <v>0</v>
      </c>
      <c r="AU10" s="185">
        <f>SUMIF($I$21:$I$23,$AO10,$H$21:$H$23)+SUMIF($F$21:$F$23,$AO10,$E$21:$E$23)</f>
        <v>49169</v>
      </c>
      <c r="AV10" s="185">
        <f>SUMIF($I$24:$I$26,$AO10,$H$24:$H$26)+SUMIF($F$24:$F$26,$AO10,$E$24:$E$26)</f>
        <v>95532</v>
      </c>
      <c r="AW10" s="185">
        <f>SUMIF($I$27:$I$29,$AO10,$H$27:$H$29)+SUMIF($F$27:$F$29,$AO10,$E$27:$E$29)</f>
        <v>78692</v>
      </c>
      <c r="AX10" s="220">
        <f>SUM(AQ10:AW10)</f>
        <v>229705</v>
      </c>
      <c r="AY10" s="74"/>
      <c r="AZ10" s="74"/>
      <c r="BA10" s="74"/>
      <c r="BB10" s="74"/>
    </row>
    <row r="11" spans="1:68" ht="15" x14ac:dyDescent="0.25">
      <c r="A11" s="13"/>
      <c r="B11" s="221"/>
      <c r="C11" s="86" t="s">
        <v>20</v>
      </c>
      <c r="D11" s="182"/>
      <c r="E11" s="230">
        <v>16500</v>
      </c>
      <c r="F11" s="227">
        <v>2395</v>
      </c>
      <c r="G11" s="228" t="s">
        <v>22</v>
      </c>
      <c r="H11" s="237">
        <v>16632</v>
      </c>
      <c r="I11" s="227">
        <v>2395</v>
      </c>
      <c r="J11" s="228" t="s">
        <v>22</v>
      </c>
      <c r="K11" s="183">
        <v>30000</v>
      </c>
      <c r="L11" s="146">
        <v>2821</v>
      </c>
      <c r="M11" s="146" t="s">
        <v>23</v>
      </c>
      <c r="N11" s="238">
        <v>25368</v>
      </c>
      <c r="O11" s="227">
        <v>2821</v>
      </c>
      <c r="P11" s="228" t="s">
        <v>23</v>
      </c>
      <c r="Q11" s="184"/>
      <c r="R11" s="81"/>
      <c r="S11" s="97">
        <v>2395</v>
      </c>
      <c r="T11" s="98" t="s">
        <v>22</v>
      </c>
      <c r="U11" s="99">
        <f>SUMIF($F$9:$F$29,S11,$E$9:$E$29)</f>
        <v>156000</v>
      </c>
      <c r="V11" s="99">
        <f>SUMIF($M$9:$M$29,S11,$L$9:$L$29)+SUMIF($P$9:$P$29,S11,$O$9:$O$29)</f>
        <v>0</v>
      </c>
      <c r="W11" s="99">
        <f t="shared" si="1"/>
        <v>156000</v>
      </c>
      <c r="X11" s="99">
        <f>SUMIF($J$9:$J$29,T11,$H$9:$H$29)</f>
        <v>166529</v>
      </c>
      <c r="Y11" s="99">
        <f>+W11-X11</f>
        <v>-10529</v>
      </c>
      <c r="Z11" s="74"/>
      <c r="AA11" s="185"/>
      <c r="AB11" s="74"/>
      <c r="AC11" s="74"/>
      <c r="AD11" s="76">
        <v>2395</v>
      </c>
      <c r="AE11" s="76" t="s">
        <v>22</v>
      </c>
      <c r="AF11" s="82">
        <f>SUMIF($F$9:$F$11,$AD11,$E$9:$E$11)+SUMIF($I$9:$I$11,$AD11,$H$9:$H$11)+SUMIF($L$9:$L$11,$AD11,$K$9:$K$11)+SUMIF($O$9:$O$11,$AD11,$N$9:$N$11)</f>
        <v>79640</v>
      </c>
      <c r="AG11" s="82">
        <f>SUMIF($F$12:$F$14,$AD11,$E$12:$E$14)+SUMIF($I$12:$I$14,$AD11,$H$12:$H$14)+SUMIF($L$12:$L$14,$AD11,$K$12:$K$14)+SUMIF($O$12:$O$14,$AD11,$N$12:$N$14)</f>
        <v>28097</v>
      </c>
      <c r="AH11" s="82">
        <f>SUMIF($F$15:$F$17,$AD11,$E$15:$E$17)+SUMIF($I$15:$I$17,$AD11,$H$15:$H$17)+SUMIF($L$15:$L$17,$AD11,$K$15:$K$17)+SUMIF($O$15:$O$17,$AD11,$N$15:$N$17)</f>
        <v>100740</v>
      </c>
      <c r="AI11" s="82">
        <f>SUMIF($F$18:$F$20,$AD11,$E$18:$E$20)+SUMIF($I$18:$I$20,$AD11,$H$18:$H$20)+SUMIF($L$18:$L$20,$AD11,$K$18:$K$20)+SUMIF($O$18:$O$20,$AD11,$N$18:$N$20)</f>
        <v>91836</v>
      </c>
      <c r="AJ11" s="82">
        <f>SUMIF($F$21:$F$23,$AD11,$E$21:$E$23)+SUMIF($I$21:$I$23,$AD11,$H$21:$H$23)+SUMIF($L$21:$L$23,$AD11,$K$21:$K$23)+SUMIF($O$21:$O$23,$AD11,$N$21:$N$23)</f>
        <v>22216</v>
      </c>
      <c r="AK11" s="82">
        <f>SUMIF($F$24:$F$26,$AD11,$E$24:$E$26)+SUMIF($I$24:$I$26,$AD11,$H$24:$H$26)+SUMIF($L$24:$L$26,$AD11,$K$24:$K$26)+SUMIF($O$24:$O$26,$AD11,$N$24:$N$26)</f>
        <v>0</v>
      </c>
      <c r="AL11" s="82">
        <f>SUMIF($F$27:$F$29,$AD11,$E$27:$E$29)+SUMIF($I$27:$I$29,$AD11,$H$27:$H$29)+SUMIF($L$27:$L$29,$AD11,$K$27:$K$29)+SUMIF($O$27:$O$29,$AD11,$N$27:$N$29)</f>
        <v>0</v>
      </c>
      <c r="AM11" s="83">
        <f t="shared" ref="AM11:AM12" si="2">SUM(AF11:AL11)</f>
        <v>322529</v>
      </c>
      <c r="AN11" s="74"/>
      <c r="AO11" s="76">
        <v>2395</v>
      </c>
      <c r="AP11" s="76" t="s">
        <v>22</v>
      </c>
      <c r="AQ11" s="185">
        <f t="shared" ref="AQ11" si="3">SUMIF($I$9:$I$11,$AO11,$H$9:$H$11)+SUMIF($F$9:$F$11,$AO11,$E$9:$E$11)</f>
        <v>79640</v>
      </c>
      <c r="AR11" s="185">
        <f>SUMIF($I$12:$I$14,$AO11,$H$12:$H$14)+SUMIF($F$12:$F$14,$AO11,$E$12:$E$14)</f>
        <v>28097</v>
      </c>
      <c r="AS11" s="185">
        <f>SUMIF($I$15:$I$17,$AO11,$H$15:$H$17)+SUMIF($F$15:$F$17,$AO11,$E$15:$E$17)</f>
        <v>100740</v>
      </c>
      <c r="AT11" s="185">
        <f>SUMIF($I$18:$I$20,$AO11,$H$18:$H$20)+SUMIF($F$18:$F$20,$AO11,$E$18:$E$20)</f>
        <v>91836</v>
      </c>
      <c r="AU11" s="185">
        <f>SUMIF($I$21:$I$23,$AO11,$H$21:$H$23)+SUMIF($F$21:$F$23,$AO11,$E$21:$E$23)</f>
        <v>22216</v>
      </c>
      <c r="AV11" s="185">
        <f>SUMIF($I$24:$I$26,$AO11,$H$24:$H$26)+SUMIF($F$24:$F$26,$AO11,$E$24:$E$26)</f>
        <v>0</v>
      </c>
      <c r="AW11" s="185">
        <f>SUMIF($I$27:$I$29,$AO11,$H$27:$H$29)+SUMIF($F$27:$F$29,$AO11,$E$27:$E$29)</f>
        <v>0</v>
      </c>
      <c r="AX11" s="220">
        <f t="shared" ref="AX11" si="4">SUM(AQ11:AW11)</f>
        <v>322529</v>
      </c>
      <c r="AY11" s="74"/>
      <c r="AZ11" s="74"/>
      <c r="BA11" s="74"/>
      <c r="BB11" s="74"/>
    </row>
    <row r="12" spans="1:68" ht="15" x14ac:dyDescent="0.25">
      <c r="A12" s="13"/>
      <c r="B12" s="216">
        <f>+B9+1</f>
        <v>45993</v>
      </c>
      <c r="C12" s="87" t="s">
        <v>10</v>
      </c>
      <c r="D12" s="175"/>
      <c r="E12" s="229"/>
      <c r="F12" s="217"/>
      <c r="G12" s="246" t="s">
        <v>30</v>
      </c>
      <c r="H12" s="231">
        <v>4809</v>
      </c>
      <c r="I12" s="187">
        <v>2395</v>
      </c>
      <c r="J12" s="218" t="s">
        <v>22</v>
      </c>
      <c r="K12" s="186">
        <v>30000</v>
      </c>
      <c r="L12" s="145">
        <v>2821</v>
      </c>
      <c r="M12" s="145" t="s">
        <v>23</v>
      </c>
      <c r="N12" s="234">
        <v>28224</v>
      </c>
      <c r="O12" s="187">
        <v>2821</v>
      </c>
      <c r="P12" s="177" t="s">
        <v>23</v>
      </c>
      <c r="Q12" s="178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210000</v>
      </c>
      <c r="W12" s="102">
        <f t="shared" si="1"/>
        <v>210000</v>
      </c>
      <c r="X12" s="102">
        <f>SUMIF($P$9:$P$29,T12,$N$9:$N$29)</f>
        <v>214420</v>
      </c>
      <c r="Y12" s="102">
        <f>+W12-X12</f>
        <v>-4420</v>
      </c>
      <c r="Z12" s="74"/>
      <c r="AA12" s="74"/>
      <c r="AB12" s="74"/>
      <c r="AC12" s="74"/>
      <c r="AD12" s="76">
        <v>2821</v>
      </c>
      <c r="AE12" s="76" t="s">
        <v>23</v>
      </c>
      <c r="AF12" s="82">
        <f>SUMIF($F$9:$F$11,$AD12,$E$9:$E$11)+SUMIF($I$9:$I$11,$AD12,$H$9:$H$11)+SUMIF($L$9:$L$11,$AD12,$K$9:$K$11)+SUMIF($O$9:$O$11,$AD12,$N$9:$N$11)</f>
        <v>76368</v>
      </c>
      <c r="AG12" s="82">
        <f>SUMIF($F$12:$F$14,$AD12,$E$12:$E$14)+SUMIF($I$12:$I$14,$AD12,$H$12:$H$14)+SUMIF($L$12:$L$14,$AD12,$K$12:$K$14)+SUMIF($O$12:$O$14,$AD12,$N$12:$N$14)</f>
        <v>182400</v>
      </c>
      <c r="AH12" s="82">
        <f>SUMIF($F$15:$F$17,$AD12,$E$15:$E$17)+SUMIF($I$15:$I$17,$AD12,$H$15:$H$17)+SUMIF($L$15:$L$17,$AD12,$K$15:$K$17)+SUMIF($O$15:$O$17,$AD12,$N$15:$N$17)</f>
        <v>95508</v>
      </c>
      <c r="AI12" s="82">
        <f>SUMIF($F$18:$F$20,$AD12,$E$18:$E$20)+SUMIF($I$18:$I$20,$AD12,$H$18:$H$20)+SUMIF($L$18:$L$20,$AD12,$K$18:$K$20)+SUMIF($O$18:$O$20,$AD12,$N$18:$N$20)</f>
        <v>70144</v>
      </c>
      <c r="AJ12" s="82">
        <f>SUMIF($F$21:$F$23,$AD12,$E$21:$E$23)+SUMIF($I$21:$I$23,$AD12,$H$21:$H$23)+SUMIF($L$21:$L$23,$AD12,$K$21:$K$23)+SUMIF($O$21:$O$23,$AD12,$N$21:$N$23)</f>
        <v>0</v>
      </c>
      <c r="AK12" s="82">
        <f>SUMIF($F$24:$F$26,$AD12,$E$24:$E$26)+SUMIF($I$24:$I$26,$AD12,$H$24:$H$26)+SUMIF($L$24:$L$26,$AD12,$K$24:$K$26)+SUMIF($O$24:$O$26,$AD12,$N$24:$N$26)</f>
        <v>0</v>
      </c>
      <c r="AL12" s="82">
        <f>SUMIF($F$27:$F$29,$AD12,$E$27:$E$29)+SUMIF($I$27:$I$29,$AD12,$H$27:$H$29)+SUMIF($L$27:$L$29,$AD12,$K$27:$K$29)+SUMIF($O$27:$O$29,$AD12,$N$27:$N$29)</f>
        <v>0</v>
      </c>
      <c r="AM12" s="83">
        <f t="shared" si="2"/>
        <v>424420</v>
      </c>
      <c r="AN12" s="74"/>
      <c r="AO12" s="74"/>
      <c r="AP12" s="74"/>
      <c r="AQ12" s="185">
        <f>SUM(AQ10:AQ11)</f>
        <v>85952</v>
      </c>
      <c r="AR12" s="185">
        <f t="shared" ref="AR12:AX12" si="5">SUM(AR10:AR11)</f>
        <v>28097</v>
      </c>
      <c r="AS12" s="185">
        <f t="shared" si="5"/>
        <v>100740</v>
      </c>
      <c r="AT12" s="185">
        <f t="shared" si="5"/>
        <v>91836</v>
      </c>
      <c r="AU12" s="185">
        <f t="shared" si="5"/>
        <v>71385</v>
      </c>
      <c r="AV12" s="185">
        <f t="shared" si="5"/>
        <v>95532</v>
      </c>
      <c r="AW12" s="185">
        <f t="shared" si="5"/>
        <v>78692</v>
      </c>
      <c r="AX12" s="220">
        <f t="shared" si="5"/>
        <v>552234</v>
      </c>
      <c r="AY12" s="74"/>
      <c r="AZ12" s="74"/>
      <c r="BA12" s="74"/>
      <c r="BB12" s="74"/>
    </row>
    <row r="13" spans="1:68" ht="15" x14ac:dyDescent="0.25">
      <c r="A13" s="13"/>
      <c r="B13" s="216" t="s">
        <v>24</v>
      </c>
      <c r="C13" s="85" t="s">
        <v>19</v>
      </c>
      <c r="D13" s="179"/>
      <c r="E13" s="312"/>
      <c r="F13" s="217"/>
      <c r="G13" s="246" t="s">
        <v>30</v>
      </c>
      <c r="H13" s="235"/>
      <c r="I13" s="219"/>
      <c r="J13" s="218"/>
      <c r="K13" s="176">
        <v>30000</v>
      </c>
      <c r="L13" s="145">
        <v>2821</v>
      </c>
      <c r="M13" s="145" t="s">
        <v>23</v>
      </c>
      <c r="N13" s="236">
        <v>34104</v>
      </c>
      <c r="O13" s="187">
        <v>2821</v>
      </c>
      <c r="P13" s="177" t="s">
        <v>23</v>
      </c>
      <c r="Q13" s="181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1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6">
        <v>6843</v>
      </c>
      <c r="AE13" s="76" t="s">
        <v>26</v>
      </c>
      <c r="AF13" s="82">
        <f>SUMIF($F$9:$F$11,$AD13,$E$9:$E$11)+SUMIF($I$9:$I$11,$AD13,$H$9:$H$11)+SUMIF($L$9:$L$11,$AD13,$K$9:$K$11)+SUMIF($O$9:$O$11,$AD13,$N$9:$N$11)</f>
        <v>0</v>
      </c>
      <c r="AG13" s="82">
        <f>SUMIF($F$12:$F$14,$AD13,$E$12:$E$14)+SUMIF($I$12:$I$14,$AD13,$H$12:$H$14)+SUMIF($L$12:$L$14,$AD13,$K$12:$K$14)+SUMIF($O$12:$O$14,$AD13,$N$12:$N$14)</f>
        <v>0</v>
      </c>
      <c r="AH13" s="82">
        <f>SUMIF($F$15:$F$17,$AD13,$E$15:$E$17)+SUMIF($I$15:$I$17,$AD13,$H$15:$H$17)+SUMIF($L$15:$L$17,$AD13,$K$15:$K$17)+SUMIF($O$15:$O$17,$AD13,$N$15:$N$17)</f>
        <v>0</v>
      </c>
      <c r="AI13" s="82">
        <f>SUMIF($F$18:$F$20,$AD13,$E$18:$E$20)+SUMIF($I$18:$I$20,$AD13,$H$18:$H$20)+SUMIF($L$18:$L$20,$AD13,$K$18:$K$20)+SUMIF($O$18:$O$20,$AD13,$N$18:$N$20)</f>
        <v>0</v>
      </c>
      <c r="AJ13" s="82">
        <f>SUMIF($F$21:$F$23,$AD13,$E$21:$E$23)+SUMIF($I$21:$I$23,$AD13,$H$21:$H$23)+SUMIF($L$21:$L$23,$AD13,$K$21:$K$23)+SUMIF($O$21:$O$23,$AD13,$N$21:$N$23)</f>
        <v>0</v>
      </c>
      <c r="AK13" s="82">
        <f>SUMIF($F$24:$F$26,$AD13,$E$24:$E$26)+SUMIF($I$24:$I$26,$AD13,$H$24:$H$26)+SUMIF($L$24:$L$26,$AD13,$K$24:$K$26)+SUMIF($O$24:$O$26,$AD13,$N$24:$N$26)</f>
        <v>0</v>
      </c>
      <c r="AL13" s="82">
        <f>SUMIF($F$27:$F$29,$AD13,$E$27:$E$29)+SUMIF($I$27:$I$29,$AD13,$H$27:$H$29)+SUMIF($L$27:$L$29,$AD13,$K$27:$K$29)+SUMIF($O$27:$O$29,$AD13,$N$27:$N$29)</f>
        <v>0</v>
      </c>
      <c r="AM13" s="83">
        <f>SUM(AF13:AL13)</f>
        <v>0</v>
      </c>
      <c r="AN13" s="74"/>
      <c r="AO13" s="215" t="s">
        <v>27</v>
      </c>
      <c r="AP13" s="74"/>
      <c r="AQ13" s="74"/>
      <c r="AR13" s="74"/>
      <c r="AS13" s="74"/>
      <c r="AT13" s="74"/>
      <c r="AU13" s="74"/>
      <c r="AV13" s="74"/>
      <c r="AW13" s="74"/>
      <c r="AX13" s="83"/>
      <c r="AY13" s="74"/>
      <c r="AZ13" s="74"/>
      <c r="BA13" s="74"/>
      <c r="BB13" s="74"/>
    </row>
    <row r="14" spans="1:68" ht="15" x14ac:dyDescent="0.25">
      <c r="A14" s="13"/>
      <c r="B14" s="221"/>
      <c r="C14" s="86" t="s">
        <v>20</v>
      </c>
      <c r="D14" s="182"/>
      <c r="E14" s="230">
        <v>8000</v>
      </c>
      <c r="F14" s="187">
        <v>2395</v>
      </c>
      <c r="G14" s="218" t="s">
        <v>22</v>
      </c>
      <c r="H14" s="237">
        <v>15288</v>
      </c>
      <c r="I14" s="187">
        <v>2395</v>
      </c>
      <c r="J14" s="218" t="s">
        <v>22</v>
      </c>
      <c r="K14" s="183">
        <v>30000</v>
      </c>
      <c r="L14" s="145">
        <v>2821</v>
      </c>
      <c r="M14" s="145" t="s">
        <v>23</v>
      </c>
      <c r="N14" s="238">
        <v>30072</v>
      </c>
      <c r="O14" s="243">
        <v>2821</v>
      </c>
      <c r="P14" s="313" t="s">
        <v>23</v>
      </c>
      <c r="Q14" s="184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1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6">
        <v>6842</v>
      </c>
      <c r="AE14" s="76" t="s">
        <v>29</v>
      </c>
      <c r="AF14" s="82">
        <f>SUMIF($F$9:$F$11,$AD14,$E$9:$E$11)+SUMIF($I$9:$I$11,$AD14,$H$9:$H$11)+SUMIF($L$9:$L$11,$AD14,$K$9:$K$11)+SUMIF($O$9:$O$11,$AD14,$N$9:$N$11)</f>
        <v>0</v>
      </c>
      <c r="AG14" s="82">
        <f>SUMIF($F$12:$F$14,$AD14,$E$12:$E$14)+SUMIF($I$12:$I$14,$AD14,$H$12:$H$14)+SUMIF($L$12:$L$14,$AD14,$K$12:$K$14)+SUMIF($O$12:$O$14,$AD14,$N$12:$N$14)</f>
        <v>0</v>
      </c>
      <c r="AH14" s="82">
        <f>SUMIF($F$15:$F$17,$AD14,$E$15:$E$17)+SUMIF($I$15:$I$17,$AD14,$H$15:$H$17)+SUMIF($L$15:$L$17,$AD14,$K$15:$K$17)+SUMIF($O$15:$O$17,$AD14,$N$15:$N$17)</f>
        <v>0</v>
      </c>
      <c r="AI14" s="82">
        <f>SUMIF($F$18:$F$20,$AD14,$E$18:$E$20)+SUMIF($I$18:$I$20,$AD14,$H$18:$H$20)+SUMIF($L$18:$L$20,$AD14,$K$18:$K$20)+SUMIF($O$18:$O$20,$AD14,$N$18:$N$20)</f>
        <v>0</v>
      </c>
      <c r="AJ14" s="82">
        <f>SUMIF($F$21:$F$23,$AD14,$E$21:$E$23)+SUMIF($I$21:$I$23,$AD14,$H$21:$H$23)+SUMIF($L$21:$L$23,$AD14,$K$21:$K$23)+SUMIF($O$21:$O$23,$AD14,$N$21:$N$23)</f>
        <v>0</v>
      </c>
      <c r="AK14" s="82">
        <f>SUMIF($F$24:$F$26,$AD14,$E$24:$E$26)+SUMIF($I$24:$I$26,$AD14,$H$24:$H$26)+SUMIF($L$24:$L$26,$AD14,$K$24:$K$26)+SUMIF($O$24:$O$26,$AD14,$N$24:$N$26)</f>
        <v>0</v>
      </c>
      <c r="AL14" s="82">
        <f>SUMIF($F$27:$F$29,$AD14,$E$27:$E$29)+SUMIF($I$27:$I$29,$AD14,$H$27:$H$29)+SUMIF($L$27:$L$29,$AD14,$K$27:$K$29)+SUMIF($O$27:$O$29,$AD14,$N$27:$N$29)</f>
        <v>0</v>
      </c>
      <c r="AM14" s="83">
        <f>SUM(AF14:AL14)</f>
        <v>0</v>
      </c>
      <c r="AN14" s="74"/>
      <c r="AO14" s="79" t="s">
        <v>7</v>
      </c>
      <c r="AP14" s="79" t="s">
        <v>8</v>
      </c>
      <c r="AQ14" s="80">
        <f>AQ9</f>
        <v>45992</v>
      </c>
      <c r="AR14" s="80">
        <f t="shared" ref="AR14:AW14" si="6">AR9</f>
        <v>45993</v>
      </c>
      <c r="AS14" s="80">
        <f t="shared" si="6"/>
        <v>45994</v>
      </c>
      <c r="AT14" s="80">
        <f t="shared" si="6"/>
        <v>45995</v>
      </c>
      <c r="AU14" s="80">
        <f t="shared" si="6"/>
        <v>45996</v>
      </c>
      <c r="AV14" s="80">
        <f t="shared" si="6"/>
        <v>45997</v>
      </c>
      <c r="AW14" s="80">
        <f t="shared" si="6"/>
        <v>45998</v>
      </c>
      <c r="AX14" s="79" t="s">
        <v>17</v>
      </c>
      <c r="AY14" s="74"/>
      <c r="AZ14" s="74"/>
      <c r="BA14" s="74"/>
      <c r="BB14" s="74"/>
    </row>
    <row r="15" spans="1:68" ht="15" x14ac:dyDescent="0.25">
      <c r="A15" s="13"/>
      <c r="B15" s="216">
        <f>+B12+1</f>
        <v>45994</v>
      </c>
      <c r="C15" s="216" t="s">
        <v>10</v>
      </c>
      <c r="D15" s="175"/>
      <c r="E15" s="231">
        <v>16500</v>
      </c>
      <c r="F15" s="187">
        <v>2395</v>
      </c>
      <c r="G15" s="218" t="s">
        <v>22</v>
      </c>
      <c r="H15" s="231">
        <v>16464</v>
      </c>
      <c r="I15" s="187">
        <v>2395</v>
      </c>
      <c r="J15" s="218" t="s">
        <v>22</v>
      </c>
      <c r="K15" s="229">
        <v>30000</v>
      </c>
      <c r="L15" s="145">
        <v>2821</v>
      </c>
      <c r="M15" s="145" t="s">
        <v>23</v>
      </c>
      <c r="N15" s="229">
        <v>26436</v>
      </c>
      <c r="O15" s="243">
        <v>2821</v>
      </c>
      <c r="P15" s="244" t="s">
        <v>23</v>
      </c>
      <c r="Q15" s="178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>SUMIF($M$10:$M$30,S15,$L$10:$L$30)</f>
        <v>0</v>
      </c>
      <c r="W15" s="111">
        <f t="shared" si="1"/>
        <v>0</v>
      </c>
      <c r="X15" s="111">
        <f>SUMIF($Q$10:$Q$30,T15,$O$10:$O$30)</f>
        <v>0</v>
      </c>
      <c r="Y15" s="111">
        <f>+W15-X15</f>
        <v>0</v>
      </c>
      <c r="Z15" s="74"/>
      <c r="AA15" s="74"/>
      <c r="AB15" s="74"/>
      <c r="AC15" s="74"/>
      <c r="AF15" s="222">
        <f>SUM(AF10:AF14)</f>
        <v>243204</v>
      </c>
      <c r="AG15" s="222">
        <f t="shared" ref="AG15:AL15" si="7">SUM(AG10:AG14)</f>
        <v>210497</v>
      </c>
      <c r="AH15" s="222">
        <f t="shared" si="7"/>
        <v>196248</v>
      </c>
      <c r="AI15" s="222">
        <f t="shared" si="7"/>
        <v>221836</v>
      </c>
      <c r="AJ15" s="222">
        <f t="shared" si="7"/>
        <v>252609</v>
      </c>
      <c r="AK15" s="222">
        <f t="shared" si="7"/>
        <v>249168</v>
      </c>
      <c r="AL15" s="222">
        <f t="shared" si="7"/>
        <v>207116</v>
      </c>
      <c r="AM15" s="83">
        <f>SUM(AM10:AM14)</f>
        <v>1580678</v>
      </c>
      <c r="AN15" s="74"/>
      <c r="AO15" s="76">
        <v>1564</v>
      </c>
      <c r="AP15" s="76" t="s">
        <v>11</v>
      </c>
      <c r="AQ15" s="185">
        <f>SUMIF($O$9:$O$11,$AO15,$N$9:$N$11)+SUMIF($L$9:$L$11,$AO15,$K$9:$K$11)</f>
        <v>80884</v>
      </c>
      <c r="AR15" s="185">
        <f>SUMIF($O$12:$O$14,$AO15,$N$12:$N$14)+SUMIF($L$12:$L$14,$AO15,$K$12:$K$14)</f>
        <v>0</v>
      </c>
      <c r="AS15" s="185">
        <f>SUMIF($O$15:$O$17,$AO15,$N$15:$N$17)+SUMIF($L$15:$L$17,$AO15,$K$15:$K$17)</f>
        <v>0</v>
      </c>
      <c r="AT15" s="185">
        <f>SUMIF($O$18:$O$20,$AO15,$N$18:$N$20)+SUMIF($L$18:$L$20,$AO15,$K$18:$K$20)</f>
        <v>59856</v>
      </c>
      <c r="AU15" s="185">
        <f>SUMIF($O$21:$O$23,$AO15,$N$21:$N$23)+SUMIF($L$21:$L$23,$AO15,$K$21:$K$23)</f>
        <v>181224</v>
      </c>
      <c r="AV15" s="185">
        <f>SUMIF($O$24:$O$26,$AO15,$N$24:$N$26)+SUMIF($L$24:$L$26,$AO15,$K$24:$K$26)</f>
        <v>153636</v>
      </c>
      <c r="AW15" s="185">
        <f>SUMIF($O$27:$O$29,$AO15,$N$27:$N$29)+SUMIF($L$27:$L$29,$AO15,$K$27:$K$29)</f>
        <v>128424</v>
      </c>
      <c r="AX15" s="220">
        <f>SUM(AQ15:AW15)</f>
        <v>604024</v>
      </c>
      <c r="AY15" s="74"/>
      <c r="AZ15" s="74"/>
      <c r="BA15" s="74"/>
      <c r="BB15" s="74"/>
    </row>
    <row r="16" spans="1:68" ht="15" x14ac:dyDescent="0.25">
      <c r="A16" s="13"/>
      <c r="B16" s="216" t="s">
        <v>31</v>
      </c>
      <c r="C16" s="216" t="s">
        <v>19</v>
      </c>
      <c r="D16" s="179"/>
      <c r="E16" s="176">
        <v>16500</v>
      </c>
      <c r="F16" s="226">
        <v>2395</v>
      </c>
      <c r="G16" s="180" t="s">
        <v>22</v>
      </c>
      <c r="H16" s="235">
        <v>16464</v>
      </c>
      <c r="I16" s="187">
        <v>2395</v>
      </c>
      <c r="J16" s="218" t="s">
        <v>22</v>
      </c>
      <c r="K16" s="928">
        <v>30000</v>
      </c>
      <c r="L16" s="213" t="s">
        <v>76</v>
      </c>
      <c r="M16" s="159" t="s">
        <v>30</v>
      </c>
      <c r="N16" s="235"/>
      <c r="O16" s="187"/>
      <c r="P16" s="246" t="s">
        <v>30</v>
      </c>
      <c r="Q16" s="181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1"/>
        <v>0</v>
      </c>
      <c r="X16" s="114">
        <f>SUM(V16:W16)</f>
        <v>0</v>
      </c>
      <c r="Y16" s="114"/>
      <c r="Z16" s="74"/>
      <c r="AA16" s="74"/>
      <c r="AB16" s="74"/>
      <c r="AC16" s="74"/>
      <c r="AN16" s="74"/>
      <c r="AO16" s="76">
        <v>2821</v>
      </c>
      <c r="AP16" s="76" t="s">
        <v>23</v>
      </c>
      <c r="AQ16" s="185">
        <f t="shared" ref="AQ16:AQ18" si="8">SUMIF($O$9:$O$11,$AO16,$N$9:$N$11)+SUMIF($L$9:$L$11,$AO16,$K$9:$K$11)</f>
        <v>76368</v>
      </c>
      <c r="AR16" s="185">
        <f t="shared" ref="AR16:AR18" si="9">SUMIF($O$12:$O$14,$AO16,$N$12:$N$14)+SUMIF($L$12:$L$14,$AO16,$K$12:$K$14)</f>
        <v>182400</v>
      </c>
      <c r="AS16" s="185">
        <f t="shared" ref="AS16:AS18" si="10">SUMIF($O$15:$O$17,$AO16,$N$15:$N$17)+SUMIF($L$15:$L$17,$AO16,$K$15:$K$17)</f>
        <v>95508</v>
      </c>
      <c r="AT16" s="185">
        <f t="shared" ref="AT16:AT18" si="11">SUMIF($O$18:$O$20,$AO16,$N$18:$N$20)+SUMIF($L$18:$L$20,$AO16,$K$18:$K$20)</f>
        <v>70144</v>
      </c>
      <c r="AU16" s="185">
        <f t="shared" ref="AU16:AU18" si="12">SUMIF($O$21:$O$23,$AO16,$N$21:$N$23)+SUMIF($L$21:$L$23,$AO16,$K$21:$K$23)</f>
        <v>0</v>
      </c>
      <c r="AV16" s="185">
        <f t="shared" ref="AV16:AV18" si="13">SUMIF($O$24:$O$26,$AO16,$N$24:$N$26)+SUMIF($L$24:$L$26,$AO16,$K$24:$K$26)</f>
        <v>0</v>
      </c>
      <c r="AW16" s="185">
        <f t="shared" ref="AW16:AW18" si="14">SUMIF($O$27:$O$29,$AO16,$N$27:$N$29)+SUMIF($L$27:$L$29,$AO16,$K$27:$K$29)</f>
        <v>0</v>
      </c>
      <c r="AX16" s="220">
        <f t="shared" ref="AX16:AX18" si="15">SUM(AQ16:AW16)</f>
        <v>424420</v>
      </c>
      <c r="AY16" s="74"/>
      <c r="AZ16" s="74"/>
      <c r="BA16" s="74"/>
      <c r="BB16" s="74"/>
    </row>
    <row r="17" spans="1:54" ht="17.25" x14ac:dyDescent="0.25">
      <c r="A17" s="13"/>
      <c r="B17" s="221"/>
      <c r="C17" s="221" t="s">
        <v>20</v>
      </c>
      <c r="D17" s="182"/>
      <c r="E17" s="230">
        <v>16500</v>
      </c>
      <c r="F17" s="227">
        <v>2395</v>
      </c>
      <c r="G17" s="228" t="s">
        <v>22</v>
      </c>
      <c r="H17" s="237">
        <v>18312</v>
      </c>
      <c r="I17" s="187">
        <v>2395</v>
      </c>
      <c r="J17" s="218" t="s">
        <v>22</v>
      </c>
      <c r="K17" s="929">
        <v>30000</v>
      </c>
      <c r="L17" s="146">
        <v>2821</v>
      </c>
      <c r="M17" s="146" t="s">
        <v>23</v>
      </c>
      <c r="N17" s="238">
        <v>9072</v>
      </c>
      <c r="O17" s="303">
        <v>2821</v>
      </c>
      <c r="P17" s="304" t="s">
        <v>23</v>
      </c>
      <c r="Q17" s="184"/>
      <c r="R17" s="81"/>
      <c r="S17" s="74"/>
      <c r="T17" s="92" t="s">
        <v>32</v>
      </c>
      <c r="U17" s="93">
        <f>SUM(U10:U16)</f>
        <v>271000</v>
      </c>
      <c r="V17" s="93">
        <f>SUM(V10:V16)</f>
        <v>525000</v>
      </c>
      <c r="W17" s="93">
        <f>SUM(W10:W16)</f>
        <v>796000</v>
      </c>
      <c r="X17" s="127">
        <f>SUM(X10:X16)</f>
        <v>784678</v>
      </c>
      <c r="Y17" s="127">
        <f>SUM(Y10:Y16)</f>
        <v>11322</v>
      </c>
      <c r="Z17" s="74"/>
      <c r="AA17" s="74"/>
      <c r="AB17" s="74"/>
      <c r="AC17" s="74"/>
      <c r="AD17" s="215" t="s">
        <v>33</v>
      </c>
      <c r="AE17" s="74"/>
      <c r="AF17" s="74"/>
      <c r="AG17" s="74"/>
      <c r="AH17" s="74"/>
      <c r="AI17" s="74"/>
      <c r="AJ17" s="74"/>
      <c r="AK17" s="74"/>
      <c r="AL17" s="74"/>
      <c r="AM17" s="74"/>
      <c r="AN17" s="76"/>
      <c r="AO17" s="76">
        <v>6843</v>
      </c>
      <c r="AP17" s="76" t="s">
        <v>26</v>
      </c>
      <c r="AQ17" s="185">
        <f t="shared" si="8"/>
        <v>0</v>
      </c>
      <c r="AR17" s="185">
        <f t="shared" si="9"/>
        <v>0</v>
      </c>
      <c r="AS17" s="185">
        <f t="shared" si="10"/>
        <v>0</v>
      </c>
      <c r="AT17" s="185">
        <f t="shared" si="11"/>
        <v>0</v>
      </c>
      <c r="AU17" s="185">
        <f t="shared" si="12"/>
        <v>0</v>
      </c>
      <c r="AV17" s="185">
        <f t="shared" si="13"/>
        <v>0</v>
      </c>
      <c r="AW17" s="185">
        <f t="shared" si="14"/>
        <v>0</v>
      </c>
      <c r="AX17" s="220">
        <f t="shared" si="15"/>
        <v>0</v>
      </c>
      <c r="AY17" s="74"/>
      <c r="AZ17" s="74"/>
      <c r="BA17" s="74"/>
      <c r="BB17" s="74"/>
    </row>
    <row r="18" spans="1:54" ht="15" x14ac:dyDescent="0.25">
      <c r="A18" s="13"/>
      <c r="B18" s="216">
        <f>+B15+1</f>
        <v>45995</v>
      </c>
      <c r="C18" s="87" t="s">
        <v>10</v>
      </c>
      <c r="D18" s="175"/>
      <c r="E18" s="231">
        <v>16500</v>
      </c>
      <c r="F18" s="187">
        <v>2395</v>
      </c>
      <c r="G18" s="177" t="s">
        <v>22</v>
      </c>
      <c r="H18" s="229">
        <v>16464</v>
      </c>
      <c r="I18" s="187">
        <v>2395</v>
      </c>
      <c r="J18" s="218" t="s">
        <v>22</v>
      </c>
      <c r="K18" s="229">
        <v>30000</v>
      </c>
      <c r="L18" s="145">
        <v>2821</v>
      </c>
      <c r="M18" s="145" t="s">
        <v>23</v>
      </c>
      <c r="N18" s="229">
        <f>28560+11584</f>
        <v>40144</v>
      </c>
      <c r="O18" s="243">
        <v>2821</v>
      </c>
      <c r="P18" s="244" t="s">
        <v>23</v>
      </c>
      <c r="Q18" s="178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9" t="s">
        <v>7</v>
      </c>
      <c r="AE18" s="79" t="s">
        <v>8</v>
      </c>
      <c r="AF18" s="80">
        <f>AF9</f>
        <v>45992</v>
      </c>
      <c r="AG18" s="80">
        <f t="shared" ref="AG18:AL18" si="16">AG9</f>
        <v>45993</v>
      </c>
      <c r="AH18" s="80">
        <f t="shared" si="16"/>
        <v>45994</v>
      </c>
      <c r="AI18" s="80">
        <f t="shared" si="16"/>
        <v>45995</v>
      </c>
      <c r="AJ18" s="80">
        <f t="shared" si="16"/>
        <v>45996</v>
      </c>
      <c r="AK18" s="80">
        <f t="shared" si="16"/>
        <v>45997</v>
      </c>
      <c r="AL18" s="80">
        <f t="shared" si="16"/>
        <v>45998</v>
      </c>
      <c r="AM18" s="79" t="s">
        <v>34</v>
      </c>
      <c r="AN18" s="74"/>
      <c r="AO18" s="76">
        <v>6842</v>
      </c>
      <c r="AP18" s="76" t="s">
        <v>29</v>
      </c>
      <c r="AQ18" s="185">
        <f t="shared" si="8"/>
        <v>0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220">
        <f t="shared" si="15"/>
        <v>0</v>
      </c>
      <c r="AY18" s="74"/>
      <c r="AZ18" s="74"/>
      <c r="BA18" s="74"/>
      <c r="BB18" s="74"/>
    </row>
    <row r="19" spans="1:54" ht="15" x14ac:dyDescent="0.25">
      <c r="A19" s="13"/>
      <c r="B19" s="216" t="s">
        <v>35</v>
      </c>
      <c r="C19" s="85" t="s">
        <v>19</v>
      </c>
      <c r="D19" s="179"/>
      <c r="E19" s="176">
        <v>16500</v>
      </c>
      <c r="F19" s="226">
        <v>2395</v>
      </c>
      <c r="G19" s="180" t="s">
        <v>22</v>
      </c>
      <c r="H19" s="235">
        <v>16464</v>
      </c>
      <c r="I19" s="226">
        <v>2395</v>
      </c>
      <c r="J19" s="180" t="s">
        <v>22</v>
      </c>
      <c r="K19" s="240"/>
      <c r="L19" s="145">
        <v>2821</v>
      </c>
      <c r="M19" s="145" t="s">
        <v>23</v>
      </c>
      <c r="N19" s="235">
        <v>14784</v>
      </c>
      <c r="O19" s="187">
        <v>1564</v>
      </c>
      <c r="P19" s="306" t="s">
        <v>11</v>
      </c>
      <c r="Q19" s="181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6">
        <v>1564</v>
      </c>
      <c r="AE19" s="76" t="s">
        <v>11</v>
      </c>
      <c r="AF19" s="82">
        <f t="shared" ref="AF19:AL19" si="17">AF10/(1/12/0.65*100)</f>
        <v>6801.2880000000005</v>
      </c>
      <c r="AG19" s="82">
        <f t="shared" si="17"/>
        <v>0</v>
      </c>
      <c r="AH19" s="82">
        <f t="shared" si="17"/>
        <v>0</v>
      </c>
      <c r="AI19" s="82">
        <f t="shared" si="17"/>
        <v>4668.768</v>
      </c>
      <c r="AJ19" s="82">
        <f t="shared" si="17"/>
        <v>17970.654000000002</v>
      </c>
      <c r="AK19" s="82">
        <f t="shared" si="17"/>
        <v>19435.104000000003</v>
      </c>
      <c r="AL19" s="82">
        <f t="shared" si="17"/>
        <v>16155.048000000001</v>
      </c>
      <c r="AM19" s="83">
        <f>SUM(AF19:AL19)</f>
        <v>65030.862000000008</v>
      </c>
      <c r="AN19" s="74"/>
      <c r="AO19" s="74"/>
      <c r="AP19" s="74"/>
      <c r="AQ19" s="224">
        <f>SUM(AQ15:AQ18)</f>
        <v>157252</v>
      </c>
      <c r="AR19" s="224">
        <f t="shared" ref="AR19:AW19" si="18">SUM(AR15:AR18)</f>
        <v>182400</v>
      </c>
      <c r="AS19" s="224">
        <f t="shared" si="18"/>
        <v>95508</v>
      </c>
      <c r="AT19" s="224">
        <f t="shared" si="18"/>
        <v>130000</v>
      </c>
      <c r="AU19" s="224">
        <f t="shared" si="18"/>
        <v>181224</v>
      </c>
      <c r="AV19" s="224">
        <f t="shared" si="18"/>
        <v>153636</v>
      </c>
      <c r="AW19" s="224">
        <f t="shared" si="18"/>
        <v>128424</v>
      </c>
      <c r="AX19" s="224">
        <f>SUM(AX15:AX18)</f>
        <v>1028444</v>
      </c>
      <c r="AY19" s="74"/>
      <c r="AZ19" s="74"/>
      <c r="BA19" s="74"/>
      <c r="BB19" s="74"/>
    </row>
    <row r="20" spans="1:54" ht="18.75" x14ac:dyDescent="0.25">
      <c r="A20" s="13"/>
      <c r="B20" s="221"/>
      <c r="C20" s="86" t="s">
        <v>20</v>
      </c>
      <c r="D20" s="182"/>
      <c r="E20" s="183">
        <v>16500</v>
      </c>
      <c r="F20" s="232">
        <v>2395</v>
      </c>
      <c r="G20" s="233" t="s">
        <v>22</v>
      </c>
      <c r="H20" s="237">
        <v>9408</v>
      </c>
      <c r="I20" s="227">
        <v>2395</v>
      </c>
      <c r="J20" s="228" t="s">
        <v>22</v>
      </c>
      <c r="K20" s="238">
        <v>15000</v>
      </c>
      <c r="L20" s="260">
        <v>1564</v>
      </c>
      <c r="M20" s="247" t="s">
        <v>11</v>
      </c>
      <c r="N20" s="238">
        <v>30072</v>
      </c>
      <c r="O20" s="187">
        <v>1564</v>
      </c>
      <c r="P20" s="177" t="s">
        <v>11</v>
      </c>
      <c r="Q20" s="184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6">
        <v>2395</v>
      </c>
      <c r="AE20" s="76" t="s">
        <v>22</v>
      </c>
      <c r="AF20" s="82">
        <f t="shared" ref="AF20:AL20" si="19">AF11/(1/12/0.62*100)</f>
        <v>5925.2160000000003</v>
      </c>
      <c r="AG20" s="82">
        <f t="shared" si="19"/>
        <v>2090.4168000000004</v>
      </c>
      <c r="AH20" s="82">
        <f t="shared" si="19"/>
        <v>7495.0560000000005</v>
      </c>
      <c r="AI20" s="82">
        <f t="shared" si="19"/>
        <v>6832.5984000000008</v>
      </c>
      <c r="AJ20" s="82">
        <f t="shared" si="19"/>
        <v>1652.8704000000002</v>
      </c>
      <c r="AK20" s="82">
        <f t="shared" si="19"/>
        <v>0</v>
      </c>
      <c r="AL20" s="82">
        <f t="shared" si="19"/>
        <v>0</v>
      </c>
      <c r="AM20" s="83">
        <f>SUM(AF20:AL20)</f>
        <v>23996.157600000002</v>
      </c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</row>
    <row r="21" spans="1:54" ht="15.75" x14ac:dyDescent="0.25">
      <c r="A21" s="13"/>
      <c r="B21" s="216">
        <f>+B18+1</f>
        <v>45996</v>
      </c>
      <c r="C21" s="87" t="s">
        <v>10</v>
      </c>
      <c r="D21" s="175"/>
      <c r="E21" s="234">
        <v>8000</v>
      </c>
      <c r="F21" s="217">
        <v>2395</v>
      </c>
      <c r="G21" s="218" t="s">
        <v>22</v>
      </c>
      <c r="H21" s="207">
        <f>13440+776</f>
        <v>14216</v>
      </c>
      <c r="I21" s="187">
        <v>2395</v>
      </c>
      <c r="J21" s="177" t="s">
        <v>22</v>
      </c>
      <c r="K21" s="186">
        <v>30000</v>
      </c>
      <c r="L21" s="136">
        <v>1564</v>
      </c>
      <c r="M21" s="204" t="s">
        <v>11</v>
      </c>
      <c r="N21" s="186">
        <v>30072</v>
      </c>
      <c r="O21" s="136">
        <v>1564</v>
      </c>
      <c r="P21" s="204" t="s">
        <v>11</v>
      </c>
      <c r="Q21" s="178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6">
        <v>2821</v>
      </c>
      <c r="AE21" s="76" t="s">
        <v>23</v>
      </c>
      <c r="AF21" s="82">
        <f t="shared" ref="AF21:AL21" si="20">AF12/(1/12/0.63*100)</f>
        <v>5773.4208000000008</v>
      </c>
      <c r="AG21" s="82">
        <f t="shared" si="20"/>
        <v>13789.440000000002</v>
      </c>
      <c r="AH21" s="82">
        <f t="shared" si="20"/>
        <v>7220.4048000000012</v>
      </c>
      <c r="AI21" s="82">
        <f t="shared" si="20"/>
        <v>5302.8864000000003</v>
      </c>
      <c r="AJ21" s="82">
        <f t="shared" si="20"/>
        <v>0</v>
      </c>
      <c r="AK21" s="82">
        <f t="shared" si="20"/>
        <v>0</v>
      </c>
      <c r="AL21" s="82">
        <f t="shared" si="20"/>
        <v>0</v>
      </c>
      <c r="AM21" s="83">
        <f>SUM(AF21:AL21)</f>
        <v>32086.152000000002</v>
      </c>
      <c r="AN21" s="74"/>
      <c r="AO21" s="215" t="s">
        <v>9</v>
      </c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</row>
    <row r="22" spans="1:54" ht="15" x14ac:dyDescent="0.25">
      <c r="A22" s="13"/>
      <c r="B22" s="216" t="s">
        <v>42</v>
      </c>
      <c r="C22" s="85" t="s">
        <v>19</v>
      </c>
      <c r="D22" s="179"/>
      <c r="E22" s="176">
        <v>16500</v>
      </c>
      <c r="F22" s="930">
        <v>1564</v>
      </c>
      <c r="G22" s="931" t="s">
        <v>11</v>
      </c>
      <c r="H22" s="176">
        <v>9381</v>
      </c>
      <c r="I22" s="930">
        <v>1564</v>
      </c>
      <c r="J22" s="931" t="s">
        <v>11</v>
      </c>
      <c r="K22" s="932">
        <v>30000</v>
      </c>
      <c r="L22" s="136">
        <v>1564</v>
      </c>
      <c r="M22" s="136" t="s">
        <v>11</v>
      </c>
      <c r="N22" s="186">
        <v>30240</v>
      </c>
      <c r="O22" s="136">
        <v>1564</v>
      </c>
      <c r="P22" s="136" t="s">
        <v>11</v>
      </c>
      <c r="Q22" s="181"/>
      <c r="R22" s="81"/>
      <c r="S22" s="94">
        <v>1564</v>
      </c>
      <c r="T22" s="95" t="s">
        <v>11</v>
      </c>
      <c r="U22" s="96">
        <f>U10*12*0.65/100</f>
        <v>8970</v>
      </c>
      <c r="V22" s="96">
        <f>V10*12*0.65/100</f>
        <v>24570</v>
      </c>
      <c r="W22" s="96">
        <f>SUM(U22:V22)</f>
        <v>33540</v>
      </c>
      <c r="X22" s="96">
        <v>28782</v>
      </c>
      <c r="Y22" s="96">
        <f>W22-X22</f>
        <v>4758</v>
      </c>
      <c r="Z22" s="74"/>
      <c r="AA22" s="74"/>
      <c r="AB22" s="74"/>
      <c r="AC22" s="74"/>
      <c r="AD22" s="76">
        <v>6843</v>
      </c>
      <c r="AE22" s="76" t="s">
        <v>26</v>
      </c>
      <c r="AF22" s="82">
        <f t="shared" ref="AF22:AL23" si="21">AF13/(1/12/0.62*100)</f>
        <v>0</v>
      </c>
      <c r="AG22" s="82">
        <f t="shared" si="21"/>
        <v>0</v>
      </c>
      <c r="AH22" s="82">
        <f t="shared" si="21"/>
        <v>0</v>
      </c>
      <c r="AI22" s="82">
        <f t="shared" si="21"/>
        <v>0</v>
      </c>
      <c r="AJ22" s="82">
        <f t="shared" si="21"/>
        <v>0</v>
      </c>
      <c r="AK22" s="82">
        <f t="shared" si="21"/>
        <v>0</v>
      </c>
      <c r="AL22" s="82">
        <f t="shared" si="21"/>
        <v>0</v>
      </c>
      <c r="AM22" s="83">
        <f>SUM(AF22:AL22)</f>
        <v>0</v>
      </c>
      <c r="AN22" s="74"/>
      <c r="AO22" s="79" t="s">
        <v>7</v>
      </c>
      <c r="AP22" s="79" t="s">
        <v>8</v>
      </c>
      <c r="AQ22" s="80">
        <f>AQ9</f>
        <v>45992</v>
      </c>
      <c r="AR22" s="80">
        <f t="shared" ref="AR22:AW22" si="22">AR9</f>
        <v>45993</v>
      </c>
      <c r="AS22" s="80">
        <f t="shared" si="22"/>
        <v>45994</v>
      </c>
      <c r="AT22" s="80">
        <f t="shared" si="22"/>
        <v>45995</v>
      </c>
      <c r="AU22" s="80">
        <f t="shared" si="22"/>
        <v>45996</v>
      </c>
      <c r="AV22" s="80">
        <f t="shared" si="22"/>
        <v>45997</v>
      </c>
      <c r="AW22" s="80">
        <f t="shared" si="22"/>
        <v>45998</v>
      </c>
      <c r="AX22" s="79" t="s">
        <v>34</v>
      </c>
      <c r="AY22" s="74"/>
      <c r="AZ22" s="74"/>
      <c r="BA22" s="74"/>
      <c r="BB22" s="74"/>
    </row>
    <row r="23" spans="1:54" ht="15.75" x14ac:dyDescent="0.25">
      <c r="A23" s="13"/>
      <c r="B23" s="221"/>
      <c r="C23" s="86" t="s">
        <v>20</v>
      </c>
      <c r="D23" s="182"/>
      <c r="E23" s="183">
        <v>8000</v>
      </c>
      <c r="F23" s="227">
        <v>1564</v>
      </c>
      <c r="G23" s="228" t="s">
        <v>11</v>
      </c>
      <c r="H23" s="183">
        <v>15288</v>
      </c>
      <c r="I23" s="227">
        <v>1564</v>
      </c>
      <c r="J23" s="228" t="s">
        <v>11</v>
      </c>
      <c r="K23" s="307">
        <v>30000</v>
      </c>
      <c r="L23" s="141">
        <v>1564</v>
      </c>
      <c r="M23" s="247" t="s">
        <v>11</v>
      </c>
      <c r="N23" s="307">
        <v>30912</v>
      </c>
      <c r="O23" s="141">
        <v>1564</v>
      </c>
      <c r="P23" s="247" t="s">
        <v>11</v>
      </c>
      <c r="Q23" s="184"/>
      <c r="R23" s="81"/>
      <c r="S23" s="97">
        <v>2395</v>
      </c>
      <c r="T23" s="98" t="s">
        <v>22</v>
      </c>
      <c r="U23" s="99">
        <f>U11*12*0.62/100</f>
        <v>11606.4</v>
      </c>
      <c r="V23" s="99">
        <f>V11*12*0.62/100</f>
        <v>0</v>
      </c>
      <c r="W23" s="99">
        <f t="shared" ref="W23:W28" si="23">SUM(U23:V23)</f>
        <v>11606.4</v>
      </c>
      <c r="X23" s="99">
        <v>10416</v>
      </c>
      <c r="Y23" s="99">
        <f t="shared" ref="Y23:Y28" si="24">W23-X23</f>
        <v>1190.3999999999996</v>
      </c>
      <c r="Z23" s="82"/>
      <c r="AA23" s="92" t="s">
        <v>43</v>
      </c>
      <c r="AB23" s="92" t="s">
        <v>33</v>
      </c>
      <c r="AC23" s="74"/>
      <c r="AD23" s="76">
        <v>6842</v>
      </c>
      <c r="AE23" s="76" t="s">
        <v>29</v>
      </c>
      <c r="AF23" s="82">
        <f t="shared" si="21"/>
        <v>0</v>
      </c>
      <c r="AG23" s="82">
        <f t="shared" si="21"/>
        <v>0</v>
      </c>
      <c r="AH23" s="82">
        <f t="shared" si="21"/>
        <v>0</v>
      </c>
      <c r="AI23" s="82">
        <f t="shared" si="21"/>
        <v>0</v>
      </c>
      <c r="AJ23" s="82">
        <f t="shared" si="21"/>
        <v>0</v>
      </c>
      <c r="AK23" s="82">
        <f t="shared" si="21"/>
        <v>0</v>
      </c>
      <c r="AL23" s="82">
        <f t="shared" si="21"/>
        <v>0</v>
      </c>
      <c r="AM23" s="83">
        <f>SUM(AF23:AL23)</f>
        <v>0</v>
      </c>
      <c r="AN23" s="74"/>
      <c r="AO23" s="76">
        <v>1564</v>
      </c>
      <c r="AP23" s="76" t="s">
        <v>11</v>
      </c>
      <c r="AQ23" s="185">
        <f>AQ10*12*0.65/100</f>
        <v>492.33600000000001</v>
      </c>
      <c r="AR23" s="185">
        <f t="shared" ref="AR23:AW23" si="25">AR10*12*0.65/100</f>
        <v>0</v>
      </c>
      <c r="AS23" s="185">
        <f t="shared" si="25"/>
        <v>0</v>
      </c>
      <c r="AT23" s="185">
        <f t="shared" si="25"/>
        <v>0</v>
      </c>
      <c r="AU23" s="185">
        <f t="shared" si="25"/>
        <v>3835.1820000000002</v>
      </c>
      <c r="AV23" s="185">
        <f t="shared" si="25"/>
        <v>7451.4960000000001</v>
      </c>
      <c r="AW23" s="185">
        <f t="shared" si="25"/>
        <v>6137.9759999999997</v>
      </c>
      <c r="AX23" s="220">
        <f>SUM(AQ23:AW23)</f>
        <v>17916.989999999998</v>
      </c>
      <c r="AY23" s="74"/>
      <c r="AZ23" s="74"/>
      <c r="BA23" s="74"/>
      <c r="BB23" s="74"/>
    </row>
    <row r="24" spans="1:54" ht="15" x14ac:dyDescent="0.25">
      <c r="A24" s="13"/>
      <c r="B24" s="216">
        <f>+B21+1</f>
        <v>45997</v>
      </c>
      <c r="C24" s="87" t="s">
        <v>10</v>
      </c>
      <c r="D24" s="175"/>
      <c r="E24" s="234">
        <v>16500</v>
      </c>
      <c r="F24" s="217">
        <v>1564</v>
      </c>
      <c r="G24" s="218" t="s">
        <v>11</v>
      </c>
      <c r="H24" s="229">
        <v>16128</v>
      </c>
      <c r="I24" s="217">
        <v>1564</v>
      </c>
      <c r="J24" s="218" t="s">
        <v>11</v>
      </c>
      <c r="K24" s="308">
        <v>30000</v>
      </c>
      <c r="L24" s="136">
        <v>1564</v>
      </c>
      <c r="M24" s="204" t="s">
        <v>11</v>
      </c>
      <c r="N24" s="308">
        <v>21000</v>
      </c>
      <c r="O24" s="136">
        <v>1564</v>
      </c>
      <c r="P24" s="204" t="s">
        <v>11</v>
      </c>
      <c r="Q24" s="178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15876</v>
      </c>
      <c r="W24" s="102">
        <f t="shared" si="23"/>
        <v>15876</v>
      </c>
      <c r="X24" s="102">
        <v>10962</v>
      </c>
      <c r="Y24" s="102">
        <f t="shared" si="24"/>
        <v>4914</v>
      </c>
      <c r="Z24" s="74"/>
      <c r="AA24" s="116" t="s">
        <v>44</v>
      </c>
      <c r="AB24" s="117">
        <f>W22+W25</f>
        <v>33540</v>
      </c>
      <c r="AC24" s="74"/>
      <c r="AD24" s="74"/>
      <c r="AE24" s="74"/>
      <c r="AF24" s="83">
        <f t="shared" ref="AF24:AL24" si="26">+SUM(AF19:AF23)</f>
        <v>18499.924800000001</v>
      </c>
      <c r="AG24" s="83">
        <f t="shared" si="26"/>
        <v>15879.856800000003</v>
      </c>
      <c r="AH24" s="83">
        <f t="shared" si="26"/>
        <v>14715.460800000001</v>
      </c>
      <c r="AI24" s="83">
        <f t="shared" si="26"/>
        <v>16804.252800000002</v>
      </c>
      <c r="AJ24" s="83">
        <f t="shared" si="26"/>
        <v>19623.524400000002</v>
      </c>
      <c r="AK24" s="83">
        <f t="shared" si="26"/>
        <v>19435.104000000003</v>
      </c>
      <c r="AL24" s="83">
        <f t="shared" si="26"/>
        <v>16155.048000000001</v>
      </c>
      <c r="AM24" s="83">
        <f>SUM(AM19:AM23)</f>
        <v>121113.17160000002</v>
      </c>
      <c r="AN24" s="74"/>
      <c r="AO24" s="76">
        <v>2395</v>
      </c>
      <c r="AP24" s="76" t="s">
        <v>22</v>
      </c>
      <c r="AQ24" s="185">
        <f>AQ11*12*0.62/100</f>
        <v>5925.2159999999994</v>
      </c>
      <c r="AR24" s="185">
        <f t="shared" ref="AR24:AW24" si="27">AR11*12*0.62/100</f>
        <v>2090.4168</v>
      </c>
      <c r="AS24" s="185">
        <f t="shared" si="27"/>
        <v>7495.0559999999996</v>
      </c>
      <c r="AT24" s="185">
        <f t="shared" si="27"/>
        <v>6832.5983999999999</v>
      </c>
      <c r="AU24" s="185">
        <f t="shared" si="27"/>
        <v>1652.8704</v>
      </c>
      <c r="AV24" s="185">
        <f t="shared" si="27"/>
        <v>0</v>
      </c>
      <c r="AW24" s="185">
        <f t="shared" si="27"/>
        <v>0</v>
      </c>
      <c r="AX24" s="220">
        <f t="shared" ref="AX24" si="28">SUM(AQ24:AW24)</f>
        <v>23996.157599999999</v>
      </c>
      <c r="AY24" s="74"/>
      <c r="AZ24" s="74"/>
      <c r="BA24" s="74"/>
      <c r="BB24" s="74"/>
    </row>
    <row r="25" spans="1:54" ht="15" x14ac:dyDescent="0.25">
      <c r="A25" s="13"/>
      <c r="B25" s="216" t="s">
        <v>45</v>
      </c>
      <c r="C25" s="85" t="s">
        <v>19</v>
      </c>
      <c r="D25" s="179"/>
      <c r="E25" s="234">
        <v>16500</v>
      </c>
      <c r="F25" s="219">
        <v>1564</v>
      </c>
      <c r="G25" s="223" t="s">
        <v>11</v>
      </c>
      <c r="H25" s="235">
        <v>14616</v>
      </c>
      <c r="I25" s="219">
        <v>1564</v>
      </c>
      <c r="J25" s="223" t="s">
        <v>11</v>
      </c>
      <c r="K25" s="176">
        <v>30000</v>
      </c>
      <c r="L25" s="136">
        <v>1564</v>
      </c>
      <c r="M25" s="136" t="s">
        <v>11</v>
      </c>
      <c r="N25" s="176">
        <v>30204</v>
      </c>
      <c r="O25" s="136">
        <v>1564</v>
      </c>
      <c r="P25" s="136" t="s">
        <v>11</v>
      </c>
      <c r="Q25" s="181"/>
      <c r="R25" s="81"/>
      <c r="S25" s="103">
        <v>5037</v>
      </c>
      <c r="T25" s="104" t="s">
        <v>25</v>
      </c>
      <c r="U25" s="105">
        <f>U13*12/100</f>
        <v>0</v>
      </c>
      <c r="V25" s="105">
        <f>V13*12/100</f>
        <v>0</v>
      </c>
      <c r="W25" s="105">
        <f t="shared" si="23"/>
        <v>0</v>
      </c>
      <c r="X25" s="105">
        <v>0</v>
      </c>
      <c r="Y25" s="105">
        <f t="shared" si="24"/>
        <v>0</v>
      </c>
      <c r="Z25" s="74"/>
      <c r="AA25" s="118" t="s">
        <v>46</v>
      </c>
      <c r="AB25" s="119">
        <f>W23+W26</f>
        <v>11606.4</v>
      </c>
      <c r="AC25" s="74"/>
      <c r="AN25" s="74"/>
      <c r="AO25" s="74"/>
      <c r="AP25" s="74"/>
      <c r="AQ25" s="185">
        <f>SUM(AQ23:AQ24)</f>
        <v>6417.5519999999997</v>
      </c>
      <c r="AR25" s="185">
        <f t="shared" ref="AR25:AX25" si="29">SUM(AR23:AR24)</f>
        <v>2090.4168</v>
      </c>
      <c r="AS25" s="185">
        <f t="shared" si="29"/>
        <v>7495.0559999999996</v>
      </c>
      <c r="AT25" s="185">
        <f t="shared" si="29"/>
        <v>6832.5983999999999</v>
      </c>
      <c r="AU25" s="185">
        <f t="shared" si="29"/>
        <v>5488.0524000000005</v>
      </c>
      <c r="AV25" s="185">
        <f t="shared" si="29"/>
        <v>7451.4960000000001</v>
      </c>
      <c r="AW25" s="185">
        <f t="shared" si="29"/>
        <v>6137.9759999999997</v>
      </c>
      <c r="AX25" s="220">
        <f t="shared" si="29"/>
        <v>41913.147599999997</v>
      </c>
      <c r="AY25" s="74"/>
      <c r="AZ25" s="74"/>
      <c r="BA25" s="74"/>
      <c r="BB25" s="74"/>
    </row>
    <row r="26" spans="1:54" ht="15" x14ac:dyDescent="0.25">
      <c r="A26" s="13"/>
      <c r="B26" s="221"/>
      <c r="C26" s="86" t="s">
        <v>20</v>
      </c>
      <c r="D26" s="182"/>
      <c r="E26" s="238">
        <v>16500</v>
      </c>
      <c r="F26" s="232">
        <v>1564</v>
      </c>
      <c r="G26" s="233" t="s">
        <v>11</v>
      </c>
      <c r="H26" s="237">
        <v>15288</v>
      </c>
      <c r="I26" s="232">
        <v>1564</v>
      </c>
      <c r="J26" s="233" t="s">
        <v>11</v>
      </c>
      <c r="K26" s="183">
        <v>30000</v>
      </c>
      <c r="L26" s="141">
        <v>1564</v>
      </c>
      <c r="M26" s="141" t="s">
        <v>11</v>
      </c>
      <c r="N26" s="183">
        <v>12432</v>
      </c>
      <c r="O26" s="141">
        <v>1564</v>
      </c>
      <c r="P26" s="141" t="s">
        <v>11</v>
      </c>
      <c r="Q26" s="184"/>
      <c r="R26" s="81"/>
      <c r="S26" s="106">
        <v>6788</v>
      </c>
      <c r="T26" s="107" t="s">
        <v>28</v>
      </c>
      <c r="U26" s="108">
        <f>U14*12/100</f>
        <v>0</v>
      </c>
      <c r="V26" s="108">
        <f>V14*12/100</f>
        <v>0</v>
      </c>
      <c r="W26" s="108">
        <f t="shared" si="23"/>
        <v>0</v>
      </c>
      <c r="X26" s="108">
        <v>0</v>
      </c>
      <c r="Y26" s="108">
        <f t="shared" si="24"/>
        <v>0</v>
      </c>
      <c r="Z26" s="74"/>
      <c r="AA26" s="120" t="s">
        <v>47</v>
      </c>
      <c r="AB26" s="121">
        <f>W24</f>
        <v>15876</v>
      </c>
      <c r="AC26" s="74"/>
      <c r="AN26" s="76"/>
      <c r="AO26" s="215" t="s">
        <v>27</v>
      </c>
      <c r="AP26" s="74"/>
      <c r="AQ26" s="74"/>
      <c r="AR26" s="74"/>
      <c r="AS26" s="74"/>
      <c r="AT26" s="74"/>
      <c r="AU26" s="74"/>
      <c r="AV26" s="74"/>
      <c r="AW26" s="74"/>
      <c r="AX26" s="83"/>
      <c r="AY26" s="74"/>
      <c r="AZ26" s="74"/>
      <c r="BA26" s="74"/>
      <c r="BB26" s="74"/>
    </row>
    <row r="27" spans="1:54" ht="15" x14ac:dyDescent="0.25">
      <c r="A27" s="13"/>
      <c r="B27" s="216">
        <f>+B24+1</f>
        <v>45998</v>
      </c>
      <c r="C27" s="87" t="s">
        <v>10</v>
      </c>
      <c r="D27" s="175"/>
      <c r="E27" s="234">
        <v>16500</v>
      </c>
      <c r="F27" s="217">
        <v>1564</v>
      </c>
      <c r="G27" s="218" t="s">
        <v>11</v>
      </c>
      <c r="H27" s="234">
        <v>11820</v>
      </c>
      <c r="I27" s="217">
        <v>1564</v>
      </c>
      <c r="J27" s="218" t="s">
        <v>11</v>
      </c>
      <c r="K27" s="176">
        <v>30000</v>
      </c>
      <c r="L27" s="136">
        <v>1564</v>
      </c>
      <c r="M27" s="136" t="s">
        <v>11</v>
      </c>
      <c r="N27" s="176">
        <v>7224</v>
      </c>
      <c r="O27" s="136">
        <v>1564</v>
      </c>
      <c r="P27" s="136" t="s">
        <v>11</v>
      </c>
      <c r="Q27" s="178"/>
      <c r="R27" s="81"/>
      <c r="S27" s="109">
        <v>6841</v>
      </c>
      <c r="T27" s="110" t="s">
        <v>26</v>
      </c>
      <c r="U27" s="111">
        <f>U15*12*0.62/100</f>
        <v>0</v>
      </c>
      <c r="V27" s="111">
        <f t="shared" ref="V27:V28" si="30">V15*12*0.62/100</f>
        <v>0</v>
      </c>
      <c r="W27" s="111">
        <f t="shared" si="23"/>
        <v>0</v>
      </c>
      <c r="X27" s="111">
        <v>0</v>
      </c>
      <c r="Y27" s="111">
        <f t="shared" si="24"/>
        <v>0</v>
      </c>
      <c r="Z27" s="74"/>
      <c r="AA27" s="124" t="s">
        <v>48</v>
      </c>
      <c r="AB27" s="125">
        <f>W27</f>
        <v>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9" t="s">
        <v>7</v>
      </c>
      <c r="AP27" s="79" t="s">
        <v>8</v>
      </c>
      <c r="AQ27" s="80">
        <f>AQ22</f>
        <v>45992</v>
      </c>
      <c r="AR27" s="80">
        <f t="shared" ref="AR27:AW27" si="31">AR22</f>
        <v>45993</v>
      </c>
      <c r="AS27" s="80">
        <f t="shared" si="31"/>
        <v>45994</v>
      </c>
      <c r="AT27" s="80">
        <f t="shared" si="31"/>
        <v>45995</v>
      </c>
      <c r="AU27" s="80">
        <f t="shared" si="31"/>
        <v>45996</v>
      </c>
      <c r="AV27" s="80">
        <f t="shared" si="31"/>
        <v>45997</v>
      </c>
      <c r="AW27" s="80">
        <f t="shared" si="31"/>
        <v>45998</v>
      </c>
      <c r="AX27" s="79" t="s">
        <v>34</v>
      </c>
      <c r="AY27" s="74"/>
      <c r="AZ27" s="74"/>
      <c r="BA27" s="74"/>
      <c r="BB27" s="74"/>
    </row>
    <row r="28" spans="1:54" ht="15" x14ac:dyDescent="0.25">
      <c r="A28" s="13"/>
      <c r="B28" s="216" t="s">
        <v>49</v>
      </c>
      <c r="C28" s="85" t="s">
        <v>19</v>
      </c>
      <c r="D28" s="179"/>
      <c r="E28" s="176">
        <v>8000</v>
      </c>
      <c r="F28" s="226">
        <v>1564</v>
      </c>
      <c r="G28" s="180" t="s">
        <v>11</v>
      </c>
      <c r="H28" s="176">
        <v>10920</v>
      </c>
      <c r="I28" s="226">
        <v>1564</v>
      </c>
      <c r="J28" s="180" t="s">
        <v>11</v>
      </c>
      <c r="K28" s="176">
        <v>30000</v>
      </c>
      <c r="L28" s="136">
        <v>1564</v>
      </c>
      <c r="M28" s="136" t="s">
        <v>11</v>
      </c>
      <c r="N28" s="176">
        <v>27888</v>
      </c>
      <c r="O28" s="136">
        <v>1564</v>
      </c>
      <c r="P28" s="136" t="s">
        <v>11</v>
      </c>
      <c r="Q28" s="181"/>
      <c r="R28" s="81"/>
      <c r="S28" s="112">
        <v>6842</v>
      </c>
      <c r="T28" s="113" t="s">
        <v>29</v>
      </c>
      <c r="U28" s="114">
        <f t="shared" ref="U28" si="32">U16*12*0.62/100</f>
        <v>0</v>
      </c>
      <c r="V28" s="114">
        <f t="shared" si="30"/>
        <v>0</v>
      </c>
      <c r="W28" s="114">
        <f t="shared" si="23"/>
        <v>0</v>
      </c>
      <c r="X28" s="114">
        <v>0</v>
      </c>
      <c r="Y28" s="114">
        <f t="shared" si="24"/>
        <v>0</v>
      </c>
      <c r="Z28" s="74"/>
      <c r="AA28" s="122" t="s">
        <v>50</v>
      </c>
      <c r="AB28" s="123">
        <f>W28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>
        <v>1564</v>
      </c>
      <c r="AP28" s="76" t="s">
        <v>11</v>
      </c>
      <c r="AQ28" s="185">
        <f>AQ15*12*0.65/100</f>
        <v>6308.9520000000011</v>
      </c>
      <c r="AR28" s="185">
        <f t="shared" ref="AR28:AW28" si="33">AR15*12*0.65/100</f>
        <v>0</v>
      </c>
      <c r="AS28" s="185">
        <f t="shared" si="33"/>
        <v>0</v>
      </c>
      <c r="AT28" s="185">
        <f t="shared" si="33"/>
        <v>4668.768</v>
      </c>
      <c r="AU28" s="185">
        <f t="shared" si="33"/>
        <v>14135.472</v>
      </c>
      <c r="AV28" s="185">
        <f t="shared" si="33"/>
        <v>11983.608</v>
      </c>
      <c r="AW28" s="185">
        <f t="shared" si="33"/>
        <v>10017.072</v>
      </c>
      <c r="AX28" s="220">
        <f>SUM(AQ28:AW28)</f>
        <v>47113.872000000003</v>
      </c>
      <c r="AY28" s="74"/>
      <c r="AZ28" s="74"/>
      <c r="BA28" s="74"/>
      <c r="BB28" s="74"/>
    </row>
    <row r="29" spans="1:54" ht="17.25" x14ac:dyDescent="0.25">
      <c r="A29" s="13"/>
      <c r="B29" s="221"/>
      <c r="C29" s="86" t="s">
        <v>20</v>
      </c>
      <c r="D29" s="182"/>
      <c r="E29" s="230">
        <v>16500</v>
      </c>
      <c r="F29" s="227">
        <v>1564</v>
      </c>
      <c r="G29" s="228" t="s">
        <v>11</v>
      </c>
      <c r="H29" s="230">
        <v>14952</v>
      </c>
      <c r="I29" s="227">
        <v>1564</v>
      </c>
      <c r="J29" s="228" t="s">
        <v>11</v>
      </c>
      <c r="K29" s="183">
        <v>15000</v>
      </c>
      <c r="L29" s="141">
        <v>1564</v>
      </c>
      <c r="M29" s="141" t="s">
        <v>11</v>
      </c>
      <c r="N29" s="183">
        <v>18312</v>
      </c>
      <c r="O29" s="141">
        <v>1564</v>
      </c>
      <c r="P29" s="141" t="s">
        <v>11</v>
      </c>
      <c r="Q29" s="181"/>
      <c r="R29" s="81"/>
      <c r="S29" s="74"/>
      <c r="T29" s="126" t="s">
        <v>39</v>
      </c>
      <c r="U29" s="127">
        <f>SUM(U22:U28)</f>
        <v>20576.400000000001</v>
      </c>
      <c r="V29" s="127">
        <f>SUM(V22:V28)</f>
        <v>40446</v>
      </c>
      <c r="W29" s="127">
        <f>SUM(W22:W28)</f>
        <v>61022.400000000001</v>
      </c>
      <c r="X29" s="127">
        <f>SUM(X22:X28)</f>
        <v>50160</v>
      </c>
      <c r="Y29" s="127">
        <f>SUM(Y22:Y28)</f>
        <v>10862.4</v>
      </c>
      <c r="Z29" s="74"/>
      <c r="AA29" s="92" t="s">
        <v>51</v>
      </c>
      <c r="AB29" s="93">
        <f>SUM(AB24:AB28)</f>
        <v>61022.400000000001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>
        <v>2821</v>
      </c>
      <c r="AP29" s="76" t="s">
        <v>23</v>
      </c>
      <c r="AQ29" s="185">
        <f>AQ16*12*0.63/100</f>
        <v>5773.4207999999999</v>
      </c>
      <c r="AR29" s="185">
        <f t="shared" ref="AR29:AW29" si="34">AR16*12*0.63/100</f>
        <v>13789.44</v>
      </c>
      <c r="AS29" s="185">
        <f t="shared" si="34"/>
        <v>7220.4048000000003</v>
      </c>
      <c r="AT29" s="185">
        <f t="shared" si="34"/>
        <v>5302.8864000000003</v>
      </c>
      <c r="AU29" s="185">
        <f t="shared" si="34"/>
        <v>0</v>
      </c>
      <c r="AV29" s="185">
        <f t="shared" si="34"/>
        <v>0</v>
      </c>
      <c r="AW29" s="185">
        <f t="shared" si="34"/>
        <v>0</v>
      </c>
      <c r="AX29" s="220">
        <f t="shared" ref="AX29:AX31" si="35">SUM(AQ29:AW29)</f>
        <v>32086.152000000002</v>
      </c>
      <c r="AY29" s="74"/>
      <c r="AZ29" s="74"/>
      <c r="BA29" s="74"/>
      <c r="BB29" s="74"/>
    </row>
    <row r="30" spans="1:54" ht="15" x14ac:dyDescent="0.2">
      <c r="A30" s="19"/>
      <c r="B30" s="67"/>
      <c r="C30" s="67"/>
      <c r="D30" s="67"/>
      <c r="E30" s="67"/>
      <c r="F30" s="67"/>
      <c r="G30" s="72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14"/>
      <c r="S30" s="82"/>
      <c r="T30" s="82"/>
      <c r="U30" s="74"/>
      <c r="V30" s="74"/>
      <c r="W30" s="74"/>
      <c r="X30" s="74"/>
      <c r="Y30" s="74"/>
      <c r="Z30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6">
        <v>6843</v>
      </c>
      <c r="AP30" s="76" t="s">
        <v>26</v>
      </c>
      <c r="AQ30" s="185">
        <f>AQ17*12*0.62/100</f>
        <v>0</v>
      </c>
      <c r="AR30" s="185">
        <f t="shared" ref="AR30:AW31" si="36">AR17*12*0.62/100</f>
        <v>0</v>
      </c>
      <c r="AS30" s="185">
        <f t="shared" si="36"/>
        <v>0</v>
      </c>
      <c r="AT30" s="185">
        <f t="shared" si="36"/>
        <v>0</v>
      </c>
      <c r="AU30" s="185">
        <f t="shared" si="36"/>
        <v>0</v>
      </c>
      <c r="AV30" s="185">
        <f t="shared" si="36"/>
        <v>0</v>
      </c>
      <c r="AW30" s="185">
        <f t="shared" si="36"/>
        <v>0</v>
      </c>
      <c r="AX30" s="220">
        <f t="shared" si="35"/>
        <v>0</v>
      </c>
      <c r="AY30" s="74"/>
      <c r="AZ30" s="74"/>
      <c r="BA30" s="74"/>
      <c r="BB30" s="74"/>
    </row>
    <row r="31" spans="1:54" s="10" customFormat="1" ht="15" x14ac:dyDescent="0.2">
      <c r="A31" s="9"/>
      <c r="B31"/>
      <c r="C31"/>
      <c r="D31"/>
      <c r="E31"/>
      <c r="F31"/>
      <c r="G31"/>
      <c r="H31"/>
      <c r="I31"/>
      <c r="J31"/>
      <c r="K31"/>
      <c r="L31"/>
      <c r="M31"/>
      <c r="N31">
        <v>0</v>
      </c>
      <c r="O31"/>
      <c r="P31"/>
      <c r="Q31"/>
      <c r="R31"/>
      <c r="S31"/>
      <c r="U31"/>
      <c r="V31"/>
      <c r="W31"/>
      <c r="X31"/>
      <c r="Y31"/>
      <c r="Z31"/>
      <c r="AA31"/>
      <c r="AO31" s="76">
        <v>6842</v>
      </c>
      <c r="AP31" s="76" t="s">
        <v>29</v>
      </c>
      <c r="AQ31" s="185">
        <f>AQ18*12*0.62/100</f>
        <v>0</v>
      </c>
      <c r="AR31" s="185">
        <f t="shared" si="36"/>
        <v>0</v>
      </c>
      <c r="AS31" s="185">
        <f t="shared" si="36"/>
        <v>0</v>
      </c>
      <c r="AT31" s="185">
        <f t="shared" si="36"/>
        <v>0</v>
      </c>
      <c r="AU31" s="185">
        <f t="shared" si="36"/>
        <v>0</v>
      </c>
      <c r="AV31" s="185">
        <f t="shared" si="36"/>
        <v>0</v>
      </c>
      <c r="AW31" s="185">
        <f t="shared" si="36"/>
        <v>0</v>
      </c>
      <c r="AX31" s="220">
        <f t="shared" si="35"/>
        <v>0</v>
      </c>
    </row>
    <row r="32" spans="1:54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U32"/>
      <c r="V32"/>
      <c r="W32"/>
      <c r="X32"/>
      <c r="Y32"/>
      <c r="Z32"/>
      <c r="AA32"/>
      <c r="AO32" s="74"/>
      <c r="AP32" s="74"/>
      <c r="AQ32" s="224">
        <f>SUM(AQ28:AQ31)</f>
        <v>12082.372800000001</v>
      </c>
      <c r="AR32" s="224">
        <f t="shared" ref="AR32:AW32" si="37">SUM(AR28:AR31)</f>
        <v>13789.44</v>
      </c>
      <c r="AS32" s="224">
        <f t="shared" si="37"/>
        <v>7220.4048000000003</v>
      </c>
      <c r="AT32" s="224">
        <f t="shared" si="37"/>
        <v>9971.6543999999994</v>
      </c>
      <c r="AU32" s="224">
        <f t="shared" si="37"/>
        <v>14135.472</v>
      </c>
      <c r="AV32" s="224">
        <f t="shared" si="37"/>
        <v>11983.608</v>
      </c>
      <c r="AW32" s="224">
        <f t="shared" si="37"/>
        <v>10017.072</v>
      </c>
      <c r="AX32" s="224">
        <f>SUM(AX28:AX31)</f>
        <v>79200.024000000005</v>
      </c>
    </row>
    <row r="33" spans="1:27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U33"/>
      <c r="V33"/>
      <c r="W33"/>
      <c r="X33"/>
      <c r="Y33"/>
      <c r="Z33"/>
      <c r="AA33"/>
    </row>
    <row r="34" spans="1:27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U34"/>
      <c r="V34"/>
      <c r="W34"/>
      <c r="X34"/>
      <c r="Y34"/>
      <c r="Z34"/>
      <c r="AA34"/>
    </row>
    <row r="35" spans="1:27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U35"/>
      <c r="V35"/>
      <c r="W35"/>
      <c r="X35"/>
      <c r="Y35"/>
      <c r="Z35"/>
      <c r="AA35"/>
    </row>
    <row r="36" spans="1:27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U36"/>
      <c r="V36"/>
      <c r="W36"/>
      <c r="X36"/>
      <c r="Y36"/>
      <c r="Z36"/>
      <c r="AA36"/>
    </row>
    <row r="37" spans="1:27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U37"/>
      <c r="V37"/>
      <c r="W37"/>
      <c r="X37"/>
      <c r="Y37"/>
      <c r="Z37"/>
      <c r="AA37"/>
    </row>
    <row r="38" spans="1:27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U38"/>
      <c r="V38"/>
      <c r="W38"/>
      <c r="X38"/>
      <c r="Y38"/>
      <c r="Z38"/>
      <c r="AA38"/>
    </row>
    <row r="39" spans="1:27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</row>
    <row r="40" spans="1:27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</row>
    <row r="41" spans="1:27" s="10" customFormat="1" ht="12.75" customHeight="1" x14ac:dyDescent="0.2">
      <c r="A41" s="9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U41"/>
      <c r="V41"/>
      <c r="W41"/>
      <c r="X41"/>
      <c r="Y41"/>
      <c r="Z41"/>
      <c r="AA41"/>
    </row>
    <row r="42" spans="1:27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99012</v>
      </c>
      <c r="H42"/>
      <c r="I42"/>
      <c r="J42">
        <f>+J41*4</f>
        <v>0</v>
      </c>
      <c r="K42"/>
      <c r="L42"/>
      <c r="M42"/>
      <c r="N42" s="273">
        <v>0</v>
      </c>
      <c r="O42"/>
      <c r="P42">
        <v>32000</v>
      </c>
      <c r="Q42"/>
      <c r="R42" s="149">
        <f>+N42+G42</f>
        <v>99012</v>
      </c>
      <c r="S42"/>
      <c r="U42"/>
      <c r="V42" s="10" t="s">
        <v>55</v>
      </c>
      <c r="W42"/>
      <c r="X42"/>
      <c r="Y42"/>
      <c r="Z42"/>
      <c r="AA42"/>
    </row>
    <row r="43" spans="1:27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>
        <v>0</v>
      </c>
      <c r="P43" t="s">
        <v>57</v>
      </c>
      <c r="Q43"/>
      <c r="R43"/>
      <c r="S43"/>
      <c r="U43"/>
      <c r="V43"/>
      <c r="W43"/>
      <c r="X43"/>
      <c r="Y43"/>
      <c r="Z43"/>
      <c r="AA43"/>
    </row>
    <row r="44" spans="1:27" s="10" customFormat="1" ht="48.75" customHeight="1" x14ac:dyDescent="0.25">
      <c r="A44" s="9"/>
      <c r="B44"/>
      <c r="C44"/>
      <c r="D44"/>
      <c r="E44" s="136" t="s">
        <v>11</v>
      </c>
      <c r="F44" s="149">
        <f>SUM(H22:H29)+H9</f>
        <v>114705</v>
      </c>
      <c r="G44">
        <v>33000</v>
      </c>
      <c r="H44">
        <f>G44/12</f>
        <v>2750</v>
      </c>
      <c r="I44">
        <f>F44/H44</f>
        <v>41.710909090909091</v>
      </c>
      <c r="J44"/>
      <c r="K44"/>
      <c r="L44" s="136" t="s">
        <v>11</v>
      </c>
      <c r="M44" s="149">
        <f>SUM(N19:N29)+N9</f>
        <v>289024</v>
      </c>
      <c r="N44">
        <v>60000</v>
      </c>
      <c r="O44">
        <f>N44/12</f>
        <v>5000</v>
      </c>
      <c r="P44">
        <f>M44/O44</f>
        <v>57.8048</v>
      </c>
      <c r="Q44"/>
      <c r="R44"/>
      <c r="S44"/>
      <c r="T44"/>
      <c r="U44"/>
    </row>
    <row r="45" spans="1:27" s="10" customFormat="1" ht="21.75" customHeight="1" x14ac:dyDescent="0.25">
      <c r="A45" s="9"/>
      <c r="B45"/>
      <c r="C45"/>
      <c r="D45"/>
      <c r="E45" s="261" t="s">
        <v>22</v>
      </c>
      <c r="F45" s="149">
        <f>SUM(H10:H21)</f>
        <v>166529</v>
      </c>
      <c r="G45">
        <v>34000</v>
      </c>
      <c r="H45">
        <f>G45/12</f>
        <v>2833.3333333333335</v>
      </c>
      <c r="I45">
        <f>F45/H45</f>
        <v>58.774941176470584</v>
      </c>
      <c r="J45"/>
      <c r="K45"/>
      <c r="L45" s="255" t="s">
        <v>21</v>
      </c>
      <c r="M45" s="149"/>
      <c r="N45">
        <v>55000</v>
      </c>
      <c r="O45">
        <f t="shared" ref="O45:O46" si="38">N45/12</f>
        <v>4583.333333333333</v>
      </c>
      <c r="P45">
        <f>M45/O45</f>
        <v>0</v>
      </c>
      <c r="Q45">
        <v>0</v>
      </c>
      <c r="R45"/>
      <c r="S45"/>
      <c r="T45"/>
      <c r="U45"/>
    </row>
    <row r="46" spans="1:27" s="10" customFormat="1" ht="21.75" customHeight="1" x14ac:dyDescent="0.25">
      <c r="A46" s="9"/>
      <c r="B46"/>
      <c r="C46"/>
      <c r="D46"/>
      <c r="E46"/>
      <c r="F46"/>
      <c r="G46"/>
      <c r="H46"/>
      <c r="I46">
        <f>SUM(I44:I45)</f>
        <v>100.48585026737967</v>
      </c>
      <c r="J46"/>
      <c r="K46"/>
      <c r="L46" s="145" t="s">
        <v>23</v>
      </c>
      <c r="M46" s="149">
        <f>SUM(N10:N18)</f>
        <v>214420</v>
      </c>
      <c r="N46">
        <v>60000</v>
      </c>
      <c r="O46">
        <f t="shared" si="38"/>
        <v>5000</v>
      </c>
      <c r="P46">
        <f t="shared" ref="P46" si="39">M46/O46</f>
        <v>42.884</v>
      </c>
      <c r="Q46"/>
      <c r="R46">
        <v>0</v>
      </c>
      <c r="S46"/>
      <c r="T46"/>
      <c r="U46"/>
    </row>
    <row r="47" spans="1:27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100.6888</v>
      </c>
      <c r="Q47"/>
      <c r="R47">
        <f>P47+I46</f>
        <v>201.17465026737966</v>
      </c>
      <c r="S47">
        <v>0</v>
      </c>
      <c r="T47"/>
      <c r="U47"/>
    </row>
    <row r="48" spans="1:27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 s="18"/>
    </row>
    <row r="49" spans="1:68" s="10" customFormat="1" ht="24" customHeight="1" x14ac:dyDescent="0.2">
      <c r="A49" s="9"/>
      <c r="B49"/>
      <c r="C49"/>
      <c r="D49"/>
      <c r="E49" t="s">
        <v>61</v>
      </c>
      <c r="F49" s="268">
        <f>COUNTA(C9:C29)-2</f>
        <v>19</v>
      </c>
      <c r="G49">
        <f>F49*8</f>
        <v>152</v>
      </c>
      <c r="H49" t="s">
        <v>62</v>
      </c>
      <c r="I49"/>
      <c r="J49"/>
      <c r="K49"/>
      <c r="L49" t="s">
        <v>63</v>
      </c>
      <c r="M49">
        <f>21-2</f>
        <v>19</v>
      </c>
      <c r="N49" t="s">
        <v>61</v>
      </c>
      <c r="O49">
        <f>M49*8-12</f>
        <v>140</v>
      </c>
      <c r="P49"/>
      <c r="Q49"/>
      <c r="R49"/>
      <c r="S49"/>
      <c r="T49"/>
      <c r="U49">
        <v>0</v>
      </c>
    </row>
    <row r="50" spans="1:68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V50" s="10">
        <v>0</v>
      </c>
    </row>
    <row r="51" spans="1:68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68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68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68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68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68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68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68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68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64" t="s">
        <v>64</v>
      </c>
      <c r="S59"/>
      <c r="W59" s="10">
        <v>0</v>
      </c>
    </row>
    <row r="60" spans="1:68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0.66109112018012939</v>
      </c>
      <c r="H60" s="267">
        <v>0.69</v>
      </c>
      <c r="I60"/>
      <c r="J60"/>
      <c r="K60"/>
      <c r="L60"/>
      <c r="M60"/>
      <c r="N60" s="262" t="s">
        <v>66</v>
      </c>
      <c r="O60" s="263">
        <f>P47/O49</f>
        <v>0.71920571428571434</v>
      </c>
      <c r="P60">
        <v>75.58</v>
      </c>
      <c r="R60" s="265">
        <f>R47/(O49+G49)</f>
        <v>0.68895428173760154</v>
      </c>
      <c r="S60"/>
      <c r="X60" s="60">
        <v>0</v>
      </c>
    </row>
    <row r="61" spans="1:68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K61" s="62"/>
      <c r="L61" s="61"/>
      <c r="M61" s="62"/>
      <c r="N61" s="62"/>
      <c r="O61" s="61"/>
      <c r="P61" s="62"/>
      <c r="Q61" s="61"/>
      <c r="R61" s="62"/>
      <c r="Y61" s="60">
        <v>0</v>
      </c>
    </row>
    <row r="62" spans="1:68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>
        <v>0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</row>
    <row r="63" spans="1:68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0"/>
      <c r="R63" s="197"/>
      <c r="S63" s="60"/>
      <c r="T63" s="60"/>
      <c r="U63" s="60"/>
      <c r="V63" s="60"/>
      <c r="W63" s="60"/>
      <c r="X63" s="60"/>
      <c r="Y63" s="60"/>
      <c r="Z63" s="60"/>
      <c r="AA63" s="60">
        <v>0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</row>
    <row r="64" spans="1:68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>
        <v>0</v>
      </c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3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>
        <v>0</v>
      </c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</row>
    <row r="66" spans="1:68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3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>
        <v>0</v>
      </c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</row>
    <row r="67" spans="1:68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197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>
        <v>0</v>
      </c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</row>
    <row r="68" spans="1:68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>
        <v>0</v>
      </c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</row>
    <row r="69" spans="1:68" x14ac:dyDescent="0.2">
      <c r="AG69" s="10">
        <v>0</v>
      </c>
    </row>
    <row r="70" spans="1:68" x14ac:dyDescent="0.2">
      <c r="E70" s="188"/>
      <c r="G70" s="18"/>
      <c r="AH70" s="10">
        <v>0</v>
      </c>
    </row>
    <row r="71" spans="1:68" x14ac:dyDescent="0.2">
      <c r="AI71" s="10">
        <v>0</v>
      </c>
    </row>
    <row r="72" spans="1:68" x14ac:dyDescent="0.2">
      <c r="AJ72" s="10">
        <v>0</v>
      </c>
    </row>
    <row r="73" spans="1:68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U73" s="14" t="s">
        <v>71</v>
      </c>
      <c r="Y73" s="10" t="s">
        <v>57</v>
      </c>
      <c r="AK73" s="10">
        <v>0</v>
      </c>
    </row>
    <row r="74" spans="1:68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U74" s="10" t="s">
        <v>72</v>
      </c>
      <c r="V74" s="10">
        <v>8000</v>
      </c>
      <c r="W74" s="10">
        <f>V74*6</f>
        <v>48000</v>
      </c>
      <c r="X74" s="269">
        <v>5400</v>
      </c>
      <c r="Y74" s="10">
        <f>W74/X74</f>
        <v>8.8888888888888893</v>
      </c>
      <c r="AL74" s="10">
        <v>0</v>
      </c>
    </row>
    <row r="75" spans="1:68" ht="15" x14ac:dyDescent="0.25">
      <c r="E75" s="136" t="s">
        <v>11</v>
      </c>
      <c r="F75" s="149">
        <f>SUM(E23:E29)</f>
        <v>98500</v>
      </c>
      <c r="G75">
        <v>33000</v>
      </c>
      <c r="H75">
        <f>G75/12</f>
        <v>2750</v>
      </c>
      <c r="I75">
        <f>F75/H75</f>
        <v>35.81818181818182</v>
      </c>
      <c r="J75"/>
      <c r="K75"/>
      <c r="L75" s="136" t="s">
        <v>11</v>
      </c>
      <c r="M75" s="149">
        <f>SUM(K22:K29)</f>
        <v>225000</v>
      </c>
      <c r="N75">
        <v>60000</v>
      </c>
      <c r="O75">
        <f>N75/12</f>
        <v>5000</v>
      </c>
      <c r="P75">
        <f>M75/O75</f>
        <v>45</v>
      </c>
      <c r="Q75"/>
      <c r="R75"/>
      <c r="U75" s="10" t="s">
        <v>73</v>
      </c>
      <c r="V75" s="10">
        <v>4000</v>
      </c>
      <c r="W75" s="10">
        <f>V75*6</f>
        <v>24000</v>
      </c>
      <c r="X75" s="269">
        <v>6000</v>
      </c>
      <c r="Y75" s="10">
        <f t="shared" ref="Y75:Y76" si="40">W75/X75</f>
        <v>4</v>
      </c>
      <c r="AM75" s="10">
        <v>0</v>
      </c>
    </row>
    <row r="76" spans="1:68" ht="15" x14ac:dyDescent="0.25">
      <c r="E76" s="261" t="s">
        <v>22</v>
      </c>
      <c r="F76" s="149">
        <f>SUM(E21:E22)</f>
        <v>24500</v>
      </c>
      <c r="G76">
        <v>34000</v>
      </c>
      <c r="H76">
        <f>G76/12</f>
        <v>2833.3333333333335</v>
      </c>
      <c r="I76">
        <f>F76/H76</f>
        <v>8.6470588235294112</v>
      </c>
      <c r="J76"/>
      <c r="K76"/>
      <c r="L76" s="255" t="s">
        <v>21</v>
      </c>
      <c r="M76" s="149">
        <v>0</v>
      </c>
      <c r="N76">
        <v>55000</v>
      </c>
      <c r="O76">
        <f t="shared" ref="O76:O77" si="41">N76/12</f>
        <v>4583.333333333333</v>
      </c>
      <c r="P76">
        <f t="shared" ref="P76:P77" si="42">M76/O76</f>
        <v>0</v>
      </c>
      <c r="Q76"/>
      <c r="R76"/>
      <c r="U76" s="10" t="s">
        <v>74</v>
      </c>
      <c r="V76" s="10">
        <v>1984</v>
      </c>
      <c r="W76" s="10">
        <f>V76*15</f>
        <v>29760</v>
      </c>
      <c r="X76" s="269">
        <v>12600</v>
      </c>
      <c r="Y76" s="10">
        <f t="shared" si="40"/>
        <v>2.361904761904762</v>
      </c>
      <c r="AN76" s="10">
        <v>0</v>
      </c>
    </row>
    <row r="77" spans="1:68" ht="15" x14ac:dyDescent="0.25">
      <c r="E77"/>
      <c r="F77"/>
      <c r="G77"/>
      <c r="H77"/>
      <c r="I77">
        <f>SUM(I75:I76)</f>
        <v>44.465240641711233</v>
      </c>
      <c r="J77"/>
      <c r="K77"/>
      <c r="L77" s="145" t="s">
        <v>23</v>
      </c>
      <c r="M77" s="149">
        <f>SUM(K20:K21)</f>
        <v>45000</v>
      </c>
      <c r="N77">
        <v>60000</v>
      </c>
      <c r="O77">
        <f t="shared" si="41"/>
        <v>5000</v>
      </c>
      <c r="P77">
        <f t="shared" si="42"/>
        <v>9</v>
      </c>
      <c r="Q77"/>
      <c r="R77" t="s">
        <v>60</v>
      </c>
      <c r="Y77" s="10">
        <f>SUM(Y74:Y76)</f>
        <v>15.250793650793652</v>
      </c>
      <c r="AO77" s="10">
        <v>0</v>
      </c>
    </row>
    <row r="78" spans="1:68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54</v>
      </c>
      <c r="Q78"/>
      <c r="R78">
        <f>P78+I77</f>
        <v>98.465240641711233</v>
      </c>
      <c r="AP78" s="10">
        <v>0</v>
      </c>
    </row>
    <row r="79" spans="1:68" x14ac:dyDescent="0.2">
      <c r="AQ79" s="10">
        <v>0</v>
      </c>
    </row>
    <row r="80" spans="1:68" x14ac:dyDescent="0.2">
      <c r="AR80" s="10">
        <v>0</v>
      </c>
    </row>
    <row r="81" spans="5:58" x14ac:dyDescent="0.2">
      <c r="AS81" s="10">
        <v>0</v>
      </c>
    </row>
    <row r="82" spans="5:58" x14ac:dyDescent="0.2">
      <c r="AT82" s="10">
        <v>0</v>
      </c>
    </row>
    <row r="83" spans="5:58" x14ac:dyDescent="0.2">
      <c r="AU83" s="10">
        <v>0</v>
      </c>
    </row>
    <row r="84" spans="5:58" x14ac:dyDescent="0.2">
      <c r="AV84" s="10">
        <v>0</v>
      </c>
    </row>
    <row r="85" spans="5:58" x14ac:dyDescent="0.2">
      <c r="AW85" s="10">
        <v>0</v>
      </c>
    </row>
    <row r="86" spans="5:58" x14ac:dyDescent="0.2">
      <c r="AX86" s="10">
        <v>0</v>
      </c>
    </row>
    <row r="87" spans="5:58" x14ac:dyDescent="0.2">
      <c r="AY87" s="10">
        <v>0</v>
      </c>
    </row>
    <row r="88" spans="5:58" x14ac:dyDescent="0.2">
      <c r="AZ88" s="10">
        <v>0</v>
      </c>
    </row>
    <row r="89" spans="5:58" x14ac:dyDescent="0.2">
      <c r="BA89" s="10">
        <v>0</v>
      </c>
    </row>
    <row r="90" spans="5:58" x14ac:dyDescent="0.2">
      <c r="BB90" s="10">
        <v>0</v>
      </c>
    </row>
    <row r="91" spans="5:58" x14ac:dyDescent="0.2">
      <c r="BC91" s="10">
        <v>0</v>
      </c>
    </row>
    <row r="92" spans="5:58" x14ac:dyDescent="0.2">
      <c r="BD92" s="10">
        <v>0</v>
      </c>
    </row>
    <row r="93" spans="5:58" x14ac:dyDescent="0.2">
      <c r="BE93" s="10">
        <v>0</v>
      </c>
      <c r="BF93" s="10">
        <v>0</v>
      </c>
    </row>
    <row r="96" spans="5:58" x14ac:dyDescent="0.2">
      <c r="E96" s="188" t="s">
        <v>75</v>
      </c>
    </row>
    <row r="97" spans="5:57" x14ac:dyDescent="0.2">
      <c r="E97" s="188" t="s">
        <v>9</v>
      </c>
      <c r="G97" s="10">
        <f t="shared" ref="G97:P97" si="43">+G45*12</f>
        <v>408000</v>
      </c>
      <c r="H97" s="10">
        <f t="shared" si="43"/>
        <v>34000</v>
      </c>
      <c r="I97" s="10">
        <f t="shared" si="43"/>
        <v>705.29929411764704</v>
      </c>
      <c r="J97" s="10">
        <f t="shared" si="43"/>
        <v>0</v>
      </c>
      <c r="K97" s="10">
        <f t="shared" si="43"/>
        <v>0</v>
      </c>
      <c r="L97" s="10" t="e">
        <f t="shared" si="43"/>
        <v>#VALUE!</v>
      </c>
      <c r="M97" s="10">
        <f t="shared" si="43"/>
        <v>0</v>
      </c>
      <c r="N97" s="10">
        <f t="shared" si="43"/>
        <v>660000</v>
      </c>
      <c r="O97" s="10">
        <f t="shared" si="43"/>
        <v>55000</v>
      </c>
      <c r="P97" s="10">
        <f t="shared" si="43"/>
        <v>0</v>
      </c>
      <c r="R97" s="10" t="e">
        <f>SUM(G97:P97)</f>
        <v>#VALUE!</v>
      </c>
    </row>
    <row r="98" spans="5:57" x14ac:dyDescent="0.2">
      <c r="E98" s="188" t="s">
        <v>27</v>
      </c>
      <c r="G98" s="10">
        <f t="shared" ref="G98:P98" si="44">+G47*12</f>
        <v>0</v>
      </c>
      <c r="H98" s="10">
        <f t="shared" si="44"/>
        <v>0</v>
      </c>
      <c r="I98" s="10">
        <f t="shared" si="44"/>
        <v>0</v>
      </c>
      <c r="J98" s="10">
        <f t="shared" si="44"/>
        <v>0</v>
      </c>
      <c r="K98" s="10">
        <f t="shared" si="44"/>
        <v>0</v>
      </c>
      <c r="L98" s="10">
        <f t="shared" si="44"/>
        <v>0</v>
      </c>
      <c r="M98" s="10">
        <f t="shared" si="44"/>
        <v>0</v>
      </c>
      <c r="N98" s="10">
        <f t="shared" si="44"/>
        <v>0</v>
      </c>
      <c r="O98" s="10">
        <f t="shared" si="44"/>
        <v>0</v>
      </c>
      <c r="P98" s="10">
        <f t="shared" si="44"/>
        <v>1208.2655999999999</v>
      </c>
      <c r="R98" s="10">
        <f>SUM(G98:P98)</f>
        <v>1208.2655999999999</v>
      </c>
      <c r="BE98" s="10">
        <v>6</v>
      </c>
    </row>
    <row r="99" spans="5:57" x14ac:dyDescent="0.2">
      <c r="R99" s="10" t="e">
        <f>+R97+R98</f>
        <v>#VALUE!</v>
      </c>
    </row>
    <row r="100" spans="5:57" x14ac:dyDescent="0.2">
      <c r="R100" s="18">
        <v>-6276000</v>
      </c>
    </row>
  </sheetData>
  <mergeCells count="5">
    <mergeCell ref="B1:P1"/>
    <mergeCell ref="B7:B8"/>
    <mergeCell ref="C7:C8"/>
    <mergeCell ref="E7:J7"/>
    <mergeCell ref="K7:P7"/>
  </mergeCells>
  <conditionalFormatting sqref="F9:F29">
    <cfRule type="cellIs" dxfId="264" priority="149" operator="equal">
      <formula>6842</formula>
    </cfRule>
    <cfRule type="cellIs" dxfId="263" priority="150" operator="equal">
      <formula>2821</formula>
    </cfRule>
    <cfRule type="cellIs" dxfId="262" priority="151" operator="equal">
      <formula>2395</formula>
    </cfRule>
    <cfRule type="cellIs" dxfId="261" priority="152" operator="equal">
      <formula>1564</formula>
    </cfRule>
  </conditionalFormatting>
  <conditionalFormatting sqref="G9:G29">
    <cfRule type="containsText" dxfId="260" priority="137" operator="containsText" text="CM620RT-TEL">
      <formula>NOT(ISERROR(SEARCH("CM620RT-TEL",G9)))</formula>
    </cfRule>
    <cfRule type="containsText" dxfId="259" priority="138" operator="containsText" text="PC630RT">
      <formula>NOT(ISERROR(SEARCH("PC630RT",G9)))</formula>
    </cfRule>
    <cfRule type="containsText" dxfId="258" priority="139" operator="containsText" text="PT620RT">
      <formula>NOT(ISERROR(SEARCH("PT620RT",G9)))</formula>
    </cfRule>
    <cfRule type="containsText" dxfId="257" priority="140" operator="containsText" text="CR650RT">
      <formula>NOT(ISERROR(SEARCH("CR650RT",G9)))</formula>
    </cfRule>
  </conditionalFormatting>
  <conditionalFormatting sqref="I9:I29">
    <cfRule type="cellIs" dxfId="256" priority="5" operator="equal">
      <formula>6842</formula>
    </cfRule>
    <cfRule type="cellIs" dxfId="255" priority="6" operator="equal">
      <formula>2821</formula>
    </cfRule>
    <cfRule type="cellIs" dxfId="254" priority="7" operator="equal">
      <formula>2395</formula>
    </cfRule>
    <cfRule type="cellIs" dxfId="253" priority="8" operator="equal">
      <formula>1564</formula>
    </cfRule>
  </conditionalFormatting>
  <conditionalFormatting sqref="J9:J29">
    <cfRule type="containsText" dxfId="252" priority="1" operator="containsText" text="CM620RT-TEL">
      <formula>NOT(ISERROR(SEARCH("CM620RT-TEL",J9)))</formula>
    </cfRule>
    <cfRule type="containsText" dxfId="251" priority="2" operator="containsText" text="PC630RT">
      <formula>NOT(ISERROR(SEARCH("PC630RT",J9)))</formula>
    </cfRule>
    <cfRule type="containsText" dxfId="250" priority="3" operator="containsText" text="PT620RT">
      <formula>NOT(ISERROR(SEARCH("PT620RT",J9)))</formula>
    </cfRule>
    <cfRule type="containsText" dxfId="249" priority="4" operator="containsText" text="CR650RT">
      <formula>NOT(ISERROR(SEARCH("CR650RT",J9)))</formula>
    </cfRule>
  </conditionalFormatting>
  <conditionalFormatting sqref="O10:O20">
    <cfRule type="cellIs" dxfId="248" priority="21" operator="equal">
      <formula>6842</formula>
    </cfRule>
    <cfRule type="cellIs" dxfId="247" priority="22" operator="equal">
      <formula>2821</formula>
    </cfRule>
    <cfRule type="cellIs" dxfId="246" priority="23" operator="equal">
      <formula>2395</formula>
    </cfRule>
    <cfRule type="cellIs" dxfId="245" priority="24" operator="equal">
      <formula>1564</formula>
    </cfRule>
  </conditionalFormatting>
  <conditionalFormatting sqref="P10:P20">
    <cfRule type="containsText" dxfId="244" priority="17" operator="containsText" text="CM620RT-TEL">
      <formula>NOT(ISERROR(SEARCH("CM620RT-TEL",P10)))</formula>
    </cfRule>
    <cfRule type="containsText" dxfId="243" priority="18" operator="containsText" text="PC630RT">
      <formula>NOT(ISERROR(SEARCH("PC630RT",P10)))</formula>
    </cfRule>
    <cfRule type="containsText" dxfId="242" priority="19" operator="containsText" text="PT620RT">
      <formula>NOT(ISERROR(SEARCH("PT620RT",P10)))</formula>
    </cfRule>
    <cfRule type="containsText" dxfId="241" priority="20" operator="containsText" text="CR650RT">
      <formula>NOT(ISERROR(SEARCH("CR650RT",P10)))</formula>
    </cfRule>
  </conditionalFormatting>
  <conditionalFormatting sqref="P19">
    <cfRule type="containsText" dxfId="240" priority="53" operator="containsText" text="CM620RT-TEL">
      <formula>NOT(ISERROR(SEARCH("CM620RT-TEL",P19)))</formula>
    </cfRule>
    <cfRule type="containsText" dxfId="239" priority="54" operator="containsText" text="PC630RT">
      <formula>NOT(ISERROR(SEARCH("PC630RT",P19)))</formula>
    </cfRule>
    <cfRule type="containsText" dxfId="238" priority="55" operator="containsText" text="PT620RT">
      <formula>NOT(ISERROR(SEARCH("PT620RT",P19)))</formula>
    </cfRule>
    <cfRule type="containsText" dxfId="237" priority="56" operator="containsText" text="CR650RT">
      <formula>NOT(ISERROR(SEARCH("CR650RT",P19)))</formula>
    </cfRule>
  </conditionalFormatting>
  <dataValidations count="1">
    <dataValidation type="list" allowBlank="1" showInputMessage="1" showErrorMessage="1" sqref="Q9:Q29 D9:D29" xr:uid="{B7042F55-DED6-488F-A400-C6408032C938}">
      <formula1>#REF!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1109-4CA7-49C9-AD89-2717B270D00A}">
  <dimension ref="A1:BP100"/>
  <sheetViews>
    <sheetView showGridLines="0" zoomScale="60" zoomScaleNormal="60" workbookViewId="0">
      <selection activeCell="T61" sqref="T61"/>
    </sheetView>
  </sheetViews>
  <sheetFormatPr baseColWidth="10" defaultColWidth="11.42578125" defaultRowHeight="12.75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8.5703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5.42578125" style="10" customWidth="1"/>
    <col min="18" max="18" width="13.5703125" style="10" customWidth="1"/>
    <col min="19" max="19" width="8" style="10" customWidth="1"/>
    <col min="20" max="20" width="10.42578125" style="10" bestFit="1" customWidth="1"/>
    <col min="21" max="21" width="12.5703125" style="10" customWidth="1"/>
    <col min="22" max="22" width="9.140625" style="10"/>
    <col min="23" max="23" width="15.5703125" style="10" customWidth="1"/>
    <col min="24" max="24" width="12.85546875" style="10" customWidth="1"/>
    <col min="25" max="25" width="14.28515625" style="10" customWidth="1"/>
    <col min="26" max="26" width="5.7109375" style="10" customWidth="1" collapsed="1"/>
    <col min="27" max="68" width="11.42578125" style="10"/>
  </cols>
  <sheetData>
    <row r="1" spans="1:68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49</v>
      </c>
      <c r="K3" s="4"/>
      <c r="L3" s="7"/>
      <c r="M3" s="7"/>
      <c r="N3" s="7"/>
      <c r="O3" s="7"/>
      <c r="P3" s="7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5" spans="1:68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01/12/YYYY al 07/12/YYYY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">
      <c r="B6" s="11" t="s">
        <v>2</v>
      </c>
      <c r="C6" s="11" t="s">
        <v>3</v>
      </c>
      <c r="D6" s="12">
        <v>2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</row>
    <row r="7" spans="1:68" ht="31.5" x14ac:dyDescent="0.2">
      <c r="A7" s="13"/>
      <c r="B7" s="997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1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8.75" x14ac:dyDescent="0.2">
      <c r="A8" s="13"/>
      <c r="B8" s="998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174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215" t="s">
        <v>6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215" t="s">
        <v>9</v>
      </c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</row>
    <row r="9" spans="1:68" ht="15.75" x14ac:dyDescent="0.25">
      <c r="A9" s="13"/>
      <c r="B9" s="216">
        <v>45992</v>
      </c>
      <c r="C9" s="87" t="s">
        <v>10</v>
      </c>
      <c r="D9" s="175"/>
      <c r="E9" s="312">
        <v>8000</v>
      </c>
      <c r="F9" s="217">
        <v>2395</v>
      </c>
      <c r="G9" s="218" t="s">
        <v>22</v>
      </c>
      <c r="H9" s="229">
        <v>6312</v>
      </c>
      <c r="I9" s="219">
        <v>1564</v>
      </c>
      <c r="J9" s="223" t="s">
        <v>11</v>
      </c>
      <c r="K9" s="176">
        <v>35000</v>
      </c>
      <c r="L9" s="136">
        <v>1564</v>
      </c>
      <c r="M9" s="136" t="s">
        <v>11</v>
      </c>
      <c r="N9" s="234">
        <f>28392+7492</f>
        <v>35884</v>
      </c>
      <c r="O9" s="136">
        <v>1564</v>
      </c>
      <c r="P9" s="136" t="s">
        <v>11</v>
      </c>
      <c r="Q9" s="178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/>
      <c r="AB9" s="74"/>
      <c r="AC9" s="74"/>
      <c r="AD9" s="79" t="s">
        <v>7</v>
      </c>
      <c r="AE9" s="79" t="s">
        <v>8</v>
      </c>
      <c r="AF9" s="80">
        <f>B9</f>
        <v>45992</v>
      </c>
      <c r="AG9" s="80">
        <f>B12</f>
        <v>45993</v>
      </c>
      <c r="AH9" s="80">
        <f>B15</f>
        <v>45994</v>
      </c>
      <c r="AI9" s="80">
        <f>B18</f>
        <v>45995</v>
      </c>
      <c r="AJ9" s="80">
        <f>B21</f>
        <v>45996</v>
      </c>
      <c r="AK9" s="80">
        <f>B24</f>
        <v>45997</v>
      </c>
      <c r="AL9" s="80">
        <f>B27</f>
        <v>45998</v>
      </c>
      <c r="AM9" s="79" t="s">
        <v>17</v>
      </c>
      <c r="AN9" s="74"/>
      <c r="AO9" s="79" t="s">
        <v>7</v>
      </c>
      <c r="AP9" s="79" t="s">
        <v>8</v>
      </c>
      <c r="AQ9" s="80">
        <f>AF9</f>
        <v>45992</v>
      </c>
      <c r="AR9" s="80">
        <f t="shared" ref="AR9:AW9" si="0">AG9</f>
        <v>45993</v>
      </c>
      <c r="AS9" s="80">
        <f t="shared" si="0"/>
        <v>45994</v>
      </c>
      <c r="AT9" s="80">
        <f t="shared" si="0"/>
        <v>45995</v>
      </c>
      <c r="AU9" s="80">
        <f t="shared" si="0"/>
        <v>45996</v>
      </c>
      <c r="AV9" s="80">
        <f t="shared" si="0"/>
        <v>45997</v>
      </c>
      <c r="AW9" s="80">
        <f t="shared" si="0"/>
        <v>45998</v>
      </c>
      <c r="AX9" s="79" t="s">
        <v>17</v>
      </c>
      <c r="AY9" s="74"/>
      <c r="AZ9" s="74"/>
      <c r="BA9" s="74"/>
      <c r="BB9" s="74"/>
    </row>
    <row r="10" spans="1:68" ht="15" x14ac:dyDescent="0.25">
      <c r="A10" s="13"/>
      <c r="B10" s="216" t="s">
        <v>18</v>
      </c>
      <c r="C10" s="85" t="s">
        <v>19</v>
      </c>
      <c r="D10" s="179"/>
      <c r="E10" s="312">
        <v>16500</v>
      </c>
      <c r="F10" s="226">
        <v>2395</v>
      </c>
      <c r="G10" s="180" t="s">
        <v>22</v>
      </c>
      <c r="H10" s="235">
        <f>5208+16800</f>
        <v>22008</v>
      </c>
      <c r="I10" s="226">
        <v>2395</v>
      </c>
      <c r="J10" s="180" t="s">
        <v>22</v>
      </c>
      <c r="K10" s="176">
        <v>10000</v>
      </c>
      <c r="L10" s="136">
        <v>1564</v>
      </c>
      <c r="M10" s="136" t="s">
        <v>11</v>
      </c>
      <c r="N10" s="176">
        <v>21000</v>
      </c>
      <c r="O10" s="187">
        <v>2821</v>
      </c>
      <c r="P10" s="177" t="s">
        <v>23</v>
      </c>
      <c r="Q10" s="181"/>
      <c r="R10" s="81"/>
      <c r="S10" s="94">
        <v>1564</v>
      </c>
      <c r="T10" s="95" t="s">
        <v>11</v>
      </c>
      <c r="U10" s="96">
        <f>SUMIF($F$9:$F$29,S10,$E$9:$E$29)</f>
        <v>98500</v>
      </c>
      <c r="V10" s="96">
        <f>SUMIF($M$9:$M$29,T10,$K$9:$K$29)</f>
        <v>315000</v>
      </c>
      <c r="W10" s="96">
        <f t="shared" ref="W10:W16" si="1">SUM(U10:V10)</f>
        <v>413500</v>
      </c>
      <c r="X10" s="96">
        <f>(SUMIF($J$9:$J$29,T10,$H$9:$H$29))+(SUMIF($P$9:$P$29,T10,$N$9:$N$29))</f>
        <v>87052</v>
      </c>
      <c r="Y10" s="96">
        <f>+W10-X10</f>
        <v>326448</v>
      </c>
      <c r="Z10" s="74"/>
      <c r="AA10" s="74"/>
      <c r="AB10" s="74"/>
      <c r="AC10" s="74"/>
      <c r="AD10" s="76">
        <v>1564</v>
      </c>
      <c r="AE10" s="76" t="s">
        <v>11</v>
      </c>
      <c r="AF10" s="82">
        <f>SUMIF($F$9:$F$11,$AD10,$E$9:$E$11)+SUMIF($I$9:$I$11,$AD10,$H$9:$H$11)+SUMIF($L$9:$L$11,$AD10,$K$9:$K$11)+SUMIF($O$9:$O$11,$AD10,$N$9:$N$11)</f>
        <v>87196</v>
      </c>
      <c r="AG10" s="82">
        <f>SUMIF($F$12:$F$14,$AD10,$E$12:$E$14)+SUMIF($I$12:$I$14,$AD10,$H$12:$H$14)+SUMIF($L$12:$L$14,$AD10,$K$12:$K$14)+SUMIF($O$12:$O$14,$AD10,$N$12:$N$14)</f>
        <v>0</v>
      </c>
      <c r="AH10" s="82">
        <f>SUMIF($F$15:$F$17,$AD10,$E$15:$E$17)+SUMIF($I$15:$I$17,$AD10,$H$15:$H$17)+SUMIF($L$15:$L$17,$AD10,$K$15:$K$17)+SUMIF($O$15:$O$17,$AD10,$N$15:$N$17)</f>
        <v>0</v>
      </c>
      <c r="AI10" s="82">
        <f>SUMIF($F$18:$F$20,$AD10,$E$18:$E$20)+SUMIF($I$18:$I$20,$AD10,$H$18:$H$20)+SUMIF($L$18:$L$20,$AD10,$K$18:$K$20)+SUMIF($O$18:$O$20,$AD10,$N$18:$N$20)</f>
        <v>59856</v>
      </c>
      <c r="AJ10" s="82">
        <f>SUMIF($F$21:$F$23,$AD10,$E$21:$E$23)+SUMIF($I$21:$I$23,$AD10,$H$21:$H$23)+SUMIF($L$21:$L$23,$AD10,$K$21:$K$23)+SUMIF($O$21:$O$23,$AD10,$N$21:$N$23)</f>
        <v>98000</v>
      </c>
      <c r="AK10" s="82">
        <f>SUMIF($F$24:$F$26,$AD10,$E$24:$E$26)+SUMIF($I$24:$I$26,$AD10,$H$24:$H$26)+SUMIF($L$24:$L$26,$AD10,$K$24:$K$26)+SUMIF($O$24:$O$26,$AD10,$N$24:$N$26)</f>
        <v>139500</v>
      </c>
      <c r="AL10" s="82">
        <f>SUMIF($F$27:$F$29,$AD10,$E$27:$E$29)+SUMIF($I$27:$I$29,$AD10,$H$27:$H$29)+SUMIF($L$27:$L$29,$AD10,$K$27:$K$29)+SUMIF($O$27:$O$29,$AD10,$N$27:$N$29)</f>
        <v>116000</v>
      </c>
      <c r="AM10" s="83">
        <f>SUM(AF10:AL10)</f>
        <v>500552</v>
      </c>
      <c r="AN10" s="74"/>
      <c r="AO10" s="76">
        <v>1564</v>
      </c>
      <c r="AP10" s="76" t="s">
        <v>11</v>
      </c>
      <c r="AQ10" s="185">
        <f>SUMIF($I$9:$I$11,$AO10,$H$9:$H$11)+SUMIF($F$9:$F$11,$AO10,$E$9:$E$11)</f>
        <v>6312</v>
      </c>
      <c r="AR10" s="185">
        <f>SUMIF($I$12:$I$14,$AO10,$H$12:$H$14)+SUMIF($F$12:$F$14,$AO10,$E$12:$E$14)</f>
        <v>0</v>
      </c>
      <c r="AS10" s="185">
        <f>SUMIF($I$15:$I$17,$AO10,$H$15:$H$17)+SUMIF($F$15:$F$17,$AO10,$E$15:$E$17)</f>
        <v>0</v>
      </c>
      <c r="AT10" s="185">
        <f>SUMIF($I$18:$I$20,$AO10,$H$18:$H$20)+SUMIF($F$18:$F$20,$AO10,$E$18:$E$20)</f>
        <v>0</v>
      </c>
      <c r="AU10" s="185">
        <f>SUMIF($I$21:$I$23,$AO10,$H$21:$H$23)+SUMIF($F$21:$F$23,$AO10,$E$21:$E$23)</f>
        <v>8000</v>
      </c>
      <c r="AV10" s="185">
        <f>SUMIF($I$24:$I$26,$AO10,$H$24:$H$26)+SUMIF($F$24:$F$26,$AO10,$E$24:$E$26)</f>
        <v>49500</v>
      </c>
      <c r="AW10" s="185">
        <f>SUMIF($I$27:$I$29,$AO10,$H$27:$H$29)+SUMIF($F$27:$F$29,$AO10,$E$27:$E$29)</f>
        <v>41000</v>
      </c>
      <c r="AX10" s="220">
        <f>SUM(AQ10:AW10)</f>
        <v>104812</v>
      </c>
      <c r="AY10" s="74"/>
      <c r="AZ10" s="74"/>
      <c r="BA10" s="74"/>
      <c r="BB10" s="74"/>
    </row>
    <row r="11" spans="1:68" ht="15" x14ac:dyDescent="0.25">
      <c r="A11" s="13"/>
      <c r="B11" s="221"/>
      <c r="C11" s="86" t="s">
        <v>20</v>
      </c>
      <c r="D11" s="182"/>
      <c r="E11" s="230">
        <v>16500</v>
      </c>
      <c r="F11" s="227">
        <v>2395</v>
      </c>
      <c r="G11" s="228" t="s">
        <v>22</v>
      </c>
      <c r="H11" s="237">
        <v>16632</v>
      </c>
      <c r="I11" s="227">
        <v>2395</v>
      </c>
      <c r="J11" s="228" t="s">
        <v>22</v>
      </c>
      <c r="K11" s="183">
        <v>30000</v>
      </c>
      <c r="L11" s="146">
        <v>2821</v>
      </c>
      <c r="M11" s="146" t="s">
        <v>23</v>
      </c>
      <c r="N11" s="238">
        <v>25368</v>
      </c>
      <c r="O11" s="227">
        <v>2821</v>
      </c>
      <c r="P11" s="228" t="s">
        <v>23</v>
      </c>
      <c r="Q11" s="184"/>
      <c r="R11" s="81"/>
      <c r="S11" s="97">
        <v>2395</v>
      </c>
      <c r="T11" s="98" t="s">
        <v>22</v>
      </c>
      <c r="U11" s="99">
        <f>SUMIF($F$9:$F$29,S11,$E$9:$E$29)</f>
        <v>172500</v>
      </c>
      <c r="V11" s="99">
        <f>SUMIF($M$9:$M$29,S11,$L$9:$L$29)+SUMIF($P$9:$P$29,S11,$O$9:$O$29)</f>
        <v>0</v>
      </c>
      <c r="W11" s="99">
        <f t="shared" si="1"/>
        <v>172500</v>
      </c>
      <c r="X11" s="99">
        <f>SUMIF($J$9:$J$29,T11,$H$9:$H$29)</f>
        <v>152313</v>
      </c>
      <c r="Y11" s="99">
        <f>+W11-X11</f>
        <v>20187</v>
      </c>
      <c r="Z11" s="74"/>
      <c r="AA11" s="185"/>
      <c r="AB11" s="74"/>
      <c r="AC11" s="74"/>
      <c r="AD11" s="76">
        <v>2395</v>
      </c>
      <c r="AE11" s="76" t="s">
        <v>22</v>
      </c>
      <c r="AF11" s="82">
        <f>SUMIF($F$9:$F$11,$AD11,$E$9:$E$11)+SUMIF($I$9:$I$11,$AD11,$H$9:$H$11)+SUMIF($L$9:$L$11,$AD11,$K$9:$K$11)+SUMIF($O$9:$O$11,$AD11,$N$9:$N$11)</f>
        <v>79640</v>
      </c>
      <c r="AG11" s="82">
        <f>SUMIF($F$12:$F$14,$AD11,$E$12:$E$14)+SUMIF($I$12:$I$14,$AD11,$H$12:$H$14)+SUMIF($L$12:$L$14,$AD11,$K$12:$K$14)+SUMIF($O$12:$O$14,$AD11,$N$12:$N$14)</f>
        <v>28097</v>
      </c>
      <c r="AH11" s="82">
        <f>SUMIF($F$15:$F$17,$AD11,$E$15:$E$17)+SUMIF($I$15:$I$17,$AD11,$H$15:$H$17)+SUMIF($L$15:$L$17,$AD11,$K$15:$K$17)+SUMIF($O$15:$O$17,$AD11,$N$15:$N$17)</f>
        <v>100740</v>
      </c>
      <c r="AI11" s="82">
        <f>SUMIF($F$18:$F$20,$AD11,$E$18:$E$20)+SUMIF($I$18:$I$20,$AD11,$H$18:$H$20)+SUMIF($L$18:$L$20,$AD11,$K$18:$K$20)+SUMIF($O$18:$O$20,$AD11,$N$18:$N$20)</f>
        <v>91836</v>
      </c>
      <c r="AJ11" s="82">
        <f>SUMIF($F$21:$F$23,$AD11,$E$21:$E$23)+SUMIF($I$21:$I$23,$AD11,$H$21:$H$23)+SUMIF($L$21:$L$23,$AD11,$K$21:$K$23)+SUMIF($O$21:$O$23,$AD11,$N$21:$N$23)</f>
        <v>24500</v>
      </c>
      <c r="AK11" s="82">
        <f>SUMIF($F$24:$F$26,$AD11,$E$24:$E$26)+SUMIF($I$24:$I$26,$AD11,$H$24:$H$26)+SUMIF($L$24:$L$26,$AD11,$K$24:$K$26)+SUMIF($O$24:$O$26,$AD11,$N$24:$N$26)</f>
        <v>0</v>
      </c>
      <c r="AL11" s="82">
        <f>SUMIF($F$27:$F$29,$AD11,$E$27:$E$29)+SUMIF($I$27:$I$29,$AD11,$H$27:$H$29)+SUMIF($L$27:$L$29,$AD11,$K$27:$K$29)+SUMIF($O$27:$O$29,$AD11,$N$27:$N$29)</f>
        <v>0</v>
      </c>
      <c r="AM11" s="83">
        <f t="shared" ref="AM11:AM12" si="2">SUM(AF11:AL11)</f>
        <v>324813</v>
      </c>
      <c r="AN11" s="74"/>
      <c r="AO11" s="76">
        <v>2395</v>
      </c>
      <c r="AP11" s="76" t="s">
        <v>22</v>
      </c>
      <c r="AQ11" s="185">
        <f t="shared" ref="AQ11" si="3">SUMIF($I$9:$I$11,$AO11,$H$9:$H$11)+SUMIF($F$9:$F$11,$AO11,$E$9:$E$11)</f>
        <v>79640</v>
      </c>
      <c r="AR11" s="185">
        <f>SUMIF($I$12:$I$14,$AO11,$H$12:$H$14)+SUMIF($F$12:$F$14,$AO11,$E$12:$E$14)</f>
        <v>28097</v>
      </c>
      <c r="AS11" s="185">
        <f>SUMIF($I$15:$I$17,$AO11,$H$15:$H$17)+SUMIF($F$15:$F$17,$AO11,$E$15:$E$17)</f>
        <v>100740</v>
      </c>
      <c r="AT11" s="185">
        <f>SUMIF($I$18:$I$20,$AO11,$H$18:$H$20)+SUMIF($F$18:$F$20,$AO11,$E$18:$E$20)</f>
        <v>91836</v>
      </c>
      <c r="AU11" s="185">
        <f>SUMIF($I$21:$I$23,$AO11,$H$21:$H$23)+SUMIF($F$21:$F$23,$AO11,$E$21:$E$23)</f>
        <v>24500</v>
      </c>
      <c r="AV11" s="185">
        <f>SUMIF($I$24:$I$26,$AO11,$H$24:$H$26)+SUMIF($F$24:$F$26,$AO11,$E$24:$E$26)</f>
        <v>0</v>
      </c>
      <c r="AW11" s="185">
        <f>SUMIF($I$27:$I$29,$AO11,$H$27:$H$29)+SUMIF($F$27:$F$29,$AO11,$E$27:$E$29)</f>
        <v>0</v>
      </c>
      <c r="AX11" s="220">
        <f t="shared" ref="AX11" si="4">SUM(AQ11:AW11)</f>
        <v>324813</v>
      </c>
      <c r="AY11" s="74"/>
      <c r="AZ11" s="74"/>
      <c r="BA11" s="74"/>
      <c r="BB11" s="74"/>
    </row>
    <row r="12" spans="1:68" ht="15" x14ac:dyDescent="0.25">
      <c r="A12" s="13"/>
      <c r="B12" s="216">
        <f>+B9+1</f>
        <v>45993</v>
      </c>
      <c r="C12" s="87" t="s">
        <v>10</v>
      </c>
      <c r="D12" s="175"/>
      <c r="E12" s="229"/>
      <c r="F12" s="217"/>
      <c r="G12" s="246" t="s">
        <v>30</v>
      </c>
      <c r="H12" s="231">
        <v>4809</v>
      </c>
      <c r="I12" s="187">
        <v>2395</v>
      </c>
      <c r="J12" s="218" t="s">
        <v>22</v>
      </c>
      <c r="K12" s="186">
        <v>30000</v>
      </c>
      <c r="L12" s="145">
        <v>2821</v>
      </c>
      <c r="M12" s="145" t="s">
        <v>23</v>
      </c>
      <c r="N12" s="234">
        <v>28224</v>
      </c>
      <c r="O12" s="187">
        <v>2821</v>
      </c>
      <c r="P12" s="177" t="s">
        <v>23</v>
      </c>
      <c r="Q12" s="178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180000</v>
      </c>
      <c r="W12" s="102">
        <f t="shared" si="1"/>
        <v>180000</v>
      </c>
      <c r="X12" s="102">
        <f>SUMIF($P$9:$P$29,T12,$N$9:$N$29)</f>
        <v>214420</v>
      </c>
      <c r="Y12" s="102">
        <f>+W12-X12</f>
        <v>-34420</v>
      </c>
      <c r="Z12" s="74"/>
      <c r="AA12" s="74"/>
      <c r="AB12" s="74"/>
      <c r="AC12" s="74"/>
      <c r="AD12" s="76">
        <v>2821</v>
      </c>
      <c r="AE12" s="76" t="s">
        <v>23</v>
      </c>
      <c r="AF12" s="82">
        <f>SUMIF($F$9:$F$11,$AD12,$E$9:$E$11)+SUMIF($I$9:$I$11,$AD12,$H$9:$H$11)+SUMIF($L$9:$L$11,$AD12,$K$9:$K$11)+SUMIF($O$9:$O$11,$AD12,$N$9:$N$11)</f>
        <v>76368</v>
      </c>
      <c r="AG12" s="82">
        <f>SUMIF($F$12:$F$14,$AD12,$E$12:$E$14)+SUMIF($I$12:$I$14,$AD12,$H$12:$H$14)+SUMIF($L$12:$L$14,$AD12,$K$12:$K$14)+SUMIF($O$12:$O$14,$AD12,$N$12:$N$14)</f>
        <v>182400</v>
      </c>
      <c r="AH12" s="82">
        <f>SUMIF($F$15:$F$17,$AD12,$E$15:$E$17)+SUMIF($I$15:$I$17,$AD12,$H$15:$H$17)+SUMIF($L$15:$L$17,$AD12,$K$15:$K$17)+SUMIF($O$15:$O$17,$AD12,$N$15:$N$17)</f>
        <v>95508</v>
      </c>
      <c r="AI12" s="82">
        <f>SUMIF($F$18:$F$20,$AD12,$E$18:$E$20)+SUMIF($I$18:$I$20,$AD12,$H$18:$H$20)+SUMIF($L$18:$L$20,$AD12,$K$18:$K$20)+SUMIF($O$18:$O$20,$AD12,$N$18:$N$20)</f>
        <v>40144</v>
      </c>
      <c r="AJ12" s="82">
        <f>SUMIF($F$21:$F$23,$AD12,$E$21:$E$23)+SUMIF($I$21:$I$23,$AD12,$H$21:$H$23)+SUMIF($L$21:$L$23,$AD12,$K$21:$K$23)+SUMIF($O$21:$O$23,$AD12,$N$21:$N$23)</f>
        <v>0</v>
      </c>
      <c r="AK12" s="82">
        <f>SUMIF($F$24:$F$26,$AD12,$E$24:$E$26)+SUMIF($I$24:$I$26,$AD12,$H$24:$H$26)+SUMIF($L$24:$L$26,$AD12,$K$24:$K$26)+SUMIF($O$24:$O$26,$AD12,$N$24:$N$26)</f>
        <v>0</v>
      </c>
      <c r="AL12" s="82">
        <f>SUMIF($F$27:$F$29,$AD12,$E$27:$E$29)+SUMIF($I$27:$I$29,$AD12,$H$27:$H$29)+SUMIF($L$27:$L$29,$AD12,$K$27:$K$29)+SUMIF($O$27:$O$29,$AD12,$N$27:$N$29)</f>
        <v>0</v>
      </c>
      <c r="AM12" s="83">
        <f t="shared" si="2"/>
        <v>394420</v>
      </c>
      <c r="AN12" s="74"/>
      <c r="AO12" s="74"/>
      <c r="AP12" s="74"/>
      <c r="AQ12" s="185">
        <f>SUM(AQ10:AQ11)</f>
        <v>85952</v>
      </c>
      <c r="AR12" s="185">
        <f t="shared" ref="AR12:AX12" si="5">SUM(AR10:AR11)</f>
        <v>28097</v>
      </c>
      <c r="AS12" s="185">
        <f t="shared" si="5"/>
        <v>100740</v>
      </c>
      <c r="AT12" s="185">
        <f t="shared" si="5"/>
        <v>91836</v>
      </c>
      <c r="AU12" s="185">
        <f t="shared" si="5"/>
        <v>32500</v>
      </c>
      <c r="AV12" s="185">
        <f t="shared" si="5"/>
        <v>49500</v>
      </c>
      <c r="AW12" s="185">
        <f t="shared" si="5"/>
        <v>41000</v>
      </c>
      <c r="AX12" s="220">
        <f t="shared" si="5"/>
        <v>429625</v>
      </c>
      <c r="AY12" s="74"/>
      <c r="AZ12" s="74"/>
      <c r="BA12" s="74"/>
      <c r="BB12" s="74"/>
    </row>
    <row r="13" spans="1:68" ht="15" x14ac:dyDescent="0.25">
      <c r="A13" s="13"/>
      <c r="B13" s="216" t="s">
        <v>24</v>
      </c>
      <c r="C13" s="85" t="s">
        <v>19</v>
      </c>
      <c r="D13" s="179"/>
      <c r="E13" s="312"/>
      <c r="F13" s="217"/>
      <c r="G13" s="246" t="s">
        <v>30</v>
      </c>
      <c r="H13" s="235"/>
      <c r="I13" s="219"/>
      <c r="J13" s="218"/>
      <c r="K13" s="176">
        <v>30000</v>
      </c>
      <c r="L13" s="145">
        <v>2821</v>
      </c>
      <c r="M13" s="145" t="s">
        <v>23</v>
      </c>
      <c r="N13" s="236">
        <v>34104</v>
      </c>
      <c r="O13" s="187">
        <v>2821</v>
      </c>
      <c r="P13" s="177" t="s">
        <v>23</v>
      </c>
      <c r="Q13" s="181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1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6">
        <v>6843</v>
      </c>
      <c r="AE13" s="76" t="s">
        <v>26</v>
      </c>
      <c r="AF13" s="82">
        <f>SUMIF($F$9:$F$11,$AD13,$E$9:$E$11)+SUMIF($I$9:$I$11,$AD13,$H$9:$H$11)+SUMIF($L$9:$L$11,$AD13,$K$9:$K$11)+SUMIF($O$9:$O$11,$AD13,$N$9:$N$11)</f>
        <v>0</v>
      </c>
      <c r="AG13" s="82">
        <f>SUMIF($F$12:$F$14,$AD13,$E$12:$E$14)+SUMIF($I$12:$I$14,$AD13,$H$12:$H$14)+SUMIF($L$12:$L$14,$AD13,$K$12:$K$14)+SUMIF($O$12:$O$14,$AD13,$N$12:$N$14)</f>
        <v>0</v>
      </c>
      <c r="AH13" s="82">
        <f>SUMIF($F$15:$F$17,$AD13,$E$15:$E$17)+SUMIF($I$15:$I$17,$AD13,$H$15:$H$17)+SUMIF($L$15:$L$17,$AD13,$K$15:$K$17)+SUMIF($O$15:$O$17,$AD13,$N$15:$N$17)</f>
        <v>0</v>
      </c>
      <c r="AI13" s="82">
        <f>SUMIF($F$18:$F$20,$AD13,$E$18:$E$20)+SUMIF($I$18:$I$20,$AD13,$H$18:$H$20)+SUMIF($L$18:$L$20,$AD13,$K$18:$K$20)+SUMIF($O$18:$O$20,$AD13,$N$18:$N$20)</f>
        <v>0</v>
      </c>
      <c r="AJ13" s="82">
        <f>SUMIF($F$21:$F$23,$AD13,$E$21:$E$23)+SUMIF($I$21:$I$23,$AD13,$H$21:$H$23)+SUMIF($L$21:$L$23,$AD13,$K$21:$K$23)+SUMIF($O$21:$O$23,$AD13,$N$21:$N$23)</f>
        <v>0</v>
      </c>
      <c r="AK13" s="82">
        <f>SUMIF($F$24:$F$26,$AD13,$E$24:$E$26)+SUMIF($I$24:$I$26,$AD13,$H$24:$H$26)+SUMIF($L$24:$L$26,$AD13,$K$24:$K$26)+SUMIF($O$24:$O$26,$AD13,$N$24:$N$26)</f>
        <v>0</v>
      </c>
      <c r="AL13" s="82">
        <f>SUMIF($F$27:$F$29,$AD13,$E$27:$E$29)+SUMIF($I$27:$I$29,$AD13,$H$27:$H$29)+SUMIF($L$27:$L$29,$AD13,$K$27:$K$29)+SUMIF($O$27:$O$29,$AD13,$N$27:$N$29)</f>
        <v>0</v>
      </c>
      <c r="AM13" s="83">
        <f>SUM(AF13:AL13)</f>
        <v>0</v>
      </c>
      <c r="AN13" s="74"/>
      <c r="AO13" s="215" t="s">
        <v>27</v>
      </c>
      <c r="AP13" s="74"/>
      <c r="AQ13" s="74"/>
      <c r="AR13" s="74"/>
      <c r="AS13" s="74"/>
      <c r="AT13" s="74"/>
      <c r="AU13" s="74"/>
      <c r="AV13" s="74"/>
      <c r="AW13" s="74"/>
      <c r="AX13" s="83"/>
      <c r="AY13" s="74"/>
      <c r="AZ13" s="74"/>
      <c r="BA13" s="74"/>
      <c r="BB13" s="74"/>
    </row>
    <row r="14" spans="1:68" ht="15" x14ac:dyDescent="0.25">
      <c r="A14" s="13"/>
      <c r="B14" s="221"/>
      <c r="C14" s="86" t="s">
        <v>20</v>
      </c>
      <c r="D14" s="182"/>
      <c r="E14" s="230">
        <v>8000</v>
      </c>
      <c r="F14" s="187">
        <v>2395</v>
      </c>
      <c r="G14" s="218" t="s">
        <v>22</v>
      </c>
      <c r="H14" s="237">
        <v>15288</v>
      </c>
      <c r="I14" s="187">
        <v>2395</v>
      </c>
      <c r="J14" s="218" t="s">
        <v>22</v>
      </c>
      <c r="K14" s="183">
        <v>30000</v>
      </c>
      <c r="L14" s="145">
        <v>2821</v>
      </c>
      <c r="M14" s="145" t="s">
        <v>23</v>
      </c>
      <c r="N14" s="238">
        <v>30072</v>
      </c>
      <c r="O14" s="243">
        <v>2821</v>
      </c>
      <c r="P14" s="313" t="s">
        <v>23</v>
      </c>
      <c r="Q14" s="184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1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6">
        <v>6842</v>
      </c>
      <c r="AE14" s="76" t="s">
        <v>29</v>
      </c>
      <c r="AF14" s="82">
        <f>SUMIF($F$9:$F$11,$AD14,$E$9:$E$11)+SUMIF($I$9:$I$11,$AD14,$H$9:$H$11)+SUMIF($L$9:$L$11,$AD14,$K$9:$K$11)+SUMIF($O$9:$O$11,$AD14,$N$9:$N$11)</f>
        <v>0</v>
      </c>
      <c r="AG14" s="82">
        <f>SUMIF($F$12:$F$14,$AD14,$E$12:$E$14)+SUMIF($I$12:$I$14,$AD14,$H$12:$H$14)+SUMIF($L$12:$L$14,$AD14,$K$12:$K$14)+SUMIF($O$12:$O$14,$AD14,$N$12:$N$14)</f>
        <v>0</v>
      </c>
      <c r="AH14" s="82">
        <f>SUMIF($F$15:$F$17,$AD14,$E$15:$E$17)+SUMIF($I$15:$I$17,$AD14,$H$15:$H$17)+SUMIF($L$15:$L$17,$AD14,$K$15:$K$17)+SUMIF($O$15:$O$17,$AD14,$N$15:$N$17)</f>
        <v>0</v>
      </c>
      <c r="AI14" s="82">
        <f>SUMIF($F$18:$F$20,$AD14,$E$18:$E$20)+SUMIF($I$18:$I$20,$AD14,$H$18:$H$20)+SUMIF($L$18:$L$20,$AD14,$K$18:$K$20)+SUMIF($O$18:$O$20,$AD14,$N$18:$N$20)</f>
        <v>0</v>
      </c>
      <c r="AJ14" s="82">
        <f>SUMIF($F$21:$F$23,$AD14,$E$21:$E$23)+SUMIF($I$21:$I$23,$AD14,$H$21:$H$23)+SUMIF($L$21:$L$23,$AD14,$K$21:$K$23)+SUMIF($O$21:$O$23,$AD14,$N$21:$N$23)</f>
        <v>0</v>
      </c>
      <c r="AK14" s="82">
        <f>SUMIF($F$24:$F$26,$AD14,$E$24:$E$26)+SUMIF($I$24:$I$26,$AD14,$H$24:$H$26)+SUMIF($L$24:$L$26,$AD14,$K$24:$K$26)+SUMIF($O$24:$O$26,$AD14,$N$24:$N$26)</f>
        <v>0</v>
      </c>
      <c r="AL14" s="82">
        <f>SUMIF($F$27:$F$29,$AD14,$E$27:$E$29)+SUMIF($I$27:$I$29,$AD14,$H$27:$H$29)+SUMIF($L$27:$L$29,$AD14,$K$27:$K$29)+SUMIF($O$27:$O$29,$AD14,$N$27:$N$29)</f>
        <v>0</v>
      </c>
      <c r="AM14" s="83">
        <f>SUM(AF14:AL14)</f>
        <v>0</v>
      </c>
      <c r="AN14" s="74"/>
      <c r="AO14" s="79" t="s">
        <v>7</v>
      </c>
      <c r="AP14" s="79" t="s">
        <v>8</v>
      </c>
      <c r="AQ14" s="80">
        <f>AQ9</f>
        <v>45992</v>
      </c>
      <c r="AR14" s="80">
        <f t="shared" ref="AR14:AW14" si="6">AR9</f>
        <v>45993</v>
      </c>
      <c r="AS14" s="80">
        <f t="shared" si="6"/>
        <v>45994</v>
      </c>
      <c r="AT14" s="80">
        <f t="shared" si="6"/>
        <v>45995</v>
      </c>
      <c r="AU14" s="80">
        <f t="shared" si="6"/>
        <v>45996</v>
      </c>
      <c r="AV14" s="80">
        <f t="shared" si="6"/>
        <v>45997</v>
      </c>
      <c r="AW14" s="80">
        <f t="shared" si="6"/>
        <v>45998</v>
      </c>
      <c r="AX14" s="79" t="s">
        <v>17</v>
      </c>
      <c r="AY14" s="74"/>
      <c r="AZ14" s="74"/>
      <c r="BA14" s="74"/>
      <c r="BB14" s="74"/>
    </row>
    <row r="15" spans="1:68" ht="15" x14ac:dyDescent="0.25">
      <c r="A15" s="13"/>
      <c r="B15" s="216">
        <f>+B12+1</f>
        <v>45994</v>
      </c>
      <c r="C15" s="216" t="s">
        <v>10</v>
      </c>
      <c r="D15" s="175"/>
      <c r="E15" s="231">
        <v>16500</v>
      </c>
      <c r="F15" s="187">
        <v>2395</v>
      </c>
      <c r="G15" s="218" t="s">
        <v>22</v>
      </c>
      <c r="H15" s="231">
        <v>16464</v>
      </c>
      <c r="I15" s="187">
        <v>2395</v>
      </c>
      <c r="J15" s="218" t="s">
        <v>22</v>
      </c>
      <c r="K15" s="229">
        <v>30000</v>
      </c>
      <c r="L15" s="145">
        <v>2821</v>
      </c>
      <c r="M15" s="145" t="s">
        <v>23</v>
      </c>
      <c r="N15" s="229">
        <v>26436</v>
      </c>
      <c r="O15" s="243">
        <v>2821</v>
      </c>
      <c r="P15" s="244" t="s">
        <v>23</v>
      </c>
      <c r="Q15" s="178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>SUMIF($M$10:$M$30,S15,$L$10:$L$30)</f>
        <v>0</v>
      </c>
      <c r="W15" s="111">
        <f t="shared" si="1"/>
        <v>0</v>
      </c>
      <c r="X15" s="111">
        <f>SUMIF($Q$10:$Q$30,T15,$O$10:$O$30)</f>
        <v>0</v>
      </c>
      <c r="Y15" s="111">
        <f>+W15-X15</f>
        <v>0</v>
      </c>
      <c r="Z15" s="74"/>
      <c r="AA15" s="74"/>
      <c r="AB15" s="74"/>
      <c r="AC15" s="74"/>
      <c r="AF15" s="222">
        <f>SUM(AF10:AF14)</f>
        <v>243204</v>
      </c>
      <c r="AG15" s="222">
        <f t="shared" ref="AG15:AL15" si="7">SUM(AG10:AG14)</f>
        <v>210497</v>
      </c>
      <c r="AH15" s="222">
        <f t="shared" si="7"/>
        <v>196248</v>
      </c>
      <c r="AI15" s="222">
        <f t="shared" si="7"/>
        <v>191836</v>
      </c>
      <c r="AJ15" s="222">
        <f t="shared" si="7"/>
        <v>122500</v>
      </c>
      <c r="AK15" s="222">
        <f t="shared" si="7"/>
        <v>139500</v>
      </c>
      <c r="AL15" s="222">
        <f t="shared" si="7"/>
        <v>116000</v>
      </c>
      <c r="AM15" s="83">
        <f>SUM(AM10:AM14)</f>
        <v>1219785</v>
      </c>
      <c r="AN15" s="74"/>
      <c r="AO15" s="76">
        <v>1564</v>
      </c>
      <c r="AP15" s="76" t="s">
        <v>11</v>
      </c>
      <c r="AQ15" s="185">
        <f>SUMIF($O$9:$O$11,$AO15,$N$9:$N$11)+SUMIF($L$9:$L$11,$AO15,$K$9:$K$11)</f>
        <v>80884</v>
      </c>
      <c r="AR15" s="185">
        <f>SUMIF($O$12:$O$14,$AO15,$N$12:$N$14)+SUMIF($L$12:$L$14,$AO15,$K$12:$K$14)</f>
        <v>0</v>
      </c>
      <c r="AS15" s="185">
        <f>SUMIF($O$15:$O$17,$AO15,$N$15:$N$17)+SUMIF($L$15:$L$17,$AO15,$K$15:$K$17)</f>
        <v>0</v>
      </c>
      <c r="AT15" s="185">
        <f>SUMIF($O$18:$O$20,$AO15,$N$18:$N$20)+SUMIF($L$18:$L$20,$AO15,$K$18:$K$20)</f>
        <v>59856</v>
      </c>
      <c r="AU15" s="185">
        <f>SUMIF($O$21:$O$23,$AO15,$N$21:$N$23)+SUMIF($L$21:$L$23,$AO15,$K$21:$K$23)</f>
        <v>90000</v>
      </c>
      <c r="AV15" s="185">
        <f>SUMIF($O$24:$O$26,$AO15,$N$24:$N$26)+SUMIF($L$24:$L$26,$AO15,$K$24:$K$26)</f>
        <v>90000</v>
      </c>
      <c r="AW15" s="185">
        <f>SUMIF($O$27:$O$29,$AO15,$N$27:$N$29)+SUMIF($L$27:$L$29,$AO15,$K$27:$K$29)</f>
        <v>75000</v>
      </c>
      <c r="AX15" s="220">
        <f>SUM(AQ15:AW15)</f>
        <v>395740</v>
      </c>
      <c r="AY15" s="74"/>
      <c r="AZ15" s="74"/>
      <c r="BA15" s="74"/>
      <c r="BB15" s="74"/>
    </row>
    <row r="16" spans="1:68" ht="15" x14ac:dyDescent="0.25">
      <c r="A16" s="13"/>
      <c r="B16" s="216" t="s">
        <v>31</v>
      </c>
      <c r="C16" s="216" t="s">
        <v>19</v>
      </c>
      <c r="D16" s="179"/>
      <c r="E16" s="176">
        <v>16500</v>
      </c>
      <c r="F16" s="226">
        <v>2395</v>
      </c>
      <c r="G16" s="180" t="s">
        <v>22</v>
      </c>
      <c r="H16" s="235">
        <v>16464</v>
      </c>
      <c r="I16" s="187">
        <v>2395</v>
      </c>
      <c r="J16" s="218" t="s">
        <v>22</v>
      </c>
      <c r="K16" s="928">
        <v>30000</v>
      </c>
      <c r="L16" s="213" t="s">
        <v>76</v>
      </c>
      <c r="M16" s="159" t="s">
        <v>30</v>
      </c>
      <c r="N16" s="235"/>
      <c r="O16" s="187"/>
      <c r="P16" s="246" t="s">
        <v>30</v>
      </c>
      <c r="Q16" s="181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1"/>
        <v>0</v>
      </c>
      <c r="X16" s="114">
        <f>SUM(V16:W16)</f>
        <v>0</v>
      </c>
      <c r="Y16" s="114"/>
      <c r="Z16" s="74"/>
      <c r="AA16" s="74"/>
      <c r="AB16" s="74"/>
      <c r="AC16" s="74"/>
      <c r="AN16" s="74"/>
      <c r="AO16" s="76">
        <v>2821</v>
      </c>
      <c r="AP16" s="76" t="s">
        <v>23</v>
      </c>
      <c r="AQ16" s="185">
        <f t="shared" ref="AQ16:AQ18" si="8">SUMIF($O$9:$O$11,$AO16,$N$9:$N$11)+SUMIF($L$9:$L$11,$AO16,$K$9:$K$11)</f>
        <v>76368</v>
      </c>
      <c r="AR16" s="185">
        <f t="shared" ref="AR16:AR18" si="9">SUMIF($O$12:$O$14,$AO16,$N$12:$N$14)+SUMIF($L$12:$L$14,$AO16,$K$12:$K$14)</f>
        <v>182400</v>
      </c>
      <c r="AS16" s="185">
        <f t="shared" ref="AS16:AS18" si="10">SUMIF($O$15:$O$17,$AO16,$N$15:$N$17)+SUMIF($L$15:$L$17,$AO16,$K$15:$K$17)</f>
        <v>95508</v>
      </c>
      <c r="AT16" s="185">
        <f t="shared" ref="AT16:AT18" si="11">SUMIF($O$18:$O$20,$AO16,$N$18:$N$20)+SUMIF($L$18:$L$20,$AO16,$K$18:$K$20)</f>
        <v>40144</v>
      </c>
      <c r="AU16" s="185">
        <f t="shared" ref="AU16:AU18" si="12">SUMIF($O$21:$O$23,$AO16,$N$21:$N$23)+SUMIF($L$21:$L$23,$AO16,$K$21:$K$23)</f>
        <v>0</v>
      </c>
      <c r="AV16" s="185">
        <f t="shared" ref="AV16:AV18" si="13">SUMIF($O$24:$O$26,$AO16,$N$24:$N$26)+SUMIF($L$24:$L$26,$AO16,$K$24:$K$26)</f>
        <v>0</v>
      </c>
      <c r="AW16" s="185">
        <f t="shared" ref="AW16:AW18" si="14">SUMIF($O$27:$O$29,$AO16,$N$27:$N$29)+SUMIF($L$27:$L$29,$AO16,$K$27:$K$29)</f>
        <v>0</v>
      </c>
      <c r="AX16" s="220">
        <f t="shared" ref="AX16:AX18" si="15">SUM(AQ16:AW16)</f>
        <v>394420</v>
      </c>
      <c r="AY16" s="74"/>
      <c r="AZ16" s="74"/>
      <c r="BA16" s="74"/>
      <c r="BB16" s="74"/>
    </row>
    <row r="17" spans="1:54" ht="17.25" x14ac:dyDescent="0.25">
      <c r="A17" s="13"/>
      <c r="B17" s="221"/>
      <c r="C17" s="221" t="s">
        <v>20</v>
      </c>
      <c r="D17" s="182"/>
      <c r="E17" s="230">
        <v>16500</v>
      </c>
      <c r="F17" s="227">
        <v>2395</v>
      </c>
      <c r="G17" s="228" t="s">
        <v>22</v>
      </c>
      <c r="H17" s="237">
        <v>18312</v>
      </c>
      <c r="I17" s="187">
        <v>2395</v>
      </c>
      <c r="J17" s="218" t="s">
        <v>22</v>
      </c>
      <c r="K17" s="929">
        <v>30000</v>
      </c>
      <c r="L17" s="146">
        <v>2821</v>
      </c>
      <c r="M17" s="146" t="s">
        <v>23</v>
      </c>
      <c r="N17" s="238">
        <v>9072</v>
      </c>
      <c r="O17" s="303">
        <v>2821</v>
      </c>
      <c r="P17" s="304" t="s">
        <v>23</v>
      </c>
      <c r="Q17" s="184"/>
      <c r="R17" s="81"/>
      <c r="S17" s="74"/>
      <c r="T17" s="92" t="s">
        <v>32</v>
      </c>
      <c r="U17" s="93">
        <f>SUM(U10:U16)</f>
        <v>271000</v>
      </c>
      <c r="V17" s="93">
        <f>SUM(V10:V16)</f>
        <v>495000</v>
      </c>
      <c r="W17" s="93">
        <f>SUM(W10:W16)</f>
        <v>766000</v>
      </c>
      <c r="X17" s="127">
        <f>SUM(X10:X16)</f>
        <v>453785</v>
      </c>
      <c r="Y17" s="127">
        <f>SUM(Y10:Y16)</f>
        <v>312215</v>
      </c>
      <c r="Z17" s="74"/>
      <c r="AA17" s="74"/>
      <c r="AB17" s="74"/>
      <c r="AC17" s="74"/>
      <c r="AD17" s="215" t="s">
        <v>33</v>
      </c>
      <c r="AE17" s="74"/>
      <c r="AF17" s="74"/>
      <c r="AG17" s="74"/>
      <c r="AH17" s="74"/>
      <c r="AI17" s="74"/>
      <c r="AJ17" s="74"/>
      <c r="AK17" s="74"/>
      <c r="AL17" s="74"/>
      <c r="AM17" s="74"/>
      <c r="AN17" s="76"/>
      <c r="AO17" s="76">
        <v>6843</v>
      </c>
      <c r="AP17" s="76" t="s">
        <v>26</v>
      </c>
      <c r="AQ17" s="185">
        <f t="shared" si="8"/>
        <v>0</v>
      </c>
      <c r="AR17" s="185">
        <f t="shared" si="9"/>
        <v>0</v>
      </c>
      <c r="AS17" s="185">
        <f t="shared" si="10"/>
        <v>0</v>
      </c>
      <c r="AT17" s="185">
        <f t="shared" si="11"/>
        <v>0</v>
      </c>
      <c r="AU17" s="185">
        <f t="shared" si="12"/>
        <v>0</v>
      </c>
      <c r="AV17" s="185">
        <f t="shared" si="13"/>
        <v>0</v>
      </c>
      <c r="AW17" s="185">
        <f t="shared" si="14"/>
        <v>0</v>
      </c>
      <c r="AX17" s="220">
        <f t="shared" si="15"/>
        <v>0</v>
      </c>
      <c r="AY17" s="74"/>
      <c r="AZ17" s="74"/>
      <c r="BA17" s="74"/>
      <c r="BB17" s="74"/>
    </row>
    <row r="18" spans="1:54" ht="15" x14ac:dyDescent="0.25">
      <c r="A18" s="13"/>
      <c r="B18" s="216">
        <f>+B15+1</f>
        <v>45995</v>
      </c>
      <c r="C18" s="87" t="s">
        <v>10</v>
      </c>
      <c r="D18" s="175"/>
      <c r="E18" s="231">
        <v>16500</v>
      </c>
      <c r="F18" s="187">
        <v>2395</v>
      </c>
      <c r="G18" s="177" t="s">
        <v>22</v>
      </c>
      <c r="H18" s="229">
        <v>16464</v>
      </c>
      <c r="I18" s="187">
        <v>2395</v>
      </c>
      <c r="J18" s="218" t="s">
        <v>22</v>
      </c>
      <c r="K18" s="305"/>
      <c r="L18" s="145">
        <v>2821</v>
      </c>
      <c r="M18" s="145" t="s">
        <v>23</v>
      </c>
      <c r="N18" s="229">
        <f>28560+11584</f>
        <v>40144</v>
      </c>
      <c r="O18" s="243">
        <v>2821</v>
      </c>
      <c r="P18" s="244" t="s">
        <v>23</v>
      </c>
      <c r="Q18" s="178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9" t="s">
        <v>7</v>
      </c>
      <c r="AE18" s="79" t="s">
        <v>8</v>
      </c>
      <c r="AF18" s="80">
        <f>AF9</f>
        <v>45992</v>
      </c>
      <c r="AG18" s="80">
        <f t="shared" ref="AG18:AL18" si="16">AG9</f>
        <v>45993</v>
      </c>
      <c r="AH18" s="80">
        <f t="shared" si="16"/>
        <v>45994</v>
      </c>
      <c r="AI18" s="80">
        <f t="shared" si="16"/>
        <v>45995</v>
      </c>
      <c r="AJ18" s="80">
        <f t="shared" si="16"/>
        <v>45996</v>
      </c>
      <c r="AK18" s="80">
        <f t="shared" si="16"/>
        <v>45997</v>
      </c>
      <c r="AL18" s="80">
        <f t="shared" si="16"/>
        <v>45998</v>
      </c>
      <c r="AM18" s="79" t="s">
        <v>34</v>
      </c>
      <c r="AN18" s="74"/>
      <c r="AO18" s="76">
        <v>6842</v>
      </c>
      <c r="AP18" s="76" t="s">
        <v>29</v>
      </c>
      <c r="AQ18" s="185">
        <f t="shared" si="8"/>
        <v>0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220">
        <f t="shared" si="15"/>
        <v>0</v>
      </c>
      <c r="AY18" s="74"/>
      <c r="AZ18" s="74"/>
      <c r="BA18" s="74"/>
      <c r="BB18" s="74"/>
    </row>
    <row r="19" spans="1:54" ht="15" x14ac:dyDescent="0.25">
      <c r="A19" s="13"/>
      <c r="B19" s="216" t="s">
        <v>35</v>
      </c>
      <c r="C19" s="85" t="s">
        <v>19</v>
      </c>
      <c r="D19" s="179"/>
      <c r="E19" s="176">
        <v>16500</v>
      </c>
      <c r="F19" s="226">
        <v>2395</v>
      </c>
      <c r="G19" s="180" t="s">
        <v>22</v>
      </c>
      <c r="H19" s="235">
        <v>16464</v>
      </c>
      <c r="I19" s="226">
        <v>2395</v>
      </c>
      <c r="J19" s="180" t="s">
        <v>22</v>
      </c>
      <c r="K19" s="240"/>
      <c r="L19" s="145">
        <v>2821</v>
      </c>
      <c r="M19" s="145" t="s">
        <v>23</v>
      </c>
      <c r="N19" s="235">
        <v>14784</v>
      </c>
      <c r="O19" s="187">
        <v>1564</v>
      </c>
      <c r="P19" s="306" t="s">
        <v>11</v>
      </c>
      <c r="Q19" s="181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6">
        <v>1564</v>
      </c>
      <c r="AE19" s="76" t="s">
        <v>11</v>
      </c>
      <c r="AF19" s="82">
        <f t="shared" ref="AF19:AL19" si="17">AF10/(1/12/0.65*100)</f>
        <v>6801.2880000000005</v>
      </c>
      <c r="AG19" s="82">
        <f t="shared" si="17"/>
        <v>0</v>
      </c>
      <c r="AH19" s="82">
        <f t="shared" si="17"/>
        <v>0</v>
      </c>
      <c r="AI19" s="82">
        <f t="shared" si="17"/>
        <v>4668.768</v>
      </c>
      <c r="AJ19" s="82">
        <f t="shared" si="17"/>
        <v>7644.0000000000009</v>
      </c>
      <c r="AK19" s="82">
        <f t="shared" si="17"/>
        <v>10881.000000000002</v>
      </c>
      <c r="AL19" s="82">
        <f t="shared" si="17"/>
        <v>9048</v>
      </c>
      <c r="AM19" s="83">
        <f>SUM(AF19:AL19)</f>
        <v>39043.056000000004</v>
      </c>
      <c r="AN19" s="74"/>
      <c r="AO19" s="74"/>
      <c r="AP19" s="74"/>
      <c r="AQ19" s="224">
        <f>SUM(AQ15:AQ18)</f>
        <v>157252</v>
      </c>
      <c r="AR19" s="224">
        <f t="shared" ref="AR19:AW19" si="18">SUM(AR15:AR18)</f>
        <v>182400</v>
      </c>
      <c r="AS19" s="224">
        <f t="shared" si="18"/>
        <v>95508</v>
      </c>
      <c r="AT19" s="224">
        <f t="shared" si="18"/>
        <v>100000</v>
      </c>
      <c r="AU19" s="224">
        <f t="shared" si="18"/>
        <v>90000</v>
      </c>
      <c r="AV19" s="224">
        <f t="shared" si="18"/>
        <v>90000</v>
      </c>
      <c r="AW19" s="224">
        <f t="shared" si="18"/>
        <v>75000</v>
      </c>
      <c r="AX19" s="224">
        <f>SUM(AX15:AX18)</f>
        <v>790160</v>
      </c>
      <c r="AY19" s="74"/>
      <c r="AZ19" s="74"/>
      <c r="BA19" s="74"/>
      <c r="BB19" s="74"/>
    </row>
    <row r="20" spans="1:54" ht="18.75" x14ac:dyDescent="0.25">
      <c r="A20" s="13"/>
      <c r="B20" s="221"/>
      <c r="C20" s="86" t="s">
        <v>20</v>
      </c>
      <c r="D20" s="182"/>
      <c r="E20" s="183">
        <v>16500</v>
      </c>
      <c r="F20" s="232">
        <v>2395</v>
      </c>
      <c r="G20" s="233" t="s">
        <v>22</v>
      </c>
      <c r="H20" s="237">
        <v>9408</v>
      </c>
      <c r="I20" s="227">
        <v>2395</v>
      </c>
      <c r="J20" s="228" t="s">
        <v>22</v>
      </c>
      <c r="K20" s="238">
        <v>15000</v>
      </c>
      <c r="L20" s="260">
        <v>1564</v>
      </c>
      <c r="M20" s="247" t="s">
        <v>11</v>
      </c>
      <c r="N20" s="238">
        <v>30072</v>
      </c>
      <c r="O20" s="187">
        <v>1564</v>
      </c>
      <c r="P20" s="177" t="s">
        <v>11</v>
      </c>
      <c r="Q20" s="184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6">
        <v>2395</v>
      </c>
      <c r="AE20" s="76" t="s">
        <v>22</v>
      </c>
      <c r="AF20" s="82">
        <f t="shared" ref="AF20:AL20" si="19">AF11/(1/12/0.62*100)</f>
        <v>5925.2160000000003</v>
      </c>
      <c r="AG20" s="82">
        <f t="shared" si="19"/>
        <v>2090.4168000000004</v>
      </c>
      <c r="AH20" s="82">
        <f t="shared" si="19"/>
        <v>7495.0560000000005</v>
      </c>
      <c r="AI20" s="82">
        <f t="shared" si="19"/>
        <v>6832.5984000000008</v>
      </c>
      <c r="AJ20" s="82">
        <f t="shared" si="19"/>
        <v>1822.8000000000002</v>
      </c>
      <c r="AK20" s="82">
        <f t="shared" si="19"/>
        <v>0</v>
      </c>
      <c r="AL20" s="82">
        <f t="shared" si="19"/>
        <v>0</v>
      </c>
      <c r="AM20" s="83">
        <f>SUM(AF20:AL20)</f>
        <v>24166.087200000002</v>
      </c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</row>
    <row r="21" spans="1:54" ht="15.75" x14ac:dyDescent="0.25">
      <c r="A21" s="13"/>
      <c r="B21" s="216">
        <f>+B18+1</f>
        <v>45996</v>
      </c>
      <c r="C21" s="87" t="s">
        <v>10</v>
      </c>
      <c r="D21" s="175"/>
      <c r="E21" s="234">
        <v>8000</v>
      </c>
      <c r="F21" s="217">
        <v>2395</v>
      </c>
      <c r="G21" s="218" t="s">
        <v>22</v>
      </c>
      <c r="H21" s="207"/>
      <c r="I21" s="187">
        <v>2395</v>
      </c>
      <c r="J21" s="177" t="s">
        <v>22</v>
      </c>
      <c r="K21" s="186">
        <v>30000</v>
      </c>
      <c r="L21" s="136">
        <v>1564</v>
      </c>
      <c r="M21" s="204" t="s">
        <v>11</v>
      </c>
      <c r="N21" s="186"/>
      <c r="O21" s="136">
        <v>1564</v>
      </c>
      <c r="P21" s="204" t="s">
        <v>11</v>
      </c>
      <c r="Q21" s="178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6">
        <v>2821</v>
      </c>
      <c r="AE21" s="76" t="s">
        <v>23</v>
      </c>
      <c r="AF21" s="82">
        <f t="shared" ref="AF21:AL21" si="20">AF12/(1/12/0.63*100)</f>
        <v>5773.4208000000008</v>
      </c>
      <c r="AG21" s="82">
        <f t="shared" si="20"/>
        <v>13789.440000000002</v>
      </c>
      <c r="AH21" s="82">
        <f t="shared" si="20"/>
        <v>7220.4048000000012</v>
      </c>
      <c r="AI21" s="82">
        <f t="shared" si="20"/>
        <v>3034.8864000000003</v>
      </c>
      <c r="AJ21" s="82">
        <f t="shared" si="20"/>
        <v>0</v>
      </c>
      <c r="AK21" s="82">
        <f t="shared" si="20"/>
        <v>0</v>
      </c>
      <c r="AL21" s="82">
        <f t="shared" si="20"/>
        <v>0</v>
      </c>
      <c r="AM21" s="83">
        <f>SUM(AF21:AL21)</f>
        <v>29818.152000000002</v>
      </c>
      <c r="AN21" s="74"/>
      <c r="AO21" s="215" t="s">
        <v>9</v>
      </c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</row>
    <row r="22" spans="1:54" ht="15" x14ac:dyDescent="0.25">
      <c r="A22" s="13"/>
      <c r="B22" s="216" t="s">
        <v>42</v>
      </c>
      <c r="C22" s="85" t="s">
        <v>19</v>
      </c>
      <c r="D22" s="179"/>
      <c r="E22" s="176">
        <v>16500</v>
      </c>
      <c r="F22" s="219">
        <v>2395</v>
      </c>
      <c r="G22" s="223" t="s">
        <v>22</v>
      </c>
      <c r="H22" s="176"/>
      <c r="I22" s="226">
        <v>2395</v>
      </c>
      <c r="J22" s="180" t="s">
        <v>22</v>
      </c>
      <c r="K22" s="186">
        <v>30000</v>
      </c>
      <c r="L22" s="136">
        <v>1564</v>
      </c>
      <c r="M22" s="136" t="s">
        <v>11</v>
      </c>
      <c r="N22" s="186"/>
      <c r="O22" s="136">
        <v>1564</v>
      </c>
      <c r="P22" s="136" t="s">
        <v>11</v>
      </c>
      <c r="Q22" s="181"/>
      <c r="R22" s="81"/>
      <c r="S22" s="94">
        <v>1564</v>
      </c>
      <c r="T22" s="95" t="s">
        <v>11</v>
      </c>
      <c r="U22" s="96">
        <f>U10*12*0.65/100</f>
        <v>7683</v>
      </c>
      <c r="V22" s="96">
        <f>V10*12*0.65/100</f>
        <v>24570</v>
      </c>
      <c r="W22" s="96">
        <f>SUM(U22:V22)</f>
        <v>32253</v>
      </c>
      <c r="X22" s="96">
        <v>28782</v>
      </c>
      <c r="Y22" s="96">
        <f>W22-X22</f>
        <v>3471</v>
      </c>
      <c r="Z22" s="74"/>
      <c r="AA22" s="74"/>
      <c r="AB22" s="74"/>
      <c r="AC22" s="74"/>
      <c r="AD22" s="76">
        <v>6843</v>
      </c>
      <c r="AE22" s="76" t="s">
        <v>26</v>
      </c>
      <c r="AF22" s="82">
        <f t="shared" ref="AF22:AL23" si="21">AF13/(1/12/0.62*100)</f>
        <v>0</v>
      </c>
      <c r="AG22" s="82">
        <f t="shared" si="21"/>
        <v>0</v>
      </c>
      <c r="AH22" s="82">
        <f t="shared" si="21"/>
        <v>0</v>
      </c>
      <c r="AI22" s="82">
        <f t="shared" si="21"/>
        <v>0</v>
      </c>
      <c r="AJ22" s="82">
        <f t="shared" si="21"/>
        <v>0</v>
      </c>
      <c r="AK22" s="82">
        <f t="shared" si="21"/>
        <v>0</v>
      </c>
      <c r="AL22" s="82">
        <f t="shared" si="21"/>
        <v>0</v>
      </c>
      <c r="AM22" s="83">
        <f>SUM(AF22:AL22)</f>
        <v>0</v>
      </c>
      <c r="AN22" s="74"/>
      <c r="AO22" s="79" t="s">
        <v>7</v>
      </c>
      <c r="AP22" s="79" t="s">
        <v>8</v>
      </c>
      <c r="AQ22" s="80">
        <f>AQ9</f>
        <v>45992</v>
      </c>
      <c r="AR22" s="80">
        <f t="shared" ref="AR22:AW22" si="22">AR9</f>
        <v>45993</v>
      </c>
      <c r="AS22" s="80">
        <f t="shared" si="22"/>
        <v>45994</v>
      </c>
      <c r="AT22" s="80">
        <f t="shared" si="22"/>
        <v>45995</v>
      </c>
      <c r="AU22" s="80">
        <f t="shared" si="22"/>
        <v>45996</v>
      </c>
      <c r="AV22" s="80">
        <f t="shared" si="22"/>
        <v>45997</v>
      </c>
      <c r="AW22" s="80">
        <f t="shared" si="22"/>
        <v>45998</v>
      </c>
      <c r="AX22" s="79" t="s">
        <v>34</v>
      </c>
      <c r="AY22" s="74"/>
      <c r="AZ22" s="74"/>
      <c r="BA22" s="74"/>
      <c r="BB22" s="74"/>
    </row>
    <row r="23" spans="1:54" ht="15.75" x14ac:dyDescent="0.25">
      <c r="A23" s="13"/>
      <c r="B23" s="221"/>
      <c r="C23" s="86" t="s">
        <v>20</v>
      </c>
      <c r="D23" s="182"/>
      <c r="E23" s="183">
        <v>8000</v>
      </c>
      <c r="F23" s="227">
        <v>1564</v>
      </c>
      <c r="G23" s="228" t="s">
        <v>11</v>
      </c>
      <c r="H23" s="183"/>
      <c r="I23" s="232">
        <v>2395</v>
      </c>
      <c r="J23" s="233" t="s">
        <v>22</v>
      </c>
      <c r="K23" s="307">
        <v>30000</v>
      </c>
      <c r="L23" s="141">
        <v>1564</v>
      </c>
      <c r="M23" s="247" t="s">
        <v>11</v>
      </c>
      <c r="N23" s="307"/>
      <c r="O23" s="141">
        <v>1564</v>
      </c>
      <c r="P23" s="247" t="s">
        <v>11</v>
      </c>
      <c r="Q23" s="184"/>
      <c r="R23" s="81"/>
      <c r="S23" s="97">
        <v>2395</v>
      </c>
      <c r="T23" s="98" t="s">
        <v>22</v>
      </c>
      <c r="U23" s="99">
        <f>U11*12*0.62/100</f>
        <v>12834</v>
      </c>
      <c r="V23" s="99">
        <f>V11*12*0.62/100</f>
        <v>0</v>
      </c>
      <c r="W23" s="99">
        <f t="shared" ref="W23:W28" si="23">SUM(U23:V23)</f>
        <v>12834</v>
      </c>
      <c r="X23" s="99">
        <v>10416</v>
      </c>
      <c r="Y23" s="99">
        <f t="shared" ref="Y23:Y28" si="24">W23-X23</f>
        <v>2418</v>
      </c>
      <c r="Z23" s="82"/>
      <c r="AA23" s="92" t="s">
        <v>43</v>
      </c>
      <c r="AB23" s="92" t="s">
        <v>33</v>
      </c>
      <c r="AC23" s="74"/>
      <c r="AD23" s="76">
        <v>6842</v>
      </c>
      <c r="AE23" s="76" t="s">
        <v>29</v>
      </c>
      <c r="AF23" s="82">
        <f t="shared" si="21"/>
        <v>0</v>
      </c>
      <c r="AG23" s="82">
        <f t="shared" si="21"/>
        <v>0</v>
      </c>
      <c r="AH23" s="82">
        <f t="shared" si="21"/>
        <v>0</v>
      </c>
      <c r="AI23" s="82">
        <f t="shared" si="21"/>
        <v>0</v>
      </c>
      <c r="AJ23" s="82">
        <f t="shared" si="21"/>
        <v>0</v>
      </c>
      <c r="AK23" s="82">
        <f t="shared" si="21"/>
        <v>0</v>
      </c>
      <c r="AL23" s="82">
        <f t="shared" si="21"/>
        <v>0</v>
      </c>
      <c r="AM23" s="83">
        <f>SUM(AF23:AL23)</f>
        <v>0</v>
      </c>
      <c r="AN23" s="74"/>
      <c r="AO23" s="76">
        <v>1564</v>
      </c>
      <c r="AP23" s="76" t="s">
        <v>11</v>
      </c>
      <c r="AQ23" s="185">
        <f>AQ10*12*0.65/100</f>
        <v>492.33600000000001</v>
      </c>
      <c r="AR23" s="185">
        <f t="shared" ref="AR23:AW23" si="25">AR10*12*0.65/100</f>
        <v>0</v>
      </c>
      <c r="AS23" s="185">
        <f t="shared" si="25"/>
        <v>0</v>
      </c>
      <c r="AT23" s="185">
        <f t="shared" si="25"/>
        <v>0</v>
      </c>
      <c r="AU23" s="185">
        <f t="shared" si="25"/>
        <v>624</v>
      </c>
      <c r="AV23" s="185">
        <f t="shared" si="25"/>
        <v>3861</v>
      </c>
      <c r="AW23" s="185">
        <f t="shared" si="25"/>
        <v>3198</v>
      </c>
      <c r="AX23" s="220">
        <f>SUM(AQ23:AW23)</f>
        <v>8175.3360000000002</v>
      </c>
      <c r="AY23" s="74"/>
      <c r="AZ23" s="74"/>
      <c r="BA23" s="74"/>
      <c r="BB23" s="74"/>
    </row>
    <row r="24" spans="1:54" ht="15" x14ac:dyDescent="0.25">
      <c r="A24" s="13"/>
      <c r="B24" s="216">
        <f>+B21+1</f>
        <v>45997</v>
      </c>
      <c r="C24" s="87" t="s">
        <v>10</v>
      </c>
      <c r="D24" s="175"/>
      <c r="E24" s="234">
        <v>16500</v>
      </c>
      <c r="F24" s="217">
        <v>1564</v>
      </c>
      <c r="G24" s="218" t="s">
        <v>11</v>
      </c>
      <c r="H24" s="229"/>
      <c r="I24" s="217">
        <v>2395</v>
      </c>
      <c r="J24" s="218" t="s">
        <v>22</v>
      </c>
      <c r="K24" s="308">
        <v>30000</v>
      </c>
      <c r="L24" s="136">
        <v>1564</v>
      </c>
      <c r="M24" s="204" t="s">
        <v>11</v>
      </c>
      <c r="N24" s="308"/>
      <c r="O24" s="136">
        <v>1564</v>
      </c>
      <c r="P24" s="204" t="s">
        <v>11</v>
      </c>
      <c r="Q24" s="178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13608</v>
      </c>
      <c r="W24" s="102">
        <f t="shared" si="23"/>
        <v>13608</v>
      </c>
      <c r="X24" s="102">
        <v>10962</v>
      </c>
      <c r="Y24" s="102">
        <f t="shared" si="24"/>
        <v>2646</v>
      </c>
      <c r="Z24" s="74"/>
      <c r="AA24" s="116" t="s">
        <v>44</v>
      </c>
      <c r="AB24" s="117">
        <f>W22+W25</f>
        <v>32253</v>
      </c>
      <c r="AC24" s="74"/>
      <c r="AD24" s="74"/>
      <c r="AE24" s="74"/>
      <c r="AF24" s="83">
        <f t="shared" ref="AF24:AL24" si="26">+SUM(AF19:AF23)</f>
        <v>18499.924800000001</v>
      </c>
      <c r="AG24" s="83">
        <f t="shared" si="26"/>
        <v>15879.856800000003</v>
      </c>
      <c r="AH24" s="83">
        <f t="shared" si="26"/>
        <v>14715.460800000001</v>
      </c>
      <c r="AI24" s="83">
        <f t="shared" si="26"/>
        <v>14536.252800000002</v>
      </c>
      <c r="AJ24" s="83">
        <f t="shared" si="26"/>
        <v>9466.8000000000011</v>
      </c>
      <c r="AK24" s="83">
        <f t="shared" si="26"/>
        <v>10881.000000000002</v>
      </c>
      <c r="AL24" s="83">
        <f t="shared" si="26"/>
        <v>9048</v>
      </c>
      <c r="AM24" s="83">
        <f>SUM(AM19:AM23)</f>
        <v>93027.295200000008</v>
      </c>
      <c r="AN24" s="74"/>
      <c r="AO24" s="76">
        <v>2395</v>
      </c>
      <c r="AP24" s="76" t="s">
        <v>22</v>
      </c>
      <c r="AQ24" s="185">
        <f>AQ11*12*0.62/100</f>
        <v>5925.2159999999994</v>
      </c>
      <c r="AR24" s="185">
        <f t="shared" ref="AR24:AW24" si="27">AR11*12*0.62/100</f>
        <v>2090.4168</v>
      </c>
      <c r="AS24" s="185">
        <f t="shared" si="27"/>
        <v>7495.0559999999996</v>
      </c>
      <c r="AT24" s="185">
        <f t="shared" si="27"/>
        <v>6832.5983999999999</v>
      </c>
      <c r="AU24" s="185">
        <f t="shared" si="27"/>
        <v>1822.8</v>
      </c>
      <c r="AV24" s="185">
        <f t="shared" si="27"/>
        <v>0</v>
      </c>
      <c r="AW24" s="185">
        <f t="shared" si="27"/>
        <v>0</v>
      </c>
      <c r="AX24" s="220">
        <f t="shared" ref="AX24" si="28">SUM(AQ24:AW24)</f>
        <v>24166.087199999998</v>
      </c>
      <c r="AY24" s="74"/>
      <c r="AZ24" s="74"/>
      <c r="BA24" s="74"/>
      <c r="BB24" s="74"/>
    </row>
    <row r="25" spans="1:54" ht="15" x14ac:dyDescent="0.25">
      <c r="A25" s="13"/>
      <c r="B25" s="216" t="s">
        <v>45</v>
      </c>
      <c r="C25" s="85" t="s">
        <v>19</v>
      </c>
      <c r="D25" s="179"/>
      <c r="E25" s="234">
        <v>16500</v>
      </c>
      <c r="F25" s="219">
        <v>1564</v>
      </c>
      <c r="G25" s="223" t="s">
        <v>11</v>
      </c>
      <c r="H25" s="235"/>
      <c r="I25" s="219">
        <v>2395</v>
      </c>
      <c r="J25" s="223" t="s">
        <v>22</v>
      </c>
      <c r="K25" s="176">
        <v>30000</v>
      </c>
      <c r="L25" s="136">
        <v>1564</v>
      </c>
      <c r="M25" s="136" t="s">
        <v>11</v>
      </c>
      <c r="N25" s="176"/>
      <c r="O25" s="136">
        <v>1564</v>
      </c>
      <c r="P25" s="136" t="s">
        <v>11</v>
      </c>
      <c r="Q25" s="181"/>
      <c r="R25" s="81"/>
      <c r="S25" s="103">
        <v>5037</v>
      </c>
      <c r="T25" s="104" t="s">
        <v>25</v>
      </c>
      <c r="U25" s="105">
        <f>U13*12/100</f>
        <v>0</v>
      </c>
      <c r="V25" s="105">
        <f>V13*12/100</f>
        <v>0</v>
      </c>
      <c r="W25" s="105">
        <f t="shared" si="23"/>
        <v>0</v>
      </c>
      <c r="X25" s="105">
        <v>0</v>
      </c>
      <c r="Y25" s="105">
        <f t="shared" si="24"/>
        <v>0</v>
      </c>
      <c r="Z25" s="74"/>
      <c r="AA25" s="118" t="s">
        <v>46</v>
      </c>
      <c r="AB25" s="119">
        <f>W23+W26</f>
        <v>12834</v>
      </c>
      <c r="AC25" s="74"/>
      <c r="AN25" s="74"/>
      <c r="AO25" s="74"/>
      <c r="AP25" s="74"/>
      <c r="AQ25" s="185">
        <f>SUM(AQ23:AQ24)</f>
        <v>6417.5519999999997</v>
      </c>
      <c r="AR25" s="185">
        <f t="shared" ref="AR25:AX25" si="29">SUM(AR23:AR24)</f>
        <v>2090.4168</v>
      </c>
      <c r="AS25" s="185">
        <f t="shared" si="29"/>
        <v>7495.0559999999996</v>
      </c>
      <c r="AT25" s="185">
        <f t="shared" si="29"/>
        <v>6832.5983999999999</v>
      </c>
      <c r="AU25" s="185">
        <f t="shared" si="29"/>
        <v>2446.8000000000002</v>
      </c>
      <c r="AV25" s="185">
        <f t="shared" si="29"/>
        <v>3861</v>
      </c>
      <c r="AW25" s="185">
        <f t="shared" si="29"/>
        <v>3198</v>
      </c>
      <c r="AX25" s="220">
        <f t="shared" si="29"/>
        <v>32341.423199999997</v>
      </c>
      <c r="AY25" s="74"/>
      <c r="AZ25" s="74"/>
      <c r="BA25" s="74"/>
      <c r="BB25" s="74"/>
    </row>
    <row r="26" spans="1:54" ht="15" x14ac:dyDescent="0.25">
      <c r="A26" s="13"/>
      <c r="B26" s="221"/>
      <c r="C26" s="86" t="s">
        <v>20</v>
      </c>
      <c r="D26" s="182"/>
      <c r="E26" s="238">
        <v>16500</v>
      </c>
      <c r="F26" s="232">
        <v>1564</v>
      </c>
      <c r="G26" s="233" t="s">
        <v>11</v>
      </c>
      <c r="H26" s="237"/>
      <c r="I26" s="232"/>
      <c r="J26" s="233"/>
      <c r="K26" s="183">
        <v>30000</v>
      </c>
      <c r="L26" s="141">
        <v>1564</v>
      </c>
      <c r="M26" s="141" t="s">
        <v>11</v>
      </c>
      <c r="N26" s="183"/>
      <c r="O26" s="141">
        <v>1564</v>
      </c>
      <c r="P26" s="141" t="s">
        <v>11</v>
      </c>
      <c r="Q26" s="184"/>
      <c r="R26" s="81"/>
      <c r="S26" s="106">
        <v>6788</v>
      </c>
      <c r="T26" s="107" t="s">
        <v>28</v>
      </c>
      <c r="U26" s="108">
        <f>U14*12/100</f>
        <v>0</v>
      </c>
      <c r="V26" s="108">
        <f>V14*12/100</f>
        <v>0</v>
      </c>
      <c r="W26" s="108">
        <f t="shared" si="23"/>
        <v>0</v>
      </c>
      <c r="X26" s="108">
        <v>0</v>
      </c>
      <c r="Y26" s="108">
        <f t="shared" si="24"/>
        <v>0</v>
      </c>
      <c r="Z26" s="74"/>
      <c r="AA26" s="120" t="s">
        <v>47</v>
      </c>
      <c r="AB26" s="121">
        <f>W24</f>
        <v>13608</v>
      </c>
      <c r="AC26" s="74"/>
      <c r="AN26" s="76"/>
      <c r="AO26" s="215" t="s">
        <v>27</v>
      </c>
      <c r="AP26" s="74"/>
      <c r="AQ26" s="74"/>
      <c r="AR26" s="74"/>
      <c r="AS26" s="74"/>
      <c r="AT26" s="74"/>
      <c r="AU26" s="74"/>
      <c r="AV26" s="74"/>
      <c r="AW26" s="74"/>
      <c r="AX26" s="83"/>
      <c r="AY26" s="74"/>
      <c r="AZ26" s="74"/>
      <c r="BA26" s="74"/>
      <c r="BB26" s="74"/>
    </row>
    <row r="27" spans="1:54" ht="15" x14ac:dyDescent="0.25">
      <c r="A27" s="13"/>
      <c r="B27" s="216">
        <f>+B24+1</f>
        <v>45998</v>
      </c>
      <c r="C27" s="87" t="s">
        <v>10</v>
      </c>
      <c r="D27" s="175"/>
      <c r="E27" s="234">
        <v>16500</v>
      </c>
      <c r="F27" s="217">
        <v>1564</v>
      </c>
      <c r="G27" s="218" t="s">
        <v>11</v>
      </c>
      <c r="H27" s="186"/>
      <c r="I27" s="187"/>
      <c r="J27" s="177"/>
      <c r="K27" s="176">
        <v>30000</v>
      </c>
      <c r="L27" s="136">
        <v>1564</v>
      </c>
      <c r="M27" s="136" t="s">
        <v>11</v>
      </c>
      <c r="N27" s="176"/>
      <c r="O27" s="136">
        <v>1564</v>
      </c>
      <c r="P27" s="136" t="s">
        <v>11</v>
      </c>
      <c r="Q27" s="178"/>
      <c r="R27" s="81"/>
      <c r="S27" s="109">
        <v>6841</v>
      </c>
      <c r="T27" s="110" t="s">
        <v>26</v>
      </c>
      <c r="U27" s="111">
        <f>U15*12*0.62/100</f>
        <v>0</v>
      </c>
      <c r="V27" s="111">
        <f t="shared" ref="V27:V28" si="30">V15*12*0.62/100</f>
        <v>0</v>
      </c>
      <c r="W27" s="111">
        <f t="shared" si="23"/>
        <v>0</v>
      </c>
      <c r="X27" s="111">
        <v>0</v>
      </c>
      <c r="Y27" s="111">
        <f t="shared" si="24"/>
        <v>0</v>
      </c>
      <c r="Z27" s="74"/>
      <c r="AA27" s="124" t="s">
        <v>48</v>
      </c>
      <c r="AB27" s="125">
        <f>W27</f>
        <v>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9" t="s">
        <v>7</v>
      </c>
      <c r="AP27" s="79" t="s">
        <v>8</v>
      </c>
      <c r="AQ27" s="80">
        <f>AQ22</f>
        <v>45992</v>
      </c>
      <c r="AR27" s="80">
        <f t="shared" ref="AR27:AW27" si="31">AR22</f>
        <v>45993</v>
      </c>
      <c r="AS27" s="80">
        <f t="shared" si="31"/>
        <v>45994</v>
      </c>
      <c r="AT27" s="80">
        <f t="shared" si="31"/>
        <v>45995</v>
      </c>
      <c r="AU27" s="80">
        <f t="shared" si="31"/>
        <v>45996</v>
      </c>
      <c r="AV27" s="80">
        <f t="shared" si="31"/>
        <v>45997</v>
      </c>
      <c r="AW27" s="80">
        <f t="shared" si="31"/>
        <v>45998</v>
      </c>
      <c r="AX27" s="79" t="s">
        <v>34</v>
      </c>
      <c r="AY27" s="74"/>
      <c r="AZ27" s="74"/>
      <c r="BA27" s="74"/>
      <c r="BB27" s="74"/>
    </row>
    <row r="28" spans="1:54" ht="15" x14ac:dyDescent="0.25">
      <c r="A28" s="13"/>
      <c r="B28" s="216" t="s">
        <v>49</v>
      </c>
      <c r="C28" s="85" t="s">
        <v>19</v>
      </c>
      <c r="D28" s="179"/>
      <c r="E28" s="176">
        <v>8000</v>
      </c>
      <c r="F28" s="226">
        <v>1564</v>
      </c>
      <c r="G28" s="180" t="s">
        <v>11</v>
      </c>
      <c r="H28" s="206"/>
      <c r="I28" s="241"/>
      <c r="J28" s="242"/>
      <c r="K28" s="176">
        <v>30000</v>
      </c>
      <c r="L28" s="136">
        <v>1564</v>
      </c>
      <c r="M28" s="136" t="s">
        <v>11</v>
      </c>
      <c r="N28" s="176"/>
      <c r="O28" s="136">
        <v>1564</v>
      </c>
      <c r="P28" s="136" t="s">
        <v>11</v>
      </c>
      <c r="Q28" s="181"/>
      <c r="R28" s="81"/>
      <c r="S28" s="112">
        <v>6842</v>
      </c>
      <c r="T28" s="113" t="s">
        <v>29</v>
      </c>
      <c r="U28" s="114">
        <f t="shared" ref="U28" si="32">U16*12*0.62/100</f>
        <v>0</v>
      </c>
      <c r="V28" s="114">
        <f t="shared" si="30"/>
        <v>0</v>
      </c>
      <c r="W28" s="114">
        <f t="shared" si="23"/>
        <v>0</v>
      </c>
      <c r="X28" s="114">
        <v>0</v>
      </c>
      <c r="Y28" s="114">
        <f t="shared" si="24"/>
        <v>0</v>
      </c>
      <c r="Z28" s="74"/>
      <c r="AA28" s="122" t="s">
        <v>50</v>
      </c>
      <c r="AB28" s="123">
        <f>W28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>
        <v>1564</v>
      </c>
      <c r="AP28" s="76" t="s">
        <v>11</v>
      </c>
      <c r="AQ28" s="185">
        <f>AQ15*12*0.65/100</f>
        <v>6308.9520000000011</v>
      </c>
      <c r="AR28" s="185">
        <f t="shared" ref="AR28:AW28" si="33">AR15*12*0.65/100</f>
        <v>0</v>
      </c>
      <c r="AS28" s="185">
        <f t="shared" si="33"/>
        <v>0</v>
      </c>
      <c r="AT28" s="185">
        <f t="shared" si="33"/>
        <v>4668.768</v>
      </c>
      <c r="AU28" s="185">
        <f t="shared" si="33"/>
        <v>7020</v>
      </c>
      <c r="AV28" s="185">
        <f t="shared" si="33"/>
        <v>7020</v>
      </c>
      <c r="AW28" s="185">
        <f t="shared" si="33"/>
        <v>5850</v>
      </c>
      <c r="AX28" s="220">
        <f>SUM(AQ28:AW28)</f>
        <v>30867.72</v>
      </c>
      <c r="AY28" s="74"/>
      <c r="AZ28" s="74"/>
      <c r="BA28" s="74"/>
      <c r="BB28" s="74"/>
    </row>
    <row r="29" spans="1:54" ht="17.25" x14ac:dyDescent="0.25">
      <c r="A29" s="13"/>
      <c r="B29" s="221"/>
      <c r="C29" s="86" t="s">
        <v>20</v>
      </c>
      <c r="D29" s="182"/>
      <c r="E29" s="230">
        <v>16500</v>
      </c>
      <c r="F29" s="227">
        <v>1564</v>
      </c>
      <c r="G29" s="228" t="s">
        <v>11</v>
      </c>
      <c r="H29" s="309"/>
      <c r="I29" s="310"/>
      <c r="J29" s="311"/>
      <c r="K29" s="183">
        <v>15000</v>
      </c>
      <c r="L29" s="141">
        <v>1564</v>
      </c>
      <c r="M29" s="141" t="s">
        <v>11</v>
      </c>
      <c r="N29" s="183"/>
      <c r="O29" s="141">
        <v>1564</v>
      </c>
      <c r="P29" s="141" t="s">
        <v>11</v>
      </c>
      <c r="Q29" s="181"/>
      <c r="R29" s="81"/>
      <c r="S29" s="74"/>
      <c r="T29" s="126" t="s">
        <v>39</v>
      </c>
      <c r="U29" s="127">
        <f>SUM(U22:U28)</f>
        <v>20517</v>
      </c>
      <c r="V29" s="127">
        <f>SUM(V22:V28)</f>
        <v>38178</v>
      </c>
      <c r="W29" s="127">
        <f>SUM(W22:W28)</f>
        <v>58695</v>
      </c>
      <c r="X29" s="127">
        <f>SUM(X22:X28)</f>
        <v>50160</v>
      </c>
      <c r="Y29" s="127">
        <f>SUM(Y22:Y28)</f>
        <v>8535</v>
      </c>
      <c r="Z29" s="74"/>
      <c r="AA29" s="92" t="s">
        <v>51</v>
      </c>
      <c r="AB29" s="93">
        <f>SUM(AB24:AB28)</f>
        <v>58695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>
        <v>2821</v>
      </c>
      <c r="AP29" s="76" t="s">
        <v>23</v>
      </c>
      <c r="AQ29" s="185">
        <f>AQ16*12*0.63/100</f>
        <v>5773.4207999999999</v>
      </c>
      <c r="AR29" s="185">
        <f t="shared" ref="AR29:AW29" si="34">AR16*12*0.63/100</f>
        <v>13789.44</v>
      </c>
      <c r="AS29" s="185">
        <f t="shared" si="34"/>
        <v>7220.4048000000003</v>
      </c>
      <c r="AT29" s="185">
        <f t="shared" si="34"/>
        <v>3034.8864000000003</v>
      </c>
      <c r="AU29" s="185">
        <f t="shared" si="34"/>
        <v>0</v>
      </c>
      <c r="AV29" s="185">
        <f t="shared" si="34"/>
        <v>0</v>
      </c>
      <c r="AW29" s="185">
        <f t="shared" si="34"/>
        <v>0</v>
      </c>
      <c r="AX29" s="220">
        <f t="shared" ref="AX29:AX31" si="35">SUM(AQ29:AW29)</f>
        <v>29818.152000000002</v>
      </c>
      <c r="AY29" s="74"/>
      <c r="AZ29" s="74"/>
      <c r="BA29" s="74"/>
      <c r="BB29" s="74"/>
    </row>
    <row r="30" spans="1:54" ht="15" x14ac:dyDescent="0.2">
      <c r="A30" s="19"/>
      <c r="B30" s="67"/>
      <c r="C30" s="67"/>
      <c r="D30" s="67"/>
      <c r="E30" s="67"/>
      <c r="F30" s="67"/>
      <c r="G30" s="72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14"/>
      <c r="S30" s="82"/>
      <c r="T30" s="82"/>
      <c r="U30" s="74"/>
      <c r="V30" s="74"/>
      <c r="W30" s="74"/>
      <c r="X30" s="74"/>
      <c r="Y30" s="74"/>
      <c r="Z30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6">
        <v>6843</v>
      </c>
      <c r="AP30" s="76" t="s">
        <v>26</v>
      </c>
      <c r="AQ30" s="185">
        <f>AQ17*12*0.62/100</f>
        <v>0</v>
      </c>
      <c r="AR30" s="185">
        <f t="shared" ref="AR30:AW31" si="36">AR17*12*0.62/100</f>
        <v>0</v>
      </c>
      <c r="AS30" s="185">
        <f t="shared" si="36"/>
        <v>0</v>
      </c>
      <c r="AT30" s="185">
        <f t="shared" si="36"/>
        <v>0</v>
      </c>
      <c r="AU30" s="185">
        <f t="shared" si="36"/>
        <v>0</v>
      </c>
      <c r="AV30" s="185">
        <f t="shared" si="36"/>
        <v>0</v>
      </c>
      <c r="AW30" s="185">
        <f t="shared" si="36"/>
        <v>0</v>
      </c>
      <c r="AX30" s="220">
        <f t="shared" si="35"/>
        <v>0</v>
      </c>
      <c r="AY30" s="74"/>
      <c r="AZ30" s="74"/>
      <c r="BA30" s="74"/>
      <c r="BB30" s="74"/>
    </row>
    <row r="31" spans="1:54" s="10" customFormat="1" ht="15" x14ac:dyDescent="0.2">
      <c r="A31" s="9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U31"/>
      <c r="V31"/>
      <c r="W31"/>
      <c r="X31"/>
      <c r="Y31"/>
      <c r="Z31"/>
      <c r="AA31"/>
      <c r="AO31" s="76">
        <v>6842</v>
      </c>
      <c r="AP31" s="76" t="s">
        <v>29</v>
      </c>
      <c r="AQ31" s="185">
        <f>AQ18*12*0.62/100</f>
        <v>0</v>
      </c>
      <c r="AR31" s="185">
        <f t="shared" si="36"/>
        <v>0</v>
      </c>
      <c r="AS31" s="185">
        <f t="shared" si="36"/>
        <v>0</v>
      </c>
      <c r="AT31" s="185">
        <f t="shared" si="36"/>
        <v>0</v>
      </c>
      <c r="AU31" s="185">
        <f t="shared" si="36"/>
        <v>0</v>
      </c>
      <c r="AV31" s="185">
        <f t="shared" si="36"/>
        <v>0</v>
      </c>
      <c r="AW31" s="185">
        <f t="shared" si="36"/>
        <v>0</v>
      </c>
      <c r="AX31" s="220">
        <f t="shared" si="35"/>
        <v>0</v>
      </c>
    </row>
    <row r="32" spans="1:54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U32"/>
      <c r="V32"/>
      <c r="W32"/>
      <c r="X32"/>
      <c r="Y32"/>
      <c r="Z32"/>
      <c r="AA32"/>
      <c r="AO32" s="74"/>
      <c r="AP32" s="74"/>
      <c r="AQ32" s="224">
        <f>SUM(AQ28:AQ31)</f>
        <v>12082.372800000001</v>
      </c>
      <c r="AR32" s="224">
        <f t="shared" ref="AR32:AW32" si="37">SUM(AR28:AR31)</f>
        <v>13789.44</v>
      </c>
      <c r="AS32" s="224">
        <f t="shared" si="37"/>
        <v>7220.4048000000003</v>
      </c>
      <c r="AT32" s="224">
        <f t="shared" si="37"/>
        <v>7703.6544000000004</v>
      </c>
      <c r="AU32" s="224">
        <f t="shared" si="37"/>
        <v>7020</v>
      </c>
      <c r="AV32" s="224">
        <f t="shared" si="37"/>
        <v>7020</v>
      </c>
      <c r="AW32" s="224">
        <f t="shared" si="37"/>
        <v>5850</v>
      </c>
      <c r="AX32" s="224">
        <f>SUM(AX28:AX31)</f>
        <v>60685.872000000003</v>
      </c>
    </row>
    <row r="33" spans="1:27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U33"/>
      <c r="V33"/>
      <c r="W33"/>
      <c r="X33"/>
      <c r="Y33"/>
      <c r="Z33"/>
      <c r="AA33"/>
    </row>
    <row r="34" spans="1:27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U34"/>
      <c r="V34"/>
      <c r="W34"/>
      <c r="X34"/>
      <c r="Y34"/>
      <c r="Z34"/>
      <c r="AA34"/>
    </row>
    <row r="35" spans="1:27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U35"/>
      <c r="V35"/>
      <c r="W35"/>
      <c r="X35"/>
      <c r="Y35"/>
      <c r="Z35"/>
      <c r="AA35"/>
    </row>
    <row r="36" spans="1:27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U36"/>
      <c r="V36"/>
      <c r="W36"/>
      <c r="X36"/>
      <c r="Y36"/>
      <c r="Z36"/>
      <c r="AA36"/>
    </row>
    <row r="37" spans="1:27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U37"/>
      <c r="V37"/>
      <c r="W37"/>
      <c r="X37"/>
      <c r="Y37"/>
      <c r="Z37"/>
      <c r="AA37"/>
    </row>
    <row r="38" spans="1:27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U38"/>
      <c r="V38"/>
      <c r="W38"/>
      <c r="X38"/>
      <c r="Y38"/>
      <c r="Z38"/>
      <c r="AA38"/>
    </row>
    <row r="39" spans="1:27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</row>
    <row r="40" spans="1:27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</row>
    <row r="41" spans="1:27" s="10" customFormat="1" ht="12.75" customHeight="1" x14ac:dyDescent="0.2">
      <c r="A41" s="9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U41"/>
      <c r="V41"/>
      <c r="W41"/>
      <c r="X41"/>
      <c r="Y41"/>
      <c r="Z41"/>
      <c r="AA41"/>
    </row>
    <row r="42" spans="1:27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0</v>
      </c>
      <c r="H42"/>
      <c r="I42"/>
      <c r="J42">
        <f>+J41*4</f>
        <v>0</v>
      </c>
      <c r="K42"/>
      <c r="L42"/>
      <c r="M42"/>
      <c r="N42" s="273">
        <f>SUM(N22:N29)</f>
        <v>0</v>
      </c>
      <c r="O42"/>
      <c r="P42">
        <v>32000</v>
      </c>
      <c r="Q42"/>
      <c r="R42" s="149">
        <f>+N42+G42</f>
        <v>0</v>
      </c>
      <c r="S42"/>
      <c r="U42"/>
      <c r="V42" s="10" t="s">
        <v>55</v>
      </c>
      <c r="W42"/>
      <c r="X42"/>
      <c r="Y42"/>
      <c r="Z42"/>
      <c r="AA42"/>
    </row>
    <row r="43" spans="1:27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 t="s">
        <v>59</v>
      </c>
      <c r="P43" t="s">
        <v>57</v>
      </c>
      <c r="Q43"/>
      <c r="R43"/>
      <c r="S43"/>
      <c r="U43"/>
      <c r="V43"/>
      <c r="W43"/>
      <c r="X43"/>
      <c r="Y43"/>
      <c r="Z43"/>
      <c r="AA43"/>
    </row>
    <row r="44" spans="1:27" s="10" customFormat="1" ht="48.75" customHeight="1" x14ac:dyDescent="0.25">
      <c r="A44" s="9"/>
      <c r="B44"/>
      <c r="C44"/>
      <c r="D44"/>
      <c r="E44" s="136" t="s">
        <v>11</v>
      </c>
      <c r="F44" s="149">
        <f>SUM(E23:E29)+H9</f>
        <v>104812</v>
      </c>
      <c r="G44">
        <v>33000</v>
      </c>
      <c r="H44">
        <f>G44/12</f>
        <v>2750</v>
      </c>
      <c r="I44">
        <f>F44/H44</f>
        <v>38.113454545454545</v>
      </c>
      <c r="J44"/>
      <c r="K44"/>
      <c r="L44" s="136" t="s">
        <v>11</v>
      </c>
      <c r="M44" s="149">
        <f>SUM((N9+N19+N20),(K21:K29))</f>
        <v>335740</v>
      </c>
      <c r="N44">
        <v>60000</v>
      </c>
      <c r="O44">
        <f>N44/12</f>
        <v>5000</v>
      </c>
      <c r="P44">
        <f>M44/O44</f>
        <v>67.147999999999996</v>
      </c>
      <c r="Q44"/>
      <c r="R44"/>
      <c r="S44"/>
      <c r="T44"/>
      <c r="U44"/>
    </row>
    <row r="45" spans="1:27" s="10" customFormat="1" ht="21.75" customHeight="1" x14ac:dyDescent="0.25">
      <c r="A45" s="9"/>
      <c r="B45"/>
      <c r="C45"/>
      <c r="D45"/>
      <c r="E45" s="261" t="s">
        <v>22</v>
      </c>
      <c r="F45" s="149">
        <f>SUM(H10:H20,E21:E22)</f>
        <v>176813</v>
      </c>
      <c r="G45">
        <v>34000</v>
      </c>
      <c r="H45">
        <f>G45/12</f>
        <v>2833.3333333333335</v>
      </c>
      <c r="I45">
        <f>F45/H45</f>
        <v>62.404588235294113</v>
      </c>
      <c r="J45"/>
      <c r="K45"/>
      <c r="L45" s="255" t="s">
        <v>21</v>
      </c>
      <c r="M45" s="149"/>
      <c r="N45">
        <v>55000</v>
      </c>
      <c r="O45">
        <f t="shared" ref="O45:O46" si="38">N45/12</f>
        <v>4583.333333333333</v>
      </c>
      <c r="P45">
        <f t="shared" ref="P45:P46" si="39">M45/O45</f>
        <v>0</v>
      </c>
      <c r="Q45"/>
      <c r="R45"/>
      <c r="S45"/>
      <c r="T45"/>
      <c r="U45"/>
    </row>
    <row r="46" spans="1:27" s="10" customFormat="1" ht="21.75" customHeight="1" x14ac:dyDescent="0.25">
      <c r="A46" s="9"/>
      <c r="B46"/>
      <c r="C46"/>
      <c r="D46"/>
      <c r="E46"/>
      <c r="F46"/>
      <c r="G46"/>
      <c r="H46"/>
      <c r="I46">
        <f>SUM(I44:I45)</f>
        <v>100.51804278074866</v>
      </c>
      <c r="J46"/>
      <c r="K46"/>
      <c r="L46" s="145" t="s">
        <v>23</v>
      </c>
      <c r="M46" s="149">
        <f>SUM(N10:N18)</f>
        <v>214420</v>
      </c>
      <c r="N46">
        <v>60000</v>
      </c>
      <c r="O46">
        <f t="shared" si="38"/>
        <v>5000</v>
      </c>
      <c r="P46">
        <f t="shared" si="39"/>
        <v>42.884</v>
      </c>
      <c r="Q46"/>
      <c r="R46" t="s">
        <v>60</v>
      </c>
      <c r="S46"/>
      <c r="T46"/>
      <c r="U46"/>
    </row>
    <row r="47" spans="1:27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110.032</v>
      </c>
      <c r="Q47"/>
      <c r="R47">
        <f>P47+I46</f>
        <v>210.55004278074864</v>
      </c>
      <c r="S47"/>
      <c r="T47"/>
      <c r="U47"/>
    </row>
    <row r="48" spans="1:27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18"/>
    </row>
    <row r="49" spans="1:68" s="10" customFormat="1" ht="24" customHeight="1" x14ac:dyDescent="0.2">
      <c r="A49" s="9"/>
      <c r="B49"/>
      <c r="C49"/>
      <c r="D49"/>
      <c r="E49" t="s">
        <v>61</v>
      </c>
      <c r="F49" s="268">
        <f>COUNTA(C9:C29)-2</f>
        <v>19</v>
      </c>
      <c r="G49" s="315">
        <f>F49*8-16</f>
        <v>136</v>
      </c>
      <c r="H49" t="s">
        <v>62</v>
      </c>
      <c r="I49"/>
      <c r="J49"/>
      <c r="K49"/>
      <c r="L49" t="s">
        <v>63</v>
      </c>
      <c r="M49">
        <f>21-2</f>
        <v>19</v>
      </c>
      <c r="N49" t="s">
        <v>61</v>
      </c>
      <c r="O49">
        <f>M49*8-14</f>
        <v>138</v>
      </c>
      <c r="P49"/>
      <c r="Q49"/>
      <c r="R49"/>
      <c r="S49"/>
      <c r="T49"/>
      <c r="U49"/>
    </row>
    <row r="50" spans="1:68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68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68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68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68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68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68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68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68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68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64" t="s">
        <v>64</v>
      </c>
      <c r="S59"/>
    </row>
    <row r="60" spans="1:68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0.73910325574079894</v>
      </c>
      <c r="H60" s="267">
        <v>0.69</v>
      </c>
      <c r="I60"/>
      <c r="J60"/>
      <c r="K60"/>
      <c r="L60"/>
      <c r="M60"/>
      <c r="N60" s="262" t="s">
        <v>66</v>
      </c>
      <c r="O60" s="263">
        <f>P47/O49</f>
        <v>0.79733333333333334</v>
      </c>
      <c r="P60">
        <v>75.58</v>
      </c>
      <c r="R60" s="265">
        <f>R47/(O49+G49)</f>
        <v>0.76843081306842564</v>
      </c>
      <c r="S60"/>
    </row>
    <row r="61" spans="1:68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K61" s="62"/>
      <c r="L61" s="61"/>
      <c r="M61" s="62"/>
      <c r="N61" s="62"/>
      <c r="O61" s="61"/>
      <c r="P61" s="62"/>
      <c r="Q61" s="61"/>
      <c r="R61" s="62"/>
    </row>
    <row r="62" spans="1:68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</row>
    <row r="63" spans="1:68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0"/>
      <c r="R63" s="197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</row>
    <row r="64" spans="1:68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3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</row>
    <row r="66" spans="1:68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3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</row>
    <row r="67" spans="1:68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197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</row>
    <row r="68" spans="1:68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</row>
    <row r="70" spans="1:68" x14ac:dyDescent="0.2">
      <c r="E70" s="188"/>
      <c r="G70" s="18"/>
    </row>
    <row r="73" spans="1:68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U73" s="14" t="s">
        <v>71</v>
      </c>
      <c r="Y73" s="10" t="s">
        <v>57</v>
      </c>
    </row>
    <row r="74" spans="1:68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U74" s="10" t="s">
        <v>72</v>
      </c>
      <c r="V74" s="10">
        <v>8000</v>
      </c>
      <c r="W74" s="10">
        <f>V74*6</f>
        <v>48000</v>
      </c>
      <c r="X74" s="269">
        <v>5400</v>
      </c>
      <c r="Y74" s="10">
        <f>W74/X74</f>
        <v>8.8888888888888893</v>
      </c>
    </row>
    <row r="75" spans="1:68" ht="15" x14ac:dyDescent="0.25">
      <c r="E75" s="136" t="s">
        <v>11</v>
      </c>
      <c r="F75" s="149">
        <f>SUM(E23:E29)</f>
        <v>98500</v>
      </c>
      <c r="G75">
        <v>33000</v>
      </c>
      <c r="H75">
        <f>G75/12</f>
        <v>2750</v>
      </c>
      <c r="I75">
        <f>F75/H75</f>
        <v>35.81818181818182</v>
      </c>
      <c r="J75"/>
      <c r="K75"/>
      <c r="L75" s="136" t="s">
        <v>11</v>
      </c>
      <c r="M75" s="149">
        <f>SUM(K22:K29)</f>
        <v>225000</v>
      </c>
      <c r="N75">
        <v>60000</v>
      </c>
      <c r="O75">
        <f>N75/12</f>
        <v>5000</v>
      </c>
      <c r="P75">
        <f>M75/O75</f>
        <v>45</v>
      </c>
      <c r="Q75"/>
      <c r="R75"/>
      <c r="U75" s="10" t="s">
        <v>73</v>
      </c>
      <c r="V75" s="10">
        <v>4000</v>
      </c>
      <c r="W75" s="10">
        <f>V75*6</f>
        <v>24000</v>
      </c>
      <c r="X75" s="269">
        <v>6000</v>
      </c>
      <c r="Y75" s="10">
        <f t="shared" ref="Y75:Y76" si="40">W75/X75</f>
        <v>4</v>
      </c>
    </row>
    <row r="76" spans="1:68" ht="15" x14ac:dyDescent="0.25">
      <c r="E76" s="261" t="s">
        <v>22</v>
      </c>
      <c r="F76" s="149">
        <f>SUM(E21:E22)</f>
        <v>24500</v>
      </c>
      <c r="G76">
        <v>34000</v>
      </c>
      <c r="H76">
        <f>G76/12</f>
        <v>2833.3333333333335</v>
      </c>
      <c r="I76">
        <f>F76/H76</f>
        <v>8.6470588235294112</v>
      </c>
      <c r="J76"/>
      <c r="K76"/>
      <c r="L76" s="255" t="s">
        <v>21</v>
      </c>
      <c r="M76" s="149">
        <v>0</v>
      </c>
      <c r="N76">
        <v>55000</v>
      </c>
      <c r="O76">
        <f t="shared" ref="O76:O77" si="41">N76/12</f>
        <v>4583.333333333333</v>
      </c>
      <c r="P76">
        <f t="shared" ref="P76:P77" si="42">M76/O76</f>
        <v>0</v>
      </c>
      <c r="Q76"/>
      <c r="R76"/>
      <c r="U76" s="10" t="s">
        <v>74</v>
      </c>
      <c r="V76" s="10">
        <v>1984</v>
      </c>
      <c r="W76" s="10">
        <f>V76*15</f>
        <v>29760</v>
      </c>
      <c r="X76" s="269">
        <v>12600</v>
      </c>
      <c r="Y76" s="10">
        <f t="shared" si="40"/>
        <v>2.361904761904762</v>
      </c>
    </row>
    <row r="77" spans="1:68" ht="15" x14ac:dyDescent="0.25">
      <c r="E77"/>
      <c r="F77"/>
      <c r="G77"/>
      <c r="H77"/>
      <c r="I77">
        <f>SUM(I75:I76)</f>
        <v>44.465240641711233</v>
      </c>
      <c r="J77"/>
      <c r="K77"/>
      <c r="L77" s="145" t="s">
        <v>23</v>
      </c>
      <c r="M77" s="149">
        <f>SUM(K20:K21)</f>
        <v>45000</v>
      </c>
      <c r="N77">
        <v>60000</v>
      </c>
      <c r="O77">
        <f t="shared" si="41"/>
        <v>5000</v>
      </c>
      <c r="P77">
        <f t="shared" si="42"/>
        <v>9</v>
      </c>
      <c r="Q77"/>
      <c r="R77" t="s">
        <v>60</v>
      </c>
      <c r="Y77" s="10">
        <f>SUM(Y74:Y76)</f>
        <v>15.250793650793652</v>
      </c>
    </row>
    <row r="78" spans="1:68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54</v>
      </c>
      <c r="Q78"/>
      <c r="R78">
        <f>P78+I77</f>
        <v>98.465240641711233</v>
      </c>
    </row>
    <row r="96" spans="5:5" x14ac:dyDescent="0.2">
      <c r="E96" s="188" t="s">
        <v>75</v>
      </c>
    </row>
    <row r="97" spans="5:18" x14ac:dyDescent="0.2">
      <c r="E97" s="188" t="s">
        <v>9</v>
      </c>
      <c r="G97" s="10">
        <f t="shared" ref="G97:P97" si="43">+G45*12</f>
        <v>408000</v>
      </c>
      <c r="H97" s="10">
        <f t="shared" si="43"/>
        <v>34000</v>
      </c>
      <c r="I97" s="10">
        <f t="shared" si="43"/>
        <v>748.85505882352936</v>
      </c>
      <c r="J97" s="10">
        <f t="shared" si="43"/>
        <v>0</v>
      </c>
      <c r="K97" s="10">
        <f t="shared" si="43"/>
        <v>0</v>
      </c>
      <c r="L97" s="10" t="e">
        <f t="shared" si="43"/>
        <v>#VALUE!</v>
      </c>
      <c r="M97" s="10">
        <f t="shared" si="43"/>
        <v>0</v>
      </c>
      <c r="N97" s="10">
        <f t="shared" si="43"/>
        <v>660000</v>
      </c>
      <c r="O97" s="10">
        <f t="shared" si="43"/>
        <v>55000</v>
      </c>
      <c r="P97" s="10">
        <f t="shared" si="43"/>
        <v>0</v>
      </c>
      <c r="R97" s="10" t="e">
        <f>SUM(G97:P97)</f>
        <v>#VALUE!</v>
      </c>
    </row>
    <row r="98" spans="5:18" x14ac:dyDescent="0.2">
      <c r="E98" s="188" t="s">
        <v>27</v>
      </c>
      <c r="G98" s="10">
        <f t="shared" ref="G98:P98" si="44">+G47*12</f>
        <v>0</v>
      </c>
      <c r="H98" s="10">
        <f t="shared" si="44"/>
        <v>0</v>
      </c>
      <c r="I98" s="10">
        <f t="shared" si="44"/>
        <v>0</v>
      </c>
      <c r="J98" s="10">
        <f t="shared" si="44"/>
        <v>0</v>
      </c>
      <c r="K98" s="10">
        <f t="shared" si="44"/>
        <v>0</v>
      </c>
      <c r="L98" s="10">
        <f t="shared" si="44"/>
        <v>0</v>
      </c>
      <c r="M98" s="10">
        <f t="shared" si="44"/>
        <v>0</v>
      </c>
      <c r="N98" s="10">
        <f t="shared" si="44"/>
        <v>0</v>
      </c>
      <c r="O98" s="10">
        <f t="shared" si="44"/>
        <v>0</v>
      </c>
      <c r="P98" s="10">
        <f t="shared" si="44"/>
        <v>1320.384</v>
      </c>
      <c r="R98" s="10">
        <f>SUM(G98:P98)</f>
        <v>1320.384</v>
      </c>
    </row>
    <row r="99" spans="5:18" x14ac:dyDescent="0.2">
      <c r="R99" s="10" t="e">
        <f>+R97+R98</f>
        <v>#VALUE!</v>
      </c>
    </row>
    <row r="100" spans="5:18" x14ac:dyDescent="0.2">
      <c r="R100" s="18">
        <v>-6276000</v>
      </c>
    </row>
  </sheetData>
  <sheetProtection algorithmName="SHA-512" hashValue="qEt6iWzitx6hTyIppoCH6X5BnB8Z9+YR91bPRzR6BU219Iuw8CPerz6GDFg2vwYIEyQjaSRI2pwA9VkmmKkc7A==" saltValue="bi97qlnhSdVvqX34jw/MtQ==" spinCount="100000" sheet="1" objects="1" scenarios="1"/>
  <mergeCells count="5">
    <mergeCell ref="B1:P1"/>
    <mergeCell ref="B7:B8"/>
    <mergeCell ref="C7:C8"/>
    <mergeCell ref="E7:J7"/>
    <mergeCell ref="K7:P7"/>
  </mergeCells>
  <conditionalFormatting sqref="F9:F29">
    <cfRule type="cellIs" dxfId="236" priority="113" operator="equal">
      <formula>6842</formula>
    </cfRule>
    <cfRule type="cellIs" dxfId="235" priority="114" operator="equal">
      <formula>2821</formula>
    </cfRule>
    <cfRule type="cellIs" dxfId="234" priority="115" operator="equal">
      <formula>2395</formula>
    </cfRule>
    <cfRule type="cellIs" dxfId="233" priority="116" operator="equal">
      <formula>1564</formula>
    </cfRule>
  </conditionalFormatting>
  <conditionalFormatting sqref="G9:G29">
    <cfRule type="containsText" dxfId="232" priority="101" operator="containsText" text="CM620RT-TEL">
      <formula>NOT(ISERROR(SEARCH("CM620RT-TEL",G9)))</formula>
    </cfRule>
    <cfRule type="containsText" dxfId="231" priority="102" operator="containsText" text="PC630RT">
      <formula>NOT(ISERROR(SEARCH("PC630RT",G9)))</formula>
    </cfRule>
    <cfRule type="containsText" dxfId="230" priority="103" operator="containsText" text="PT620RT">
      <formula>NOT(ISERROR(SEARCH("PT620RT",G9)))</formula>
    </cfRule>
    <cfRule type="containsText" dxfId="229" priority="104" operator="containsText" text="CR650RT">
      <formula>NOT(ISERROR(SEARCH("CR650RT",G9)))</formula>
    </cfRule>
  </conditionalFormatting>
  <conditionalFormatting sqref="I9:I29">
    <cfRule type="cellIs" dxfId="228" priority="49" operator="equal">
      <formula>6842</formula>
    </cfRule>
    <cfRule type="cellIs" dxfId="227" priority="50" operator="equal">
      <formula>2821</formula>
    </cfRule>
    <cfRule type="cellIs" dxfId="226" priority="51" operator="equal">
      <formula>2395</formula>
    </cfRule>
    <cfRule type="cellIs" dxfId="225" priority="52" operator="equal">
      <formula>1564</formula>
    </cfRule>
  </conditionalFormatting>
  <conditionalFormatting sqref="J9:J29">
    <cfRule type="containsText" dxfId="224" priority="45" operator="containsText" text="CM620RT-TEL">
      <formula>NOT(ISERROR(SEARCH("CM620RT-TEL",J9)))</formula>
    </cfRule>
    <cfRule type="containsText" dxfId="223" priority="46" operator="containsText" text="PC630RT">
      <formula>NOT(ISERROR(SEARCH("PC630RT",J9)))</formula>
    </cfRule>
    <cfRule type="containsText" dxfId="222" priority="47" operator="containsText" text="PT620RT">
      <formula>NOT(ISERROR(SEARCH("PT620RT",J9)))</formula>
    </cfRule>
    <cfRule type="containsText" dxfId="221" priority="48" operator="containsText" text="CR650RT">
      <formula>NOT(ISERROR(SEARCH("CR650RT",J9)))</formula>
    </cfRule>
  </conditionalFormatting>
  <conditionalFormatting sqref="O10:O20">
    <cfRule type="cellIs" dxfId="220" priority="5" operator="equal">
      <formula>6842</formula>
    </cfRule>
    <cfRule type="cellIs" dxfId="219" priority="6" operator="equal">
      <formula>2821</formula>
    </cfRule>
    <cfRule type="cellIs" dxfId="218" priority="7" operator="equal">
      <formula>2395</formula>
    </cfRule>
    <cfRule type="cellIs" dxfId="217" priority="8" operator="equal">
      <formula>1564</formula>
    </cfRule>
  </conditionalFormatting>
  <conditionalFormatting sqref="P10:P20">
    <cfRule type="containsText" dxfId="216" priority="1" operator="containsText" text="CM620RT-TEL">
      <formula>NOT(ISERROR(SEARCH("CM620RT-TEL",P10)))</formula>
    </cfRule>
    <cfRule type="containsText" dxfId="215" priority="2" operator="containsText" text="PC630RT">
      <formula>NOT(ISERROR(SEARCH("PC630RT",P10)))</formula>
    </cfRule>
    <cfRule type="containsText" dxfId="214" priority="3" operator="containsText" text="PT620RT">
      <formula>NOT(ISERROR(SEARCH("PT620RT",P10)))</formula>
    </cfRule>
    <cfRule type="containsText" dxfId="213" priority="4" operator="containsText" text="CR650RT">
      <formula>NOT(ISERROR(SEARCH("CR650RT",P10)))</formula>
    </cfRule>
  </conditionalFormatting>
  <conditionalFormatting sqref="P19">
    <cfRule type="containsText" dxfId="212" priority="37" operator="containsText" text="CM620RT-TEL">
      <formula>NOT(ISERROR(SEARCH("CM620RT-TEL",P19)))</formula>
    </cfRule>
    <cfRule type="containsText" dxfId="211" priority="38" operator="containsText" text="PC630RT">
      <formula>NOT(ISERROR(SEARCH("PC630RT",P19)))</formula>
    </cfRule>
    <cfRule type="containsText" dxfId="210" priority="39" operator="containsText" text="PT620RT">
      <formula>NOT(ISERROR(SEARCH("PT620RT",P19)))</formula>
    </cfRule>
    <cfRule type="containsText" dxfId="209" priority="40" operator="containsText" text="CR650RT">
      <formula>NOT(ISERROR(SEARCH("CR650RT",P19)))</formula>
    </cfRule>
  </conditionalFormatting>
  <dataValidations count="1">
    <dataValidation type="list" allowBlank="1" showInputMessage="1" showErrorMessage="1" sqref="Q9:Q29 D9:D29" xr:uid="{3402E701-FFC8-4CA5-9FFE-61D9DDFB4225}">
      <formula1>#REF!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7AA4-457E-40B2-AFB8-C73EE2EA1E99}">
  <sheetPr>
    <tabColor rgb="FFFFC000"/>
  </sheetPr>
  <dimension ref="A1:BP100"/>
  <sheetViews>
    <sheetView showGridLines="0" topLeftCell="A9" zoomScale="50" zoomScaleNormal="50" workbookViewId="0">
      <selection activeCell="H89" sqref="H89"/>
    </sheetView>
  </sheetViews>
  <sheetFormatPr baseColWidth="10" defaultColWidth="11.42578125" defaultRowHeight="12.75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8.5703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5.42578125" style="10" customWidth="1"/>
    <col min="18" max="18" width="13.5703125" style="10" customWidth="1"/>
    <col min="19" max="19" width="8" style="10" customWidth="1"/>
    <col min="20" max="20" width="10.42578125" style="10" bestFit="1" customWidth="1"/>
    <col min="21" max="21" width="12.5703125" style="10" customWidth="1"/>
    <col min="22" max="22" width="9.140625" style="10"/>
    <col min="23" max="23" width="15.140625" style="10" customWidth="1"/>
    <col min="24" max="24" width="10.42578125" style="10" customWidth="1"/>
    <col min="25" max="25" width="9.140625" style="10"/>
    <col min="26" max="26" width="5.7109375" style="10" customWidth="1" collapsed="1"/>
    <col min="27" max="68" width="11.42578125" style="10"/>
  </cols>
  <sheetData>
    <row r="1" spans="1:68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48</v>
      </c>
      <c r="K3" s="4"/>
      <c r="L3" s="7"/>
      <c r="M3" s="7"/>
      <c r="N3" s="7"/>
      <c r="O3" s="7"/>
      <c r="P3" s="7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5" spans="1:68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24/11/YYYY al 30/11/YYYY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">
      <c r="B6" s="11" t="s">
        <v>2</v>
      </c>
      <c r="C6" s="11" t="s">
        <v>3</v>
      </c>
      <c r="D6" s="12">
        <v>2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</row>
    <row r="7" spans="1:68" ht="31.5" x14ac:dyDescent="0.2">
      <c r="A7" s="13"/>
      <c r="B7" s="997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1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8.75" x14ac:dyDescent="0.2">
      <c r="A8" s="13"/>
      <c r="B8" s="998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174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215" t="s">
        <v>6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215" t="s">
        <v>9</v>
      </c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</row>
    <row r="9" spans="1:68" ht="15.75" x14ac:dyDescent="0.25">
      <c r="A9" s="13"/>
      <c r="B9" s="216">
        <v>45985</v>
      </c>
      <c r="C9" s="87" t="s">
        <v>10</v>
      </c>
      <c r="D9" s="175"/>
      <c r="E9" s="134">
        <v>16500</v>
      </c>
      <c r="F9" s="136">
        <v>1564</v>
      </c>
      <c r="G9" s="136" t="s">
        <v>11</v>
      </c>
      <c r="H9" s="229">
        <v>16128</v>
      </c>
      <c r="I9" s="136">
        <v>1564</v>
      </c>
      <c r="J9" s="136" t="s">
        <v>11</v>
      </c>
      <c r="K9" s="147">
        <v>30000</v>
      </c>
      <c r="L9" s="136">
        <v>1564</v>
      </c>
      <c r="M9" s="136" t="s">
        <v>11</v>
      </c>
      <c r="N9" s="234">
        <v>29064</v>
      </c>
      <c r="O9" s="136">
        <v>1564</v>
      </c>
      <c r="P9" s="136" t="s">
        <v>11</v>
      </c>
      <c r="Q9" s="178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/>
      <c r="AB9" s="74"/>
      <c r="AC9" s="74"/>
      <c r="AD9" s="79" t="s">
        <v>7</v>
      </c>
      <c r="AE9" s="79" t="s">
        <v>8</v>
      </c>
      <c r="AF9" s="80">
        <f>B9</f>
        <v>45985</v>
      </c>
      <c r="AG9" s="80">
        <f>B12</f>
        <v>45986</v>
      </c>
      <c r="AH9" s="80">
        <f>B15</f>
        <v>45987</v>
      </c>
      <c r="AI9" s="80">
        <f>B18</f>
        <v>45988</v>
      </c>
      <c r="AJ9" s="80">
        <f>B21</f>
        <v>45989</v>
      </c>
      <c r="AK9" s="80">
        <f>B24</f>
        <v>45990</v>
      </c>
      <c r="AL9" s="80">
        <f>B27</f>
        <v>45991</v>
      </c>
      <c r="AM9" s="79" t="s">
        <v>17</v>
      </c>
      <c r="AN9" s="74"/>
      <c r="AO9" s="79" t="s">
        <v>7</v>
      </c>
      <c r="AP9" s="79" t="s">
        <v>8</v>
      </c>
      <c r="AQ9" s="80">
        <f>AF9</f>
        <v>45985</v>
      </c>
      <c r="AR9" s="80">
        <f t="shared" ref="AR9:AW9" si="0">AG9</f>
        <v>45986</v>
      </c>
      <c r="AS9" s="80">
        <f t="shared" si="0"/>
        <v>45987</v>
      </c>
      <c r="AT9" s="80">
        <f t="shared" si="0"/>
        <v>45988</v>
      </c>
      <c r="AU9" s="80">
        <f t="shared" si="0"/>
        <v>45989</v>
      </c>
      <c r="AV9" s="80">
        <f t="shared" si="0"/>
        <v>45990</v>
      </c>
      <c r="AW9" s="80">
        <f t="shared" si="0"/>
        <v>45991</v>
      </c>
      <c r="AX9" s="79" t="s">
        <v>17</v>
      </c>
      <c r="AY9" s="74"/>
      <c r="AZ9" s="74"/>
      <c r="BA9" s="74"/>
      <c r="BB9" s="74"/>
    </row>
    <row r="10" spans="1:68" ht="15" x14ac:dyDescent="0.25">
      <c r="A10" s="13"/>
      <c r="B10" s="216" t="s">
        <v>18</v>
      </c>
      <c r="C10" s="85" t="s">
        <v>19</v>
      </c>
      <c r="D10" s="179"/>
      <c r="E10" s="147">
        <v>16500</v>
      </c>
      <c r="F10" s="138">
        <v>1564</v>
      </c>
      <c r="G10" s="138" t="s">
        <v>11</v>
      </c>
      <c r="H10" s="235">
        <v>17640</v>
      </c>
      <c r="I10" s="138">
        <v>1564</v>
      </c>
      <c r="J10" s="138" t="s">
        <v>11</v>
      </c>
      <c r="K10" s="147">
        <v>5000</v>
      </c>
      <c r="L10" s="136">
        <v>1564</v>
      </c>
      <c r="M10" s="136" t="s">
        <v>11</v>
      </c>
      <c r="N10" s="236">
        <v>14871</v>
      </c>
      <c r="O10" s="136">
        <v>1564</v>
      </c>
      <c r="P10" s="136" t="s">
        <v>11</v>
      </c>
      <c r="Q10" s="181"/>
      <c r="R10" s="81"/>
      <c r="S10" s="94">
        <v>1564</v>
      </c>
      <c r="T10" s="95" t="s">
        <v>11</v>
      </c>
      <c r="U10" s="96">
        <f>SUMIF($F$9:$F$29,S10,$E$9:$E$29)</f>
        <v>210000</v>
      </c>
      <c r="V10" s="96">
        <f>SUMIF($M$9:$M$29,T10,$K$9:$K$29)</f>
        <v>260000</v>
      </c>
      <c r="W10" s="96">
        <f t="shared" ref="W10:W16" si="1">SUM(U10:V10)</f>
        <v>470000</v>
      </c>
      <c r="X10" s="96">
        <f>(SUMIF($J$9:$J$29,T10,$H$9:$H$29))+(SUMIF($P$9:$P$29,T10,$N$9:$N$29))</f>
        <v>460311</v>
      </c>
      <c r="Y10" s="96">
        <f>+W10-X10</f>
        <v>9689</v>
      </c>
      <c r="Z10" s="74"/>
      <c r="AA10" s="74"/>
      <c r="AB10" s="74"/>
      <c r="AC10" s="74"/>
      <c r="AD10" s="76">
        <v>1564</v>
      </c>
      <c r="AE10" s="76" t="s">
        <v>11</v>
      </c>
      <c r="AF10" s="82">
        <f>SUMIF($F$9:$F$11,$AD10,$E$9:$E$11)+SUMIF($I$9:$I$11,$AD10,$H$9:$H$11)+SUMIF($L$9:$L$11,$AD10,$K$9:$K$11)+SUMIF($O$9:$O$11,$AD10,$N$9:$N$11)</f>
        <v>175811</v>
      </c>
      <c r="AG10" s="82">
        <f>SUMIF($F$12:$F$14,$AD10,$E$12:$E$14)+SUMIF($I$12:$I$14,$AD10,$H$12:$H$14)+SUMIF($L$12:$L$14,$AD10,$K$12:$K$14)+SUMIF($O$12:$O$14,$AD10,$N$12:$N$14)</f>
        <v>87144</v>
      </c>
      <c r="AH10" s="82">
        <f>SUMIF($F$15:$F$17,$AD10,$E$15:$E$17)+SUMIF($I$15:$I$17,$AD10,$H$15:$H$17)+SUMIF($L$15:$L$17,$AD10,$K$15:$K$17)+SUMIF($O$15:$O$17,$AD10,$N$15:$N$17)</f>
        <v>0</v>
      </c>
      <c r="AI10" s="82">
        <f>SUMIF($F$18:$F$20,$AD10,$E$18:$E$20)+SUMIF($I$18:$I$20,$AD10,$H$18:$H$20)+SUMIF($L$18:$L$20,$AD10,$K$18:$K$20)+SUMIF($O$18:$O$20,$AD10,$N$18:$N$20)</f>
        <v>0</v>
      </c>
      <c r="AJ10" s="82">
        <f>SUMIF($F$21:$F$23,$AD10,$E$21:$E$23)+SUMIF($I$21:$I$23,$AD10,$H$21:$H$23)+SUMIF($L$21:$L$23,$AD10,$K$21:$K$23)+SUMIF($O$21:$O$23,$AD10,$N$21:$N$23)</f>
        <v>123996</v>
      </c>
      <c r="AK10" s="82">
        <f>SUMIF($F$24:$F$26,$AD10,$E$24:$E$26)+SUMIF($I$24:$I$26,$AD10,$H$24:$H$26)+SUMIF($L$24:$L$26,$AD10,$K$24:$K$26)+SUMIF($O$24:$O$26,$AD10,$N$24:$N$26)</f>
        <v>269196</v>
      </c>
      <c r="AL10" s="82">
        <f>SUMIF($F$27:$F$29,$AD10,$E$27:$E$29)+SUMIF($I$27:$I$29,$AD10,$H$27:$H$29)+SUMIF($L$27:$L$29,$AD10,$K$27:$K$29)+SUMIF($O$27:$O$29,$AD10,$N$27:$N$29)</f>
        <v>274164</v>
      </c>
      <c r="AM10" s="83">
        <f>SUM(AF10:AL10)</f>
        <v>930311</v>
      </c>
      <c r="AN10" s="74"/>
      <c r="AO10" s="76">
        <v>1564</v>
      </c>
      <c r="AP10" s="76" t="s">
        <v>11</v>
      </c>
      <c r="AQ10" s="185">
        <f>SUMIF($I$9:$I$11,$AO10,$H$9:$H$11)+SUMIF($F$9:$F$11,$AO10,$E$9:$E$11)</f>
        <v>96876</v>
      </c>
      <c r="AR10" s="185">
        <f>SUMIF($I$12:$I$14,$AO10,$H$12:$H$14)+SUMIF($F$12:$F$14,$AO10,$E$12:$E$14)</f>
        <v>87144</v>
      </c>
      <c r="AS10" s="185">
        <f>SUMIF($I$15:$I$17,$AO10,$H$15:$H$17)+SUMIF($F$15:$F$17,$AO10,$E$15:$E$17)</f>
        <v>0</v>
      </c>
      <c r="AT10" s="185">
        <f>SUMIF($I$18:$I$20,$AO10,$H$18:$H$20)+SUMIF($F$18:$F$20,$AO10,$E$18:$E$20)</f>
        <v>0</v>
      </c>
      <c r="AU10" s="185">
        <f>SUMIF($I$21:$I$23,$AO10,$H$21:$H$23)+SUMIF($F$21:$F$23,$AO10,$E$21:$E$23)</f>
        <v>31452</v>
      </c>
      <c r="AV10" s="185">
        <f>SUMIF($I$24:$I$26,$AO10,$H$24:$H$26)+SUMIF($F$24:$F$26,$AO10,$E$24:$E$26)</f>
        <v>94188</v>
      </c>
      <c r="AW10" s="185">
        <f>SUMIF($I$27:$I$29,$AO10,$H$27:$H$29)+SUMIF($F$27:$F$29,$AO10,$E$27:$E$29)</f>
        <v>93012</v>
      </c>
      <c r="AX10" s="220">
        <f>SUM(AQ10:AW10)</f>
        <v>402672</v>
      </c>
      <c r="AY10" s="74"/>
      <c r="AZ10" s="74"/>
      <c r="BA10" s="74"/>
      <c r="BB10" s="74"/>
    </row>
    <row r="11" spans="1:68" ht="15" x14ac:dyDescent="0.25">
      <c r="A11" s="13"/>
      <c r="B11" s="221"/>
      <c r="C11" s="86" t="s">
        <v>20</v>
      </c>
      <c r="D11" s="182"/>
      <c r="E11" s="148">
        <v>16500</v>
      </c>
      <c r="F11" s="141">
        <v>1564</v>
      </c>
      <c r="G11" s="141" t="s">
        <v>11</v>
      </c>
      <c r="H11" s="237">
        <v>13608</v>
      </c>
      <c r="I11" s="141">
        <v>1564</v>
      </c>
      <c r="J11" s="141" t="s">
        <v>11</v>
      </c>
      <c r="K11" s="148">
        <v>27000</v>
      </c>
      <c r="L11" s="254">
        <v>6843</v>
      </c>
      <c r="M11" s="254" t="s">
        <v>21</v>
      </c>
      <c r="N11" s="238">
        <f>15792+7056</f>
        <v>22848</v>
      </c>
      <c r="O11" s="254">
        <v>6843</v>
      </c>
      <c r="P11" s="254" t="s">
        <v>21</v>
      </c>
      <c r="Q11" s="184"/>
      <c r="R11" s="81"/>
      <c r="S11" s="97">
        <v>2395</v>
      </c>
      <c r="T11" s="98" t="s">
        <v>22</v>
      </c>
      <c r="U11" s="99">
        <f>SUMIF($F$9:$F$29,S11,$E$9:$E$29)</f>
        <v>99000</v>
      </c>
      <c r="V11" s="99">
        <f>SUMIF($M$9:$M$29,S11,$L$9:$L$29)+SUMIF($P$9:$P$29,S11,$O$9:$O$29)</f>
        <v>0</v>
      </c>
      <c r="W11" s="99">
        <f t="shared" si="1"/>
        <v>99000</v>
      </c>
      <c r="X11" s="99">
        <f>SUMIF($J$9:$J$29,T11,$H$9:$H$29)</f>
        <v>89958</v>
      </c>
      <c r="Y11" s="99">
        <f>+W11-X11</f>
        <v>9042</v>
      </c>
      <c r="Z11" s="74"/>
      <c r="AA11" s="185"/>
      <c r="AB11" s="74"/>
      <c r="AC11" s="74"/>
      <c r="AD11" s="76">
        <v>2395</v>
      </c>
      <c r="AE11" s="76" t="s">
        <v>22</v>
      </c>
      <c r="AF11" s="82">
        <f>SUMIF($F$9:$F$11,$AD11,$E$9:$E$11)+SUMIF($I$9:$I$11,$AD11,$H$9:$H$11)+SUMIF($L$9:$L$11,$AD11,$K$9:$K$11)+SUMIF($O$9:$O$11,$AD11,$N$9:$N$11)</f>
        <v>0</v>
      </c>
      <c r="AG11" s="82">
        <f>SUMIF($F$12:$F$14,$AD11,$E$12:$E$14)+SUMIF($I$12:$I$14,$AD11,$H$12:$H$14)+SUMIF($L$12:$L$14,$AD11,$K$12:$K$14)+SUMIF($O$12:$O$14,$AD11,$N$12:$N$14)</f>
        <v>0</v>
      </c>
      <c r="AH11" s="82">
        <f>SUMIF($F$15:$F$17,$AD11,$E$15:$E$17)+SUMIF($I$15:$I$17,$AD11,$H$15:$H$17)+SUMIF($L$15:$L$17,$AD11,$K$15:$K$17)+SUMIF($O$15:$O$17,$AD11,$N$15:$N$17)</f>
        <v>36660</v>
      </c>
      <c r="AI11" s="82">
        <f>SUMIF($F$18:$F$20,$AD11,$E$18:$E$20)+SUMIF($I$18:$I$20,$AD11,$H$18:$H$20)+SUMIF($L$18:$L$20,$AD11,$K$18:$K$20)+SUMIF($O$18:$O$20,$AD11,$N$18:$N$20)</f>
        <v>94860</v>
      </c>
      <c r="AJ11" s="82">
        <f>SUMIF($F$21:$F$23,$AD11,$E$21:$E$23)+SUMIF($I$21:$I$23,$AD11,$H$21:$H$23)+SUMIF($L$21:$L$23,$AD11,$K$21:$K$23)+SUMIF($O$21:$O$23,$AD11,$N$21:$N$23)</f>
        <v>57438</v>
      </c>
      <c r="AK11" s="82">
        <f>SUMIF($F$24:$F$26,$AD11,$E$24:$E$26)+SUMIF($I$24:$I$26,$AD11,$H$24:$H$26)+SUMIF($L$24:$L$26,$AD11,$K$24:$K$26)+SUMIF($O$24:$O$26,$AD11,$N$24:$N$26)</f>
        <v>0</v>
      </c>
      <c r="AL11" s="82">
        <f>SUMIF($F$27:$F$29,$AD11,$E$27:$E$29)+SUMIF($I$27:$I$29,$AD11,$H$27:$H$29)+SUMIF($L$27:$L$29,$AD11,$K$27:$K$29)+SUMIF($O$27:$O$29,$AD11,$N$27:$N$29)</f>
        <v>0</v>
      </c>
      <c r="AM11" s="83">
        <f t="shared" ref="AM11:AM12" si="2">SUM(AF11:AL11)</f>
        <v>188958</v>
      </c>
      <c r="AN11" s="74"/>
      <c r="AO11" s="76">
        <v>2395</v>
      </c>
      <c r="AP11" s="76" t="s">
        <v>22</v>
      </c>
      <c r="AQ11" s="185">
        <f t="shared" ref="AQ11" si="3">SUMIF($I$9:$I$11,$AO11,$H$9:$H$11)+SUMIF($F$9:$F$11,$AO11,$E$9:$E$11)</f>
        <v>0</v>
      </c>
      <c r="AR11" s="185">
        <f>SUMIF($I$12:$I$14,$AO11,$H$12:$H$14)+SUMIF($F$12:$F$14,$AO11,$E$12:$E$14)</f>
        <v>0</v>
      </c>
      <c r="AS11" s="185">
        <f>SUMIF($I$15:$I$17,$AO11,$H$15:$H$17)+SUMIF($F$15:$F$17,$AO11,$E$15:$E$17)</f>
        <v>36660</v>
      </c>
      <c r="AT11" s="185">
        <f>SUMIF($I$18:$I$20,$AO11,$H$18:$H$20)+SUMIF($F$18:$F$20,$AO11,$E$18:$E$20)</f>
        <v>94860</v>
      </c>
      <c r="AU11" s="185">
        <f>SUMIF($I$21:$I$23,$AO11,$H$21:$H$23)+SUMIF($F$21:$F$23,$AO11,$E$21:$E$23)</f>
        <v>57438</v>
      </c>
      <c r="AV11" s="185">
        <f>SUMIF($I$24:$I$26,$AO11,$H$24:$H$26)+SUMIF($F$24:$F$26,$AO11,$E$24:$E$26)</f>
        <v>0</v>
      </c>
      <c r="AW11" s="185">
        <f>SUMIF($I$27:$I$29,$AO11,$H$27:$H$29)+SUMIF($F$27:$F$29,$AO11,$E$27:$E$29)</f>
        <v>0</v>
      </c>
      <c r="AX11" s="220">
        <f t="shared" ref="AX11" si="4">SUM(AQ11:AW11)</f>
        <v>188958</v>
      </c>
      <c r="AY11" s="74"/>
      <c r="AZ11" s="74"/>
      <c r="BA11" s="74"/>
      <c r="BB11" s="74"/>
    </row>
    <row r="12" spans="1:68" ht="15" x14ac:dyDescent="0.25">
      <c r="A12" s="13"/>
      <c r="B12" s="216">
        <f>+B9+1</f>
        <v>45986</v>
      </c>
      <c r="C12" s="87" t="s">
        <v>10</v>
      </c>
      <c r="D12" s="175"/>
      <c r="E12" s="134">
        <v>16500</v>
      </c>
      <c r="F12" s="138">
        <v>1564</v>
      </c>
      <c r="G12" s="138" t="s">
        <v>11</v>
      </c>
      <c r="H12" s="231">
        <v>12936</v>
      </c>
      <c r="I12" s="138">
        <v>1564</v>
      </c>
      <c r="J12" s="138" t="s">
        <v>11</v>
      </c>
      <c r="K12" s="134">
        <v>27000</v>
      </c>
      <c r="L12" s="258">
        <v>6843</v>
      </c>
      <c r="M12" s="258" t="s">
        <v>21</v>
      </c>
      <c r="N12" s="229">
        <v>25536</v>
      </c>
      <c r="O12" s="258">
        <v>6843</v>
      </c>
      <c r="P12" s="258" t="s">
        <v>21</v>
      </c>
      <c r="Q12" s="178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133545</v>
      </c>
      <c r="W12" s="102">
        <f>SUM(U12:V12)</f>
        <v>133545</v>
      </c>
      <c r="X12" s="102">
        <f>SUMIF($P$9:$P$29,T12,$N$9:$N$29)</f>
        <v>133338</v>
      </c>
      <c r="Y12" s="102">
        <f>+W12-X12</f>
        <v>207</v>
      </c>
      <c r="Z12" s="74"/>
      <c r="AA12" s="74"/>
      <c r="AB12" s="74"/>
      <c r="AC12" s="74"/>
      <c r="AD12" s="76">
        <v>2821</v>
      </c>
      <c r="AE12" s="76" t="s">
        <v>23</v>
      </c>
      <c r="AF12" s="82">
        <f>SUMIF($F$9:$F$11,$AD12,$E$9:$E$11)+SUMIF($I$9:$I$11,$AD12,$H$9:$H$11)+SUMIF($L$9:$L$11,$AD12,$K$9:$K$11)+SUMIF($O$9:$O$11,$AD12,$N$9:$N$11)</f>
        <v>0</v>
      </c>
      <c r="AG12" s="82">
        <f>SUMIF($F$12:$F$14,$AD12,$E$12:$E$14)+SUMIF($I$12:$I$14,$AD12,$H$12:$H$14)+SUMIF($L$12:$L$14,$AD12,$K$12:$K$14)+SUMIF($O$12:$O$14,$AD12,$N$12:$N$14)</f>
        <v>0</v>
      </c>
      <c r="AH12" s="82">
        <f>SUMIF($F$15:$F$17,$AD12,$E$15:$E$17)+SUMIF($I$15:$I$17,$AD12,$H$15:$H$17)+SUMIF($L$15:$L$17,$AD12,$K$15:$K$17)+SUMIF($O$15:$O$17,$AD12,$N$15:$N$17)</f>
        <v>168726</v>
      </c>
      <c r="AI12" s="82">
        <f>SUMIF($F$18:$F$20,$AD12,$E$18:$E$20)+SUMIF($I$18:$I$20,$AD12,$H$18:$H$20)+SUMIF($L$18:$L$20,$AD12,$K$18:$K$20)+SUMIF($O$18:$O$20,$AD12,$N$18:$N$20)</f>
        <v>36393</v>
      </c>
      <c r="AJ12" s="82">
        <f>SUMIF($F$21:$F$23,$AD12,$E$21:$E$23)+SUMIF($I$21:$I$23,$AD12,$H$21:$H$23)+SUMIF($L$21:$L$23,$AD12,$K$21:$K$23)+SUMIF($O$21:$O$23,$AD12,$N$21:$N$23)</f>
        <v>61764</v>
      </c>
      <c r="AK12" s="82">
        <f>SUMIF($F$24:$F$26,$AD12,$E$24:$E$26)+SUMIF($I$24:$I$26,$AD12,$H$24:$H$26)+SUMIF($L$24:$L$26,$AD12,$K$24:$K$26)+SUMIF($O$24:$O$26,$AD12,$N$24:$N$26)</f>
        <v>0</v>
      </c>
      <c r="AL12" s="82">
        <f>SUMIF($F$27:$F$29,$AD12,$E$27:$E$29)+SUMIF($I$27:$I$29,$AD12,$H$27:$H$29)+SUMIF($L$27:$L$29,$AD12,$K$27:$K$29)+SUMIF($O$27:$O$29,$AD12,$N$27:$N$29)</f>
        <v>0</v>
      </c>
      <c r="AM12" s="83">
        <f t="shared" si="2"/>
        <v>266883</v>
      </c>
      <c r="AN12" s="74"/>
      <c r="AO12" s="74"/>
      <c r="AP12" s="74"/>
      <c r="AQ12" s="185">
        <f>SUM(AQ10:AQ11)</f>
        <v>96876</v>
      </c>
      <c r="AR12" s="185">
        <f t="shared" ref="AR12:AX12" si="5">SUM(AR10:AR11)</f>
        <v>87144</v>
      </c>
      <c r="AS12" s="185">
        <f t="shared" si="5"/>
        <v>36660</v>
      </c>
      <c r="AT12" s="185">
        <f t="shared" si="5"/>
        <v>94860</v>
      </c>
      <c r="AU12" s="185">
        <f t="shared" si="5"/>
        <v>88890</v>
      </c>
      <c r="AV12" s="185">
        <f t="shared" si="5"/>
        <v>94188</v>
      </c>
      <c r="AW12" s="185">
        <f t="shared" si="5"/>
        <v>93012</v>
      </c>
      <c r="AX12" s="220">
        <f t="shared" si="5"/>
        <v>591630</v>
      </c>
      <c r="AY12" s="74"/>
      <c r="AZ12" s="74"/>
      <c r="BA12" s="74"/>
      <c r="BB12" s="74"/>
    </row>
    <row r="13" spans="1:68" ht="15" x14ac:dyDescent="0.25">
      <c r="A13" s="13"/>
      <c r="B13" s="216" t="s">
        <v>24</v>
      </c>
      <c r="C13" s="85" t="s">
        <v>19</v>
      </c>
      <c r="D13" s="179"/>
      <c r="E13" s="134">
        <v>16500</v>
      </c>
      <c r="F13" s="138">
        <v>1564</v>
      </c>
      <c r="G13" s="138" t="s">
        <v>11</v>
      </c>
      <c r="H13" s="235">
        <v>14952</v>
      </c>
      <c r="I13" s="138">
        <v>1564</v>
      </c>
      <c r="J13" s="138" t="s">
        <v>11</v>
      </c>
      <c r="K13" s="147">
        <v>27000</v>
      </c>
      <c r="L13" s="258">
        <v>6843</v>
      </c>
      <c r="M13" s="258" t="s">
        <v>21</v>
      </c>
      <c r="N13" s="235">
        <v>28056</v>
      </c>
      <c r="O13" s="258">
        <v>6843</v>
      </c>
      <c r="P13" s="258" t="s">
        <v>21</v>
      </c>
      <c r="Q13" s="181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1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6">
        <v>6843</v>
      </c>
      <c r="AE13" s="76" t="s">
        <v>26</v>
      </c>
      <c r="AF13" s="82">
        <f>SUMIF($F$9:$F$11,$AD13,$E$9:$E$11)+SUMIF($I$9:$I$11,$AD13,$H$9:$H$11)+SUMIF($L$9:$L$11,$AD13,$K$9:$K$11)+SUMIF($O$9:$O$11,$AD13,$N$9:$N$11)</f>
        <v>49848</v>
      </c>
      <c r="AG13" s="82">
        <f>SUMIF($F$12:$F$14,$AD13,$E$12:$E$14)+SUMIF($I$12:$I$14,$AD13,$H$12:$H$14)+SUMIF($L$12:$L$14,$AD13,$K$12:$K$14)+SUMIF($O$12:$O$14,$AD13,$N$12:$N$14)</f>
        <v>141363</v>
      </c>
      <c r="AH13" s="82">
        <f>SUMIF($F$15:$F$17,$AD13,$E$15:$E$17)+SUMIF($I$15:$I$17,$AD13,$H$15:$H$17)+SUMIF($L$15:$L$17,$AD13,$K$15:$K$17)+SUMIF($O$15:$O$17,$AD13,$N$15:$N$17)</f>
        <v>0</v>
      </c>
      <c r="AI13" s="82">
        <f>SUMIF($F$18:$F$20,$AD13,$E$18:$E$20)+SUMIF($I$18:$I$20,$AD13,$H$18:$H$20)+SUMIF($L$18:$L$20,$AD13,$K$18:$K$20)+SUMIF($O$18:$O$20,$AD13,$N$18:$N$20)</f>
        <v>0</v>
      </c>
      <c r="AJ13" s="82">
        <f>SUMIF($F$21:$F$23,$AD13,$E$21:$E$23)+SUMIF($I$21:$I$23,$AD13,$H$21:$H$23)+SUMIF($L$21:$L$23,$AD13,$K$21:$K$23)+SUMIF($O$21:$O$23,$AD13,$N$21:$N$23)</f>
        <v>0</v>
      </c>
      <c r="AK13" s="82">
        <f>SUMIF($F$24:$F$26,$AD13,$E$24:$E$26)+SUMIF($I$24:$I$26,$AD13,$H$24:$H$26)+SUMIF($L$24:$L$26,$AD13,$K$24:$K$26)+SUMIF($O$24:$O$26,$AD13,$N$24:$N$26)</f>
        <v>0</v>
      </c>
      <c r="AL13" s="82">
        <f>SUMIF($F$27:$F$29,$AD13,$E$27:$E$29)+SUMIF($I$27:$I$29,$AD13,$H$27:$H$29)+SUMIF($L$27:$L$29,$AD13,$K$27:$K$29)+SUMIF($O$27:$O$29,$AD13,$N$27:$N$29)</f>
        <v>0</v>
      </c>
      <c r="AM13" s="83">
        <f>SUM(AF13:AL13)</f>
        <v>191211</v>
      </c>
      <c r="AN13" s="74"/>
      <c r="AO13" s="215" t="s">
        <v>27</v>
      </c>
      <c r="AP13" s="74"/>
      <c r="AQ13" s="74"/>
      <c r="AR13" s="74"/>
      <c r="AS13" s="74"/>
      <c r="AT13" s="74"/>
      <c r="AU13" s="74"/>
      <c r="AV13" s="74"/>
      <c r="AW13" s="74"/>
      <c r="AX13" s="83"/>
      <c r="AY13" s="74"/>
      <c r="AZ13" s="74"/>
      <c r="BA13" s="74"/>
      <c r="BB13" s="74"/>
    </row>
    <row r="14" spans="1:68" ht="15" x14ac:dyDescent="0.25">
      <c r="A14" s="13"/>
      <c r="B14" s="221"/>
      <c r="C14" s="86" t="s">
        <v>20</v>
      </c>
      <c r="D14" s="182"/>
      <c r="E14" s="148">
        <v>12000</v>
      </c>
      <c r="F14" s="141">
        <v>1564</v>
      </c>
      <c r="G14" s="141" t="s">
        <v>11</v>
      </c>
      <c r="H14" s="237">
        <v>14256</v>
      </c>
      <c r="I14" s="141">
        <v>1564</v>
      </c>
      <c r="J14" s="141" t="s">
        <v>11</v>
      </c>
      <c r="K14" s="148">
        <v>9965</v>
      </c>
      <c r="L14" s="255">
        <v>6843</v>
      </c>
      <c r="M14" s="255" t="s">
        <v>21</v>
      </c>
      <c r="N14" s="238">
        <v>23806</v>
      </c>
      <c r="O14" s="255">
        <v>6843</v>
      </c>
      <c r="P14" s="255" t="s">
        <v>21</v>
      </c>
      <c r="Q14" s="184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1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6">
        <v>6842</v>
      </c>
      <c r="AE14" s="76" t="s">
        <v>29</v>
      </c>
      <c r="AF14" s="82">
        <f>SUMIF($F$9:$F$11,$AD14,$E$9:$E$11)+SUMIF($I$9:$I$11,$AD14,$H$9:$H$11)+SUMIF($L$9:$L$11,$AD14,$K$9:$K$11)+SUMIF($O$9:$O$11,$AD14,$N$9:$N$11)</f>
        <v>0</v>
      </c>
      <c r="AG14" s="82">
        <f>SUMIF($F$12:$F$14,$AD14,$E$12:$E$14)+SUMIF($I$12:$I$14,$AD14,$H$12:$H$14)+SUMIF($L$12:$L$14,$AD14,$K$12:$K$14)+SUMIF($O$12:$O$14,$AD14,$N$12:$N$14)</f>
        <v>0</v>
      </c>
      <c r="AH14" s="82">
        <f>SUMIF($F$15:$F$17,$AD14,$E$15:$E$17)+SUMIF($I$15:$I$17,$AD14,$H$15:$H$17)+SUMIF($L$15:$L$17,$AD14,$K$15:$K$17)+SUMIF($O$15:$O$17,$AD14,$N$15:$N$17)</f>
        <v>0</v>
      </c>
      <c r="AI14" s="82">
        <f>SUMIF($F$18:$F$20,$AD14,$E$18:$E$20)+SUMIF($I$18:$I$20,$AD14,$H$18:$H$20)+SUMIF($L$18:$L$20,$AD14,$K$18:$K$20)+SUMIF($O$18:$O$20,$AD14,$N$18:$N$20)</f>
        <v>0</v>
      </c>
      <c r="AJ14" s="82">
        <f>SUMIF($F$21:$F$23,$AD14,$E$21:$E$23)+SUMIF($I$21:$I$23,$AD14,$H$21:$H$23)+SUMIF($L$21:$L$23,$AD14,$K$21:$K$23)+SUMIF($O$21:$O$23,$AD14,$N$21:$N$23)</f>
        <v>0</v>
      </c>
      <c r="AK14" s="82">
        <f>SUMIF($F$24:$F$26,$AD14,$E$24:$E$26)+SUMIF($I$24:$I$26,$AD14,$H$24:$H$26)+SUMIF($L$24:$L$26,$AD14,$K$24:$K$26)+SUMIF($O$24:$O$26,$AD14,$N$24:$N$26)</f>
        <v>0</v>
      </c>
      <c r="AL14" s="82">
        <f>SUMIF($F$27:$F$29,$AD14,$E$27:$E$29)+SUMIF($I$27:$I$29,$AD14,$H$27:$H$29)+SUMIF($L$27:$L$29,$AD14,$K$27:$K$29)+SUMIF($O$27:$O$29,$AD14,$N$27:$N$29)</f>
        <v>0</v>
      </c>
      <c r="AM14" s="83">
        <f>SUM(AF14:AL14)</f>
        <v>0</v>
      </c>
      <c r="AN14" s="74"/>
      <c r="AO14" s="79" t="s">
        <v>7</v>
      </c>
      <c r="AP14" s="79" t="s">
        <v>8</v>
      </c>
      <c r="AQ14" s="80">
        <f>AQ9</f>
        <v>45985</v>
      </c>
      <c r="AR14" s="80">
        <f t="shared" ref="AR14:AW14" si="6">AR9</f>
        <v>45986</v>
      </c>
      <c r="AS14" s="80">
        <f t="shared" si="6"/>
        <v>45987</v>
      </c>
      <c r="AT14" s="80">
        <f t="shared" si="6"/>
        <v>45988</v>
      </c>
      <c r="AU14" s="80">
        <f t="shared" si="6"/>
        <v>45989</v>
      </c>
      <c r="AV14" s="80">
        <f t="shared" si="6"/>
        <v>45990</v>
      </c>
      <c r="AW14" s="80">
        <f t="shared" si="6"/>
        <v>45991</v>
      </c>
      <c r="AX14" s="79" t="s">
        <v>17</v>
      </c>
      <c r="AY14" s="74"/>
      <c r="AZ14" s="74"/>
      <c r="BA14" s="74"/>
      <c r="BB14" s="74"/>
    </row>
    <row r="15" spans="1:68" ht="15" x14ac:dyDescent="0.25">
      <c r="A15" s="13"/>
      <c r="B15" s="216">
        <f>+B12+1</f>
        <v>45987</v>
      </c>
      <c r="C15" s="216" t="s">
        <v>10</v>
      </c>
      <c r="D15" s="175"/>
      <c r="E15" s="144"/>
      <c r="F15" s="144"/>
      <c r="G15" s="158" t="s">
        <v>30</v>
      </c>
      <c r="H15" s="231"/>
      <c r="I15" s="187"/>
      <c r="J15" s="177"/>
      <c r="K15" s="134">
        <v>30000</v>
      </c>
      <c r="L15" s="145">
        <v>2821</v>
      </c>
      <c r="M15" s="145" t="s">
        <v>23</v>
      </c>
      <c r="N15" s="229">
        <v>14784</v>
      </c>
      <c r="O15" s="145">
        <v>2821</v>
      </c>
      <c r="P15" s="145" t="s">
        <v>23</v>
      </c>
      <c r="Q15" s="178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>SUMIF($M$9:$M$29,T15,$K$9:$K$29)</f>
        <v>90965</v>
      </c>
      <c r="W15" s="111">
        <f t="shared" si="1"/>
        <v>90965</v>
      </c>
      <c r="X15" s="111">
        <f>SUMIF($Q$10:$Q$30,T15,$O$10:$O$30)</f>
        <v>0</v>
      </c>
      <c r="Y15" s="111">
        <f>+W15-X15</f>
        <v>90965</v>
      </c>
      <c r="Z15" s="74"/>
      <c r="AA15" s="74"/>
      <c r="AB15" s="74"/>
      <c r="AC15" s="74"/>
      <c r="AF15" s="222">
        <f>SUM(AF10:AF14)</f>
        <v>225659</v>
      </c>
      <c r="AG15" s="222">
        <f t="shared" ref="AG15:AL15" si="7">SUM(AG10:AG14)</f>
        <v>228507</v>
      </c>
      <c r="AH15" s="222">
        <f t="shared" si="7"/>
        <v>205386</v>
      </c>
      <c r="AI15" s="222">
        <f t="shared" si="7"/>
        <v>131253</v>
      </c>
      <c r="AJ15" s="222">
        <f t="shared" si="7"/>
        <v>243198</v>
      </c>
      <c r="AK15" s="222">
        <f t="shared" si="7"/>
        <v>269196</v>
      </c>
      <c r="AL15" s="222">
        <f t="shared" si="7"/>
        <v>274164</v>
      </c>
      <c r="AM15" s="83">
        <f>SUM(AM10:AM14)</f>
        <v>1577363</v>
      </c>
      <c r="AN15" s="74"/>
      <c r="AO15" s="76">
        <v>1564</v>
      </c>
      <c r="AP15" s="76" t="s">
        <v>11</v>
      </c>
      <c r="AQ15" s="185">
        <f>SUMIF($O$9:$O$11,$AO15,$N$9:$N$11)+SUMIF($L$9:$L$11,$AO15,$K$9:$K$11)</f>
        <v>78935</v>
      </c>
      <c r="AR15" s="185">
        <f>SUMIF($O$12:$O$14,$AO15,$N$12:$N$14)+SUMIF($L$12:$L$14,$AO15,$K$12:$K$14)</f>
        <v>0</v>
      </c>
      <c r="AS15" s="185">
        <f>SUMIF($O$15:$O$17,$AO15,$N$15:$N$17)+SUMIF($L$15:$L$17,$AO15,$K$15:$K$17)</f>
        <v>0</v>
      </c>
      <c r="AT15" s="185">
        <f>SUMIF($O$18:$O$20,$AO15,$N$18:$N$20)+SUMIF($L$18:$L$20,$AO15,$K$18:$K$20)</f>
        <v>0</v>
      </c>
      <c r="AU15" s="185">
        <f>SUMIF($O$21:$O$23,$AO15,$N$21:$N$23)+SUMIF($L$21:$L$23,$AO15,$K$21:$K$23)</f>
        <v>92544</v>
      </c>
      <c r="AV15" s="185">
        <f>SUMIF($O$24:$O$26,$AO15,$N$24:$N$26)+SUMIF($L$24:$L$26,$AO15,$K$24:$K$26)</f>
        <v>175008</v>
      </c>
      <c r="AW15" s="185">
        <f>SUMIF($O$27:$O$29,$AO15,$N$27:$N$29)+SUMIF($L$27:$L$29,$AO15,$K$27:$K$29)</f>
        <v>181152</v>
      </c>
      <c r="AX15" s="220">
        <f>SUM(AQ15:AW15)</f>
        <v>527639</v>
      </c>
      <c r="AY15" s="74"/>
      <c r="AZ15" s="74"/>
      <c r="BA15" s="74"/>
      <c r="BB15" s="74"/>
    </row>
    <row r="16" spans="1:68" ht="15" x14ac:dyDescent="0.25">
      <c r="A16" s="13"/>
      <c r="B16" s="216" t="s">
        <v>31</v>
      </c>
      <c r="C16" s="216" t="s">
        <v>19</v>
      </c>
      <c r="D16" s="179"/>
      <c r="E16" s="151"/>
      <c r="F16" s="144"/>
      <c r="G16" s="158" t="s">
        <v>30</v>
      </c>
      <c r="H16" s="235"/>
      <c r="I16" s="219"/>
      <c r="J16" s="223"/>
      <c r="K16" s="134">
        <v>30000</v>
      </c>
      <c r="L16" s="145">
        <v>2821</v>
      </c>
      <c r="M16" s="145" t="s">
        <v>23</v>
      </c>
      <c r="N16" s="235">
        <v>30408</v>
      </c>
      <c r="O16" s="145">
        <v>2821</v>
      </c>
      <c r="P16" s="145" t="s">
        <v>23</v>
      </c>
      <c r="Q16" s="181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1"/>
        <v>0</v>
      </c>
      <c r="X16" s="114">
        <f>SUM(V16:W16)</f>
        <v>0</v>
      </c>
      <c r="Y16" s="114"/>
      <c r="Z16" s="74"/>
      <c r="AA16" s="74"/>
      <c r="AB16" s="74"/>
      <c r="AC16" s="74"/>
      <c r="AN16" s="74"/>
      <c r="AO16" s="76">
        <v>2821</v>
      </c>
      <c r="AP16" s="76" t="s">
        <v>23</v>
      </c>
      <c r="AQ16" s="185">
        <f t="shared" ref="AQ16:AQ18" si="8">SUMIF($O$9:$O$11,$AO16,$N$9:$N$11)+SUMIF($L$9:$L$11,$AO16,$K$9:$K$11)</f>
        <v>0</v>
      </c>
      <c r="AR16" s="185">
        <f t="shared" ref="AR16:AR18" si="9">SUMIF($O$12:$O$14,$AO16,$N$12:$N$14)+SUMIF($L$12:$L$14,$AO16,$K$12:$K$14)</f>
        <v>0</v>
      </c>
      <c r="AS16" s="185">
        <f t="shared" ref="AS16:AS18" si="10">SUMIF($O$15:$O$17,$AO16,$N$15:$N$17)+SUMIF($L$15:$L$17,$AO16,$K$15:$K$17)</f>
        <v>168726</v>
      </c>
      <c r="AT16" s="185">
        <f t="shared" ref="AT16:AT18" si="11">SUMIF($O$18:$O$20,$AO16,$N$18:$N$20)+SUMIF($L$18:$L$20,$AO16,$K$18:$K$20)</f>
        <v>36393</v>
      </c>
      <c r="AU16" s="185">
        <f t="shared" ref="AU16:AU18" si="12">SUMIF($O$21:$O$23,$AO16,$N$21:$N$23)+SUMIF($L$21:$L$23,$AO16,$K$21:$K$23)</f>
        <v>61764</v>
      </c>
      <c r="AV16" s="185">
        <f t="shared" ref="AV16:AV18" si="13">SUMIF($O$24:$O$26,$AO16,$N$24:$N$26)+SUMIF($L$24:$L$26,$AO16,$K$24:$K$26)</f>
        <v>0</v>
      </c>
      <c r="AW16" s="185">
        <f t="shared" ref="AW16:AW18" si="14">SUMIF($O$27:$O$29,$AO16,$N$27:$N$29)+SUMIF($L$27:$L$29,$AO16,$K$27:$K$29)</f>
        <v>0</v>
      </c>
      <c r="AX16" s="220">
        <f t="shared" ref="AX16:AX18" si="15">SUM(AQ16:AW16)</f>
        <v>266883</v>
      </c>
      <c r="AY16" s="74"/>
      <c r="AZ16" s="74"/>
      <c r="BA16" s="74"/>
      <c r="BB16" s="74"/>
    </row>
    <row r="17" spans="1:68" ht="17.25" x14ac:dyDescent="0.25">
      <c r="A17" s="13"/>
      <c r="B17" s="221"/>
      <c r="C17" s="221" t="s">
        <v>20</v>
      </c>
      <c r="D17" s="182"/>
      <c r="E17" s="148">
        <v>16500</v>
      </c>
      <c r="F17" s="140">
        <v>2395</v>
      </c>
      <c r="G17" s="261" t="s">
        <v>22</v>
      </c>
      <c r="H17" s="314">
        <v>20160</v>
      </c>
      <c r="I17" s="140">
        <v>2395</v>
      </c>
      <c r="J17" s="261" t="s">
        <v>22</v>
      </c>
      <c r="K17" s="148">
        <v>30000</v>
      </c>
      <c r="L17" s="146">
        <v>2821</v>
      </c>
      <c r="M17" s="146" t="s">
        <v>23</v>
      </c>
      <c r="N17" s="238">
        <f>28728+4806</f>
        <v>33534</v>
      </c>
      <c r="O17" s="146">
        <v>2821</v>
      </c>
      <c r="P17" s="146" t="s">
        <v>23</v>
      </c>
      <c r="Q17" s="184"/>
      <c r="R17" s="81"/>
      <c r="S17" s="74"/>
      <c r="T17" s="92" t="s">
        <v>32</v>
      </c>
      <c r="U17" s="93">
        <f>SUM(U10:U16)</f>
        <v>309000</v>
      </c>
      <c r="V17" s="93">
        <f>SUM(V10:V16)</f>
        <v>484510</v>
      </c>
      <c r="W17" s="93">
        <f>SUM(W10:W16)</f>
        <v>793510</v>
      </c>
      <c r="X17" s="127">
        <f>SUM(X10:X16)</f>
        <v>683607</v>
      </c>
      <c r="Y17" s="127">
        <f>SUM(Y10:Y16)</f>
        <v>109903</v>
      </c>
      <c r="Z17" s="74"/>
      <c r="AA17" s="74"/>
      <c r="AB17" s="74"/>
      <c r="AC17" s="74"/>
      <c r="AD17" s="215" t="s">
        <v>33</v>
      </c>
      <c r="AE17" s="74"/>
      <c r="AF17" s="74"/>
      <c r="AG17" s="74"/>
      <c r="AH17" s="74"/>
      <c r="AI17" s="74"/>
      <c r="AJ17" s="74"/>
      <c r="AK17" s="74"/>
      <c r="AL17" s="74"/>
      <c r="AM17" s="74"/>
      <c r="AN17" s="76"/>
      <c r="AO17" s="76">
        <v>6843</v>
      </c>
      <c r="AP17" s="76" t="s">
        <v>26</v>
      </c>
      <c r="AQ17" s="185">
        <f t="shared" si="8"/>
        <v>49848</v>
      </c>
      <c r="AR17" s="185">
        <f t="shared" si="9"/>
        <v>141363</v>
      </c>
      <c r="AS17" s="185">
        <f t="shared" si="10"/>
        <v>0</v>
      </c>
      <c r="AT17" s="185">
        <f t="shared" si="11"/>
        <v>0</v>
      </c>
      <c r="AU17" s="185">
        <f t="shared" si="12"/>
        <v>0</v>
      </c>
      <c r="AV17" s="185">
        <f t="shared" si="13"/>
        <v>0</v>
      </c>
      <c r="AW17" s="185">
        <f t="shared" si="14"/>
        <v>0</v>
      </c>
      <c r="AX17" s="220">
        <f t="shared" si="15"/>
        <v>191211</v>
      </c>
      <c r="AY17" s="74"/>
      <c r="AZ17" s="74"/>
      <c r="BA17" s="74"/>
      <c r="BB17" s="74"/>
    </row>
    <row r="18" spans="1:68" ht="15" x14ac:dyDescent="0.25">
      <c r="A18" s="13"/>
      <c r="B18" s="216">
        <f>+B15+1</f>
        <v>45988</v>
      </c>
      <c r="C18" s="87" t="s">
        <v>10</v>
      </c>
      <c r="D18" s="175"/>
      <c r="E18" s="134">
        <v>16500</v>
      </c>
      <c r="F18" s="135">
        <v>2395</v>
      </c>
      <c r="G18" s="135" t="s">
        <v>22</v>
      </c>
      <c r="H18" s="229">
        <v>14952</v>
      </c>
      <c r="I18" s="140">
        <v>2395</v>
      </c>
      <c r="J18" s="261" t="s">
        <v>22</v>
      </c>
      <c r="K18" s="144"/>
      <c r="L18" s="144"/>
      <c r="M18" s="158" t="s">
        <v>30</v>
      </c>
      <c r="N18" s="229"/>
      <c r="O18" s="217"/>
      <c r="P18" s="218"/>
      <c r="Q18" s="178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9" t="s">
        <v>7</v>
      </c>
      <c r="AE18" s="79" t="s">
        <v>8</v>
      </c>
      <c r="AF18" s="80">
        <f>AF9</f>
        <v>45985</v>
      </c>
      <c r="AG18" s="80">
        <f t="shared" ref="AG18:AL18" si="16">AG9</f>
        <v>45986</v>
      </c>
      <c r="AH18" s="80">
        <f t="shared" si="16"/>
        <v>45987</v>
      </c>
      <c r="AI18" s="80">
        <f t="shared" si="16"/>
        <v>45988</v>
      </c>
      <c r="AJ18" s="80">
        <f t="shared" si="16"/>
        <v>45989</v>
      </c>
      <c r="AK18" s="80">
        <f t="shared" si="16"/>
        <v>45990</v>
      </c>
      <c r="AL18" s="80">
        <f t="shared" si="16"/>
        <v>45991</v>
      </c>
      <c r="AM18" s="79" t="s">
        <v>34</v>
      </c>
      <c r="AN18" s="74"/>
      <c r="AO18" s="76">
        <v>6842</v>
      </c>
      <c r="AP18" s="76" t="s">
        <v>29</v>
      </c>
      <c r="AQ18" s="185">
        <f t="shared" si="8"/>
        <v>0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220">
        <f t="shared" si="15"/>
        <v>0</v>
      </c>
      <c r="AY18" s="74"/>
      <c r="AZ18" s="74"/>
      <c r="BA18" s="74"/>
      <c r="BB18" s="74"/>
    </row>
    <row r="19" spans="1:68" ht="15" x14ac:dyDescent="0.25">
      <c r="A19" s="13"/>
      <c r="B19" s="216" t="s">
        <v>35</v>
      </c>
      <c r="C19" s="85" t="s">
        <v>19</v>
      </c>
      <c r="D19" s="179"/>
      <c r="E19" s="147">
        <v>16500</v>
      </c>
      <c r="F19" s="137">
        <v>2395</v>
      </c>
      <c r="G19" s="137" t="s">
        <v>22</v>
      </c>
      <c r="H19" s="235">
        <v>15960</v>
      </c>
      <c r="I19" s="135">
        <v>2395</v>
      </c>
      <c r="J19" s="135" t="s">
        <v>22</v>
      </c>
      <c r="K19" s="151"/>
      <c r="L19" s="144"/>
      <c r="M19" s="158" t="s">
        <v>30</v>
      </c>
      <c r="N19" s="235"/>
      <c r="O19" s="219"/>
      <c r="P19" s="223"/>
      <c r="Q19" s="181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6">
        <v>1564</v>
      </c>
      <c r="AE19" s="76" t="s">
        <v>11</v>
      </c>
      <c r="AF19" s="82">
        <f t="shared" ref="AF19:AL19" si="17">AF10/(1/12/0.65*100)</f>
        <v>13713.258000000002</v>
      </c>
      <c r="AG19" s="82">
        <f t="shared" si="17"/>
        <v>6797.2320000000009</v>
      </c>
      <c r="AH19" s="82">
        <f t="shared" si="17"/>
        <v>0</v>
      </c>
      <c r="AI19" s="82">
        <f t="shared" si="17"/>
        <v>0</v>
      </c>
      <c r="AJ19" s="82">
        <f t="shared" si="17"/>
        <v>9671.6880000000001</v>
      </c>
      <c r="AK19" s="82">
        <f t="shared" si="17"/>
        <v>20997.288</v>
      </c>
      <c r="AL19" s="82">
        <f t="shared" si="17"/>
        <v>21384.792000000001</v>
      </c>
      <c r="AM19" s="83">
        <f>SUM(AF19:AL19)</f>
        <v>72564.258000000002</v>
      </c>
      <c r="AN19" s="74"/>
      <c r="AO19" s="74"/>
      <c r="AP19" s="74"/>
      <c r="AQ19" s="224">
        <f>SUM(AQ15:AQ18)</f>
        <v>128783</v>
      </c>
      <c r="AR19" s="224">
        <f t="shared" ref="AR19:AW19" si="18">SUM(AR15:AR18)</f>
        <v>141363</v>
      </c>
      <c r="AS19" s="224">
        <f t="shared" si="18"/>
        <v>168726</v>
      </c>
      <c r="AT19" s="224">
        <f t="shared" si="18"/>
        <v>36393</v>
      </c>
      <c r="AU19" s="224">
        <f t="shared" si="18"/>
        <v>154308</v>
      </c>
      <c r="AV19" s="224">
        <f t="shared" si="18"/>
        <v>175008</v>
      </c>
      <c r="AW19" s="224">
        <f t="shared" si="18"/>
        <v>181152</v>
      </c>
      <c r="AX19" s="224">
        <f>SUM(AX15:AX18)</f>
        <v>985733</v>
      </c>
      <c r="AY19" s="74"/>
      <c r="AZ19" s="74"/>
      <c r="BA19" s="74"/>
      <c r="BB19" s="74"/>
    </row>
    <row r="20" spans="1:68" ht="18.75" x14ac:dyDescent="0.25">
      <c r="A20" s="13"/>
      <c r="B20" s="221"/>
      <c r="C20" s="86" t="s">
        <v>20</v>
      </c>
      <c r="D20" s="182"/>
      <c r="E20" s="148">
        <v>16500</v>
      </c>
      <c r="F20" s="140">
        <v>2395</v>
      </c>
      <c r="G20" s="140" t="s">
        <v>22</v>
      </c>
      <c r="H20" s="237">
        <v>14448</v>
      </c>
      <c r="I20" s="137">
        <v>2395</v>
      </c>
      <c r="J20" s="137" t="s">
        <v>22</v>
      </c>
      <c r="K20" s="148">
        <v>13545</v>
      </c>
      <c r="L20" s="146">
        <v>2821</v>
      </c>
      <c r="M20" s="146" t="s">
        <v>23</v>
      </c>
      <c r="N20" s="238">
        <v>22848</v>
      </c>
      <c r="O20" s="146">
        <v>2821</v>
      </c>
      <c r="P20" s="146" t="s">
        <v>23</v>
      </c>
      <c r="Q20" s="184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6">
        <v>2395</v>
      </c>
      <c r="AE20" s="76" t="s">
        <v>22</v>
      </c>
      <c r="AF20" s="82">
        <f t="shared" ref="AF20:AL20" si="19">AF11/(1/12/0.62*100)</f>
        <v>0</v>
      </c>
      <c r="AG20" s="82">
        <f t="shared" si="19"/>
        <v>0</v>
      </c>
      <c r="AH20" s="82">
        <f t="shared" si="19"/>
        <v>2727.5040000000004</v>
      </c>
      <c r="AI20" s="82">
        <f t="shared" si="19"/>
        <v>7057.5840000000007</v>
      </c>
      <c r="AJ20" s="82">
        <f t="shared" si="19"/>
        <v>4273.3872000000001</v>
      </c>
      <c r="AK20" s="82">
        <f t="shared" si="19"/>
        <v>0</v>
      </c>
      <c r="AL20" s="82">
        <f t="shared" si="19"/>
        <v>0</v>
      </c>
      <c r="AM20" s="83">
        <f>SUM(AF20:AL20)</f>
        <v>14058.475200000001</v>
      </c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</row>
    <row r="21" spans="1:68" ht="15.75" x14ac:dyDescent="0.25">
      <c r="A21" s="13"/>
      <c r="B21" s="216">
        <f>+B18+1</f>
        <v>45989</v>
      </c>
      <c r="C21" s="87" t="s">
        <v>10</v>
      </c>
      <c r="D21" s="175"/>
      <c r="E21" s="134">
        <v>16500</v>
      </c>
      <c r="F21" s="135">
        <v>2395</v>
      </c>
      <c r="G21" s="135" t="s">
        <v>22</v>
      </c>
      <c r="H21" s="207">
        <f>184*84</f>
        <v>15456</v>
      </c>
      <c r="I21" s="140">
        <v>2395</v>
      </c>
      <c r="J21" s="140" t="s">
        <v>22</v>
      </c>
      <c r="K21" s="202">
        <v>30000</v>
      </c>
      <c r="L21" s="145">
        <v>2821</v>
      </c>
      <c r="M21" s="205" t="s">
        <v>23</v>
      </c>
      <c r="N21" s="229">
        <f>21840+9924</f>
        <v>31764</v>
      </c>
      <c r="O21" s="145">
        <v>2821</v>
      </c>
      <c r="P21" s="205" t="s">
        <v>23</v>
      </c>
      <c r="Q21" s="178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6">
        <v>2821</v>
      </c>
      <c r="AE21" s="76" t="s">
        <v>23</v>
      </c>
      <c r="AF21" s="82">
        <f t="shared" ref="AF21:AL21" si="20">AF12/(1/12/0.63*100)</f>
        <v>0</v>
      </c>
      <c r="AG21" s="82">
        <f t="shared" si="20"/>
        <v>0</v>
      </c>
      <c r="AH21" s="82">
        <f t="shared" si="20"/>
        <v>12755.685600000001</v>
      </c>
      <c r="AI21" s="82">
        <f t="shared" si="20"/>
        <v>2751.3108000000002</v>
      </c>
      <c r="AJ21" s="82">
        <f t="shared" si="20"/>
        <v>4669.3584000000001</v>
      </c>
      <c r="AK21" s="82">
        <f t="shared" si="20"/>
        <v>0</v>
      </c>
      <c r="AL21" s="82">
        <f t="shared" si="20"/>
        <v>0</v>
      </c>
      <c r="AM21" s="83">
        <f>SUM(AF21:AL21)</f>
        <v>20176.354800000001</v>
      </c>
      <c r="AN21" s="74"/>
      <c r="AO21" s="215" t="s">
        <v>9</v>
      </c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</row>
    <row r="22" spans="1:68" ht="15" x14ac:dyDescent="0.25">
      <c r="A22" s="13"/>
      <c r="B22" s="216" t="s">
        <v>42</v>
      </c>
      <c r="C22" s="85" t="s">
        <v>19</v>
      </c>
      <c r="D22" s="179"/>
      <c r="E22" s="147">
        <v>16500</v>
      </c>
      <c r="F22" s="137">
        <v>2395</v>
      </c>
      <c r="G22" s="137" t="s">
        <v>22</v>
      </c>
      <c r="H22" s="176">
        <v>8982</v>
      </c>
      <c r="I22" s="135">
        <v>2395</v>
      </c>
      <c r="J22" s="135" t="s">
        <v>22</v>
      </c>
      <c r="K22" s="147">
        <v>15000</v>
      </c>
      <c r="L22" s="138">
        <v>1564</v>
      </c>
      <c r="M22" s="138" t="s">
        <v>11</v>
      </c>
      <c r="N22" s="176">
        <v>15792</v>
      </c>
      <c r="O22" s="138">
        <v>1564</v>
      </c>
      <c r="P22" s="138" t="s">
        <v>11</v>
      </c>
      <c r="Q22" s="181"/>
      <c r="R22" s="81"/>
      <c r="S22" s="94">
        <v>1564</v>
      </c>
      <c r="T22" s="95" t="s">
        <v>11</v>
      </c>
      <c r="U22" s="96">
        <f>U10*12*0.65/100</f>
        <v>16380</v>
      </c>
      <c r="V22" s="96">
        <f>V10*12*0.65/100</f>
        <v>20280</v>
      </c>
      <c r="W22" s="96">
        <f>SUM(U22:V22)</f>
        <v>36660</v>
      </c>
      <c r="X22" s="96">
        <v>28782</v>
      </c>
      <c r="Y22" s="96">
        <f>W22-X22</f>
        <v>7878</v>
      </c>
      <c r="Z22" s="74"/>
      <c r="AA22" s="74"/>
      <c r="AB22" s="74"/>
      <c r="AC22" s="74"/>
      <c r="AD22" s="76">
        <v>6843</v>
      </c>
      <c r="AE22" s="76" t="s">
        <v>26</v>
      </c>
      <c r="AF22" s="82">
        <f t="shared" ref="AF22:AL23" si="21">AF13/(1/12/0.62*100)</f>
        <v>3708.6912000000002</v>
      </c>
      <c r="AG22" s="82">
        <f t="shared" si="21"/>
        <v>10517.407200000001</v>
      </c>
      <c r="AH22" s="82">
        <f t="shared" si="21"/>
        <v>0</v>
      </c>
      <c r="AI22" s="82">
        <f t="shared" si="21"/>
        <v>0</v>
      </c>
      <c r="AJ22" s="82">
        <f t="shared" si="21"/>
        <v>0</v>
      </c>
      <c r="AK22" s="82">
        <f t="shared" si="21"/>
        <v>0</v>
      </c>
      <c r="AL22" s="82">
        <f t="shared" si="21"/>
        <v>0</v>
      </c>
      <c r="AM22" s="83">
        <f>SUM(AF22:AL22)</f>
        <v>14226.098400000003</v>
      </c>
      <c r="AN22" s="74"/>
      <c r="AO22" s="79" t="s">
        <v>7</v>
      </c>
      <c r="AP22" s="79" t="s">
        <v>8</v>
      </c>
      <c r="AQ22" s="80">
        <f>AQ9</f>
        <v>45985</v>
      </c>
      <c r="AR22" s="80">
        <f t="shared" ref="AR22:AW22" si="22">AR9</f>
        <v>45986</v>
      </c>
      <c r="AS22" s="80">
        <f t="shared" si="22"/>
        <v>45987</v>
      </c>
      <c r="AT22" s="80">
        <f t="shared" si="22"/>
        <v>45988</v>
      </c>
      <c r="AU22" s="80">
        <f t="shared" si="22"/>
        <v>45989</v>
      </c>
      <c r="AV22" s="80">
        <f t="shared" si="22"/>
        <v>45990</v>
      </c>
      <c r="AW22" s="80">
        <f t="shared" si="22"/>
        <v>45991</v>
      </c>
      <c r="AX22" s="79" t="s">
        <v>34</v>
      </c>
      <c r="AY22" s="74"/>
      <c r="AZ22" s="74"/>
      <c r="BA22" s="74"/>
      <c r="BB22" s="74"/>
    </row>
    <row r="23" spans="1:68" ht="15.75" x14ac:dyDescent="0.25">
      <c r="A23" s="13"/>
      <c r="B23" s="221"/>
      <c r="C23" s="86" t="s">
        <v>20</v>
      </c>
      <c r="D23" s="182"/>
      <c r="E23" s="148">
        <v>16500</v>
      </c>
      <c r="F23" s="141">
        <v>1564</v>
      </c>
      <c r="G23" s="141" t="s">
        <v>11</v>
      </c>
      <c r="H23" s="183">
        <v>14952</v>
      </c>
      <c r="I23" s="141">
        <v>1564</v>
      </c>
      <c r="J23" s="141" t="s">
        <v>11</v>
      </c>
      <c r="K23" s="148">
        <v>30000</v>
      </c>
      <c r="L23" s="256">
        <v>1564</v>
      </c>
      <c r="M23" s="257" t="s">
        <v>11</v>
      </c>
      <c r="N23" s="183">
        <v>31752</v>
      </c>
      <c r="O23" s="256">
        <v>1564</v>
      </c>
      <c r="P23" s="257" t="s">
        <v>11</v>
      </c>
      <c r="Q23" s="184"/>
      <c r="R23" s="81"/>
      <c r="S23" s="97">
        <v>2395</v>
      </c>
      <c r="T23" s="98" t="s">
        <v>22</v>
      </c>
      <c r="U23" s="99">
        <f>U11*12*0.62/100</f>
        <v>7365.6</v>
      </c>
      <c r="V23" s="99">
        <f>V11*12*0.62/100</f>
        <v>0</v>
      </c>
      <c r="W23" s="99">
        <f t="shared" ref="W23:W28" si="23">SUM(U23:V23)</f>
        <v>7365.6</v>
      </c>
      <c r="X23" s="99">
        <v>10416</v>
      </c>
      <c r="Y23" s="99">
        <f t="shared" ref="Y23:Y28" si="24">W23-X23</f>
        <v>-3050.3999999999996</v>
      </c>
      <c r="Z23" s="82"/>
      <c r="AA23" s="92" t="s">
        <v>43</v>
      </c>
      <c r="AB23" s="92" t="s">
        <v>33</v>
      </c>
      <c r="AC23" s="74"/>
      <c r="AD23" s="76">
        <v>6842</v>
      </c>
      <c r="AE23" s="76" t="s">
        <v>29</v>
      </c>
      <c r="AF23" s="82">
        <f t="shared" si="21"/>
        <v>0</v>
      </c>
      <c r="AG23" s="82">
        <f t="shared" si="21"/>
        <v>0</v>
      </c>
      <c r="AH23" s="82">
        <f t="shared" si="21"/>
        <v>0</v>
      </c>
      <c r="AI23" s="82">
        <f t="shared" si="21"/>
        <v>0</v>
      </c>
      <c r="AJ23" s="82">
        <f t="shared" si="21"/>
        <v>0</v>
      </c>
      <c r="AK23" s="82">
        <f t="shared" si="21"/>
        <v>0</v>
      </c>
      <c r="AL23" s="82">
        <f t="shared" si="21"/>
        <v>0</v>
      </c>
      <c r="AM23" s="83">
        <f>SUM(AF23:AL23)</f>
        <v>0</v>
      </c>
      <c r="AN23" s="74"/>
      <c r="AO23" s="76">
        <v>1564</v>
      </c>
      <c r="AP23" s="76" t="s">
        <v>11</v>
      </c>
      <c r="AQ23" s="185">
        <f>AQ10*12*0.65/100</f>
        <v>7556.3280000000004</v>
      </c>
      <c r="AR23" s="185">
        <f t="shared" ref="AR23:AW23" si="25">AR10*12*0.65/100</f>
        <v>6797.2320000000009</v>
      </c>
      <c r="AS23" s="185">
        <f t="shared" si="25"/>
        <v>0</v>
      </c>
      <c r="AT23" s="185">
        <f t="shared" si="25"/>
        <v>0</v>
      </c>
      <c r="AU23" s="185">
        <f t="shared" si="25"/>
        <v>2453.2559999999999</v>
      </c>
      <c r="AV23" s="185">
        <f t="shared" si="25"/>
        <v>7346.6640000000007</v>
      </c>
      <c r="AW23" s="185">
        <f t="shared" si="25"/>
        <v>7254.9359999999997</v>
      </c>
      <c r="AX23" s="220">
        <f>SUM(AQ23:AW23)</f>
        <v>31408.416000000005</v>
      </c>
      <c r="AY23" s="74"/>
      <c r="AZ23" s="74"/>
      <c r="BA23" s="74"/>
      <c r="BB23" s="74"/>
    </row>
    <row r="24" spans="1:68" ht="15" x14ac:dyDescent="0.25">
      <c r="A24" s="13"/>
      <c r="B24" s="216">
        <f>+B21+1</f>
        <v>45990</v>
      </c>
      <c r="C24" s="87" t="s">
        <v>10</v>
      </c>
      <c r="D24" s="175"/>
      <c r="E24" s="134">
        <v>16500</v>
      </c>
      <c r="F24" s="138">
        <v>1564</v>
      </c>
      <c r="G24" s="138" t="s">
        <v>11</v>
      </c>
      <c r="H24" s="229">
        <v>15456</v>
      </c>
      <c r="I24" s="138">
        <v>1564</v>
      </c>
      <c r="J24" s="138" t="s">
        <v>11</v>
      </c>
      <c r="K24" s="134">
        <v>30000</v>
      </c>
      <c r="L24" s="259">
        <v>1564</v>
      </c>
      <c r="M24" s="259" t="s">
        <v>11</v>
      </c>
      <c r="N24" s="134">
        <v>25368</v>
      </c>
      <c r="O24" s="259">
        <v>1564</v>
      </c>
      <c r="P24" s="259" t="s">
        <v>11</v>
      </c>
      <c r="Q24" s="178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10096.002</v>
      </c>
      <c r="W24" s="102">
        <f t="shared" si="23"/>
        <v>10096.002</v>
      </c>
      <c r="X24" s="102">
        <v>10962</v>
      </c>
      <c r="Y24" s="102">
        <f t="shared" si="24"/>
        <v>-865.99799999999959</v>
      </c>
      <c r="Z24" s="74"/>
      <c r="AA24" s="116" t="s">
        <v>44</v>
      </c>
      <c r="AB24" s="117">
        <f>W22+W25</f>
        <v>36660</v>
      </c>
      <c r="AC24" s="74"/>
      <c r="AD24" s="74"/>
      <c r="AE24" s="74"/>
      <c r="AF24" s="83">
        <f t="shared" ref="AF24:AL24" si="26">+SUM(AF19:AF23)</f>
        <v>17421.949200000003</v>
      </c>
      <c r="AG24" s="83">
        <f t="shared" si="26"/>
        <v>17314.639200000001</v>
      </c>
      <c r="AH24" s="83">
        <f t="shared" si="26"/>
        <v>15483.189600000002</v>
      </c>
      <c r="AI24" s="83">
        <f t="shared" si="26"/>
        <v>9808.8948000000019</v>
      </c>
      <c r="AJ24" s="83">
        <f t="shared" si="26"/>
        <v>18614.4336</v>
      </c>
      <c r="AK24" s="83">
        <f t="shared" si="26"/>
        <v>20997.288</v>
      </c>
      <c r="AL24" s="83">
        <f t="shared" si="26"/>
        <v>21384.792000000001</v>
      </c>
      <c r="AM24" s="83">
        <f>SUM(AM19:AM23)</f>
        <v>121025.18640000001</v>
      </c>
      <c r="AN24" s="74"/>
      <c r="AO24" s="76">
        <v>2395</v>
      </c>
      <c r="AP24" s="76" t="s">
        <v>22</v>
      </c>
      <c r="AQ24" s="185">
        <f>AQ11*12*0.62/100</f>
        <v>0</v>
      </c>
      <c r="AR24" s="185">
        <f t="shared" ref="AR24:AW24" si="27">AR11*12*0.62/100</f>
        <v>0</v>
      </c>
      <c r="AS24" s="185">
        <f t="shared" si="27"/>
        <v>2727.5040000000004</v>
      </c>
      <c r="AT24" s="185">
        <f t="shared" si="27"/>
        <v>7057.5839999999998</v>
      </c>
      <c r="AU24" s="185">
        <f t="shared" si="27"/>
        <v>4273.3872000000001</v>
      </c>
      <c r="AV24" s="185">
        <f t="shared" si="27"/>
        <v>0</v>
      </c>
      <c r="AW24" s="185">
        <f t="shared" si="27"/>
        <v>0</v>
      </c>
      <c r="AX24" s="220">
        <f t="shared" ref="AX24" si="28">SUM(AQ24:AW24)</f>
        <v>14058.475200000001</v>
      </c>
      <c r="AY24" s="74"/>
      <c r="AZ24" s="74"/>
      <c r="BA24" s="74"/>
      <c r="BB24" s="74"/>
    </row>
    <row r="25" spans="1:68" s="293" customFormat="1" ht="15" x14ac:dyDescent="0.25">
      <c r="A25" s="275"/>
      <c r="B25" s="276" t="s">
        <v>45</v>
      </c>
      <c r="C25" s="277" t="s">
        <v>19</v>
      </c>
      <c r="D25" s="278"/>
      <c r="E25" s="279">
        <v>16500</v>
      </c>
      <c r="F25" s="280">
        <v>1564</v>
      </c>
      <c r="G25" s="280" t="s">
        <v>11</v>
      </c>
      <c r="H25" s="281">
        <v>14280</v>
      </c>
      <c r="I25" s="280">
        <v>1564</v>
      </c>
      <c r="J25" s="280" t="s">
        <v>11</v>
      </c>
      <c r="K25" s="279">
        <v>30000</v>
      </c>
      <c r="L25" s="280">
        <v>1564</v>
      </c>
      <c r="M25" s="280" t="s">
        <v>11</v>
      </c>
      <c r="N25" s="279">
        <v>29064</v>
      </c>
      <c r="O25" s="280">
        <v>1564</v>
      </c>
      <c r="P25" s="280" t="s">
        <v>11</v>
      </c>
      <c r="Q25" s="282"/>
      <c r="R25" s="283"/>
      <c r="S25" s="284">
        <v>5037</v>
      </c>
      <c r="T25" s="285" t="s">
        <v>25</v>
      </c>
      <c r="U25" s="286">
        <f>U13*12/100</f>
        <v>0</v>
      </c>
      <c r="V25" s="286">
        <f>V13*12/100</f>
        <v>0</v>
      </c>
      <c r="W25" s="286">
        <f t="shared" si="23"/>
        <v>0</v>
      </c>
      <c r="X25" s="286">
        <v>0</v>
      </c>
      <c r="Y25" s="286">
        <f t="shared" si="24"/>
        <v>0</v>
      </c>
      <c r="Z25" s="287"/>
      <c r="AA25" s="288" t="s">
        <v>46</v>
      </c>
      <c r="AB25" s="289">
        <f>W23+W26</f>
        <v>7365.6</v>
      </c>
      <c r="AC25" s="287"/>
      <c r="AD25" s="290"/>
      <c r="AE25" s="290"/>
      <c r="AF25" s="290"/>
      <c r="AG25" s="290"/>
      <c r="AH25" s="290"/>
      <c r="AI25" s="290"/>
      <c r="AJ25" s="290"/>
      <c r="AK25" s="290"/>
      <c r="AL25" s="290"/>
      <c r="AM25" s="290"/>
      <c r="AN25" s="287"/>
      <c r="AO25" s="287"/>
      <c r="AP25" s="287"/>
      <c r="AQ25" s="291">
        <f>SUM(AQ23:AQ24)</f>
        <v>7556.3280000000004</v>
      </c>
      <c r="AR25" s="291">
        <f t="shared" ref="AR25:AX25" si="29">SUM(AR23:AR24)</f>
        <v>6797.2320000000009</v>
      </c>
      <c r="AS25" s="291">
        <f t="shared" si="29"/>
        <v>2727.5040000000004</v>
      </c>
      <c r="AT25" s="291">
        <f t="shared" si="29"/>
        <v>7057.5839999999998</v>
      </c>
      <c r="AU25" s="291">
        <f t="shared" si="29"/>
        <v>6726.6432000000004</v>
      </c>
      <c r="AV25" s="291">
        <f t="shared" si="29"/>
        <v>7346.6640000000007</v>
      </c>
      <c r="AW25" s="291">
        <f t="shared" si="29"/>
        <v>7254.9359999999997</v>
      </c>
      <c r="AX25" s="292">
        <f t="shared" si="29"/>
        <v>45466.891200000005</v>
      </c>
      <c r="AY25" s="287"/>
      <c r="AZ25" s="287"/>
      <c r="BA25" s="287"/>
      <c r="BB25" s="287"/>
      <c r="BC25" s="290"/>
      <c r="BD25" s="290"/>
      <c r="BE25" s="290"/>
      <c r="BF25" s="290"/>
      <c r="BG25" s="290"/>
      <c r="BH25" s="290"/>
      <c r="BI25" s="290"/>
      <c r="BJ25" s="290"/>
      <c r="BK25" s="290"/>
      <c r="BL25" s="290"/>
      <c r="BM25" s="290"/>
      <c r="BN25" s="290"/>
      <c r="BO25" s="290"/>
      <c r="BP25" s="290"/>
    </row>
    <row r="26" spans="1:68" ht="15" x14ac:dyDescent="0.25">
      <c r="A26" s="13"/>
      <c r="B26" s="221"/>
      <c r="C26" s="294" t="s">
        <v>20</v>
      </c>
      <c r="D26" s="295"/>
      <c r="E26" s="139">
        <v>16500</v>
      </c>
      <c r="F26" s="260">
        <v>1564</v>
      </c>
      <c r="G26" s="260" t="s">
        <v>11</v>
      </c>
      <c r="H26" s="296">
        <v>14952</v>
      </c>
      <c r="I26" s="260">
        <v>1564</v>
      </c>
      <c r="J26" s="260" t="s">
        <v>11</v>
      </c>
      <c r="K26" s="139">
        <v>30000</v>
      </c>
      <c r="L26" s="260">
        <v>1564</v>
      </c>
      <c r="M26" s="260" t="s">
        <v>11</v>
      </c>
      <c r="N26" s="139">
        <v>30576</v>
      </c>
      <c r="O26" s="260">
        <v>1564</v>
      </c>
      <c r="P26" s="260" t="s">
        <v>11</v>
      </c>
      <c r="Q26" s="297"/>
      <c r="R26" s="81"/>
      <c r="S26" s="298">
        <v>6788</v>
      </c>
      <c r="T26" s="299" t="s">
        <v>28</v>
      </c>
      <c r="U26" s="300">
        <f>U14*12/100</f>
        <v>0</v>
      </c>
      <c r="V26" s="300">
        <f>V14*12/100</f>
        <v>0</v>
      </c>
      <c r="W26" s="300">
        <f t="shared" si="23"/>
        <v>0</v>
      </c>
      <c r="X26" s="300">
        <v>0</v>
      </c>
      <c r="Y26" s="300">
        <f t="shared" si="24"/>
        <v>0</v>
      </c>
      <c r="Z26" s="74"/>
      <c r="AA26" s="301" t="s">
        <v>47</v>
      </c>
      <c r="AB26" s="302">
        <f>W24</f>
        <v>10096.002</v>
      </c>
      <c r="AC26" s="74"/>
      <c r="AN26" s="76"/>
      <c r="AO26" s="215" t="s">
        <v>27</v>
      </c>
      <c r="AP26" s="74"/>
      <c r="AQ26" s="74"/>
      <c r="AR26" s="74"/>
      <c r="AS26" s="74"/>
      <c r="AT26" s="74"/>
      <c r="AU26" s="74"/>
      <c r="AV26" s="74"/>
      <c r="AW26" s="74"/>
      <c r="AX26" s="83"/>
      <c r="AY26" s="74"/>
      <c r="AZ26" s="74"/>
      <c r="BA26" s="74"/>
      <c r="BB26" s="74"/>
    </row>
    <row r="27" spans="1:68" ht="15" x14ac:dyDescent="0.25">
      <c r="A27" s="13"/>
      <c r="B27" s="216">
        <f>+B24+1</f>
        <v>45991</v>
      </c>
      <c r="C27" s="87" t="s">
        <v>10</v>
      </c>
      <c r="D27" s="175"/>
      <c r="E27" s="134">
        <v>16500</v>
      </c>
      <c r="F27" s="136">
        <v>1564</v>
      </c>
      <c r="G27" s="136" t="s">
        <v>11</v>
      </c>
      <c r="H27" s="186">
        <v>13944</v>
      </c>
      <c r="I27" s="136">
        <v>1564</v>
      </c>
      <c r="J27" s="136" t="s">
        <v>11</v>
      </c>
      <c r="K27" s="134">
        <v>30000</v>
      </c>
      <c r="L27" s="136">
        <v>1564</v>
      </c>
      <c r="M27" s="136" t="s">
        <v>11</v>
      </c>
      <c r="N27" s="134">
        <v>31080</v>
      </c>
      <c r="O27" s="136">
        <v>1564</v>
      </c>
      <c r="P27" s="136" t="s">
        <v>11</v>
      </c>
      <c r="Q27" s="178"/>
      <c r="R27" s="81"/>
      <c r="S27" s="109">
        <v>6841</v>
      </c>
      <c r="T27" s="110" t="s">
        <v>26</v>
      </c>
      <c r="U27" s="111">
        <f>U15*12*0.62/100</f>
        <v>0</v>
      </c>
      <c r="V27" s="111">
        <f t="shared" ref="V27:V28" si="30">V15*12*0.62/100</f>
        <v>6767.7959999999994</v>
      </c>
      <c r="W27" s="111">
        <f t="shared" si="23"/>
        <v>6767.7959999999994</v>
      </c>
      <c r="X27" s="111">
        <v>0</v>
      </c>
      <c r="Y27" s="111">
        <f t="shared" si="24"/>
        <v>6767.7959999999994</v>
      </c>
      <c r="Z27" s="74"/>
      <c r="AA27" s="124" t="s">
        <v>48</v>
      </c>
      <c r="AB27" s="125">
        <f>W27</f>
        <v>6767.7959999999994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9" t="s">
        <v>7</v>
      </c>
      <c r="AP27" s="79" t="s">
        <v>8</v>
      </c>
      <c r="AQ27" s="80">
        <f>AQ22</f>
        <v>45985</v>
      </c>
      <c r="AR27" s="80">
        <f t="shared" ref="AR27:AW27" si="31">AR22</f>
        <v>45986</v>
      </c>
      <c r="AS27" s="80">
        <f t="shared" si="31"/>
        <v>45987</v>
      </c>
      <c r="AT27" s="80">
        <f t="shared" si="31"/>
        <v>45988</v>
      </c>
      <c r="AU27" s="80">
        <f t="shared" si="31"/>
        <v>45989</v>
      </c>
      <c r="AV27" s="80">
        <f t="shared" si="31"/>
        <v>45990</v>
      </c>
      <c r="AW27" s="80">
        <f t="shared" si="31"/>
        <v>45991</v>
      </c>
      <c r="AX27" s="79" t="s">
        <v>34</v>
      </c>
      <c r="AY27" s="74"/>
      <c r="AZ27" s="74"/>
      <c r="BA27" s="74"/>
      <c r="BB27" s="74"/>
    </row>
    <row r="28" spans="1:68" ht="15" x14ac:dyDescent="0.25">
      <c r="A28" s="13"/>
      <c r="B28" s="216" t="s">
        <v>49</v>
      </c>
      <c r="C28" s="85" t="s">
        <v>19</v>
      </c>
      <c r="D28" s="179"/>
      <c r="E28" s="147">
        <v>16500</v>
      </c>
      <c r="F28" s="138">
        <v>1564</v>
      </c>
      <c r="G28" s="138" t="s">
        <v>11</v>
      </c>
      <c r="H28" s="206">
        <v>14952</v>
      </c>
      <c r="I28" s="138">
        <v>1564</v>
      </c>
      <c r="J28" s="138" t="s">
        <v>11</v>
      </c>
      <c r="K28" s="134">
        <v>30000</v>
      </c>
      <c r="L28" s="138">
        <v>1564</v>
      </c>
      <c r="M28" s="138" t="s">
        <v>11</v>
      </c>
      <c r="N28" s="134">
        <v>30072</v>
      </c>
      <c r="O28" s="138">
        <v>1564</v>
      </c>
      <c r="P28" s="138" t="s">
        <v>11</v>
      </c>
      <c r="Q28" s="181"/>
      <c r="R28" s="81"/>
      <c r="S28" s="112">
        <v>6842</v>
      </c>
      <c r="T28" s="113" t="s">
        <v>29</v>
      </c>
      <c r="U28" s="114">
        <f t="shared" ref="U28" si="32">U16*12*0.62/100</f>
        <v>0</v>
      </c>
      <c r="V28" s="114">
        <f t="shared" si="30"/>
        <v>0</v>
      </c>
      <c r="W28" s="114">
        <f t="shared" si="23"/>
        <v>0</v>
      </c>
      <c r="X28" s="114">
        <v>0</v>
      </c>
      <c r="Y28" s="114">
        <f t="shared" si="24"/>
        <v>0</v>
      </c>
      <c r="Z28" s="74"/>
      <c r="AA28" s="122" t="s">
        <v>50</v>
      </c>
      <c r="AB28" s="123">
        <f>W28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>
        <v>1564</v>
      </c>
      <c r="AP28" s="76" t="s">
        <v>11</v>
      </c>
      <c r="AQ28" s="185">
        <f>AQ15*12*0.65/100</f>
        <v>6156.93</v>
      </c>
      <c r="AR28" s="185">
        <f t="shared" ref="AR28:AW28" si="33">AR15*12*0.65/100</f>
        <v>0</v>
      </c>
      <c r="AS28" s="185">
        <f t="shared" si="33"/>
        <v>0</v>
      </c>
      <c r="AT28" s="185">
        <f t="shared" si="33"/>
        <v>0</v>
      </c>
      <c r="AU28" s="185">
        <f t="shared" si="33"/>
        <v>7218.4320000000007</v>
      </c>
      <c r="AV28" s="185">
        <f t="shared" si="33"/>
        <v>13650.624000000002</v>
      </c>
      <c r="AW28" s="185">
        <f t="shared" si="33"/>
        <v>14129.856000000002</v>
      </c>
      <c r="AX28" s="220">
        <f>SUM(AQ28:AW28)</f>
        <v>41155.842000000004</v>
      </c>
      <c r="AY28" s="74"/>
      <c r="AZ28" s="74"/>
      <c r="BA28" s="74"/>
      <c r="BB28" s="74"/>
    </row>
    <row r="29" spans="1:68" ht="17.25" x14ac:dyDescent="0.25">
      <c r="A29" s="13"/>
      <c r="B29" s="221"/>
      <c r="C29" s="86" t="s">
        <v>20</v>
      </c>
      <c r="D29" s="182"/>
      <c r="E29" s="148">
        <v>16500</v>
      </c>
      <c r="F29" s="141">
        <v>1564</v>
      </c>
      <c r="G29" s="141" t="s">
        <v>11</v>
      </c>
      <c r="H29" s="235">
        <v>14616</v>
      </c>
      <c r="I29" s="141">
        <v>1564</v>
      </c>
      <c r="J29" s="141" t="s">
        <v>11</v>
      </c>
      <c r="K29" s="148">
        <v>30000</v>
      </c>
      <c r="L29" s="260">
        <v>1564</v>
      </c>
      <c r="M29" s="260" t="s">
        <v>11</v>
      </c>
      <c r="N29" s="148">
        <v>30000</v>
      </c>
      <c r="O29" s="260">
        <v>1564</v>
      </c>
      <c r="P29" s="260" t="s">
        <v>11</v>
      </c>
      <c r="Q29" s="181"/>
      <c r="R29" s="81"/>
      <c r="S29" s="74"/>
      <c r="T29" s="126" t="s">
        <v>39</v>
      </c>
      <c r="U29" s="127">
        <f>SUM(U22:U28)</f>
        <v>23745.599999999999</v>
      </c>
      <c r="V29" s="127">
        <f>SUM(V22:V28)</f>
        <v>37143.798000000003</v>
      </c>
      <c r="W29" s="127">
        <f>SUM(W22:W28)</f>
        <v>60889.398000000001</v>
      </c>
      <c r="X29" s="127">
        <f>SUM(X22:X28)</f>
        <v>50160</v>
      </c>
      <c r="Y29" s="127">
        <f>SUM(Y22:Y28)</f>
        <v>10729.398000000001</v>
      </c>
      <c r="Z29" s="74"/>
      <c r="AA29" s="92" t="s">
        <v>51</v>
      </c>
      <c r="AB29" s="93">
        <f>SUM(AB24:AB28)</f>
        <v>60889.398000000001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>
        <v>2821</v>
      </c>
      <c r="AP29" s="76" t="s">
        <v>23</v>
      </c>
      <c r="AQ29" s="185">
        <f>AQ16*12*0.63/100</f>
        <v>0</v>
      </c>
      <c r="AR29" s="185">
        <f t="shared" ref="AR29:AW29" si="34">AR16*12*0.63/100</f>
        <v>0</v>
      </c>
      <c r="AS29" s="185">
        <f t="shared" si="34"/>
        <v>12755.685600000001</v>
      </c>
      <c r="AT29" s="185">
        <f t="shared" si="34"/>
        <v>2751.3108000000002</v>
      </c>
      <c r="AU29" s="185">
        <f t="shared" si="34"/>
        <v>4669.3584000000001</v>
      </c>
      <c r="AV29" s="185">
        <f t="shared" si="34"/>
        <v>0</v>
      </c>
      <c r="AW29" s="185">
        <f t="shared" si="34"/>
        <v>0</v>
      </c>
      <c r="AX29" s="220">
        <f t="shared" ref="AX29:AX31" si="35">SUM(AQ29:AW29)</f>
        <v>20176.354800000001</v>
      </c>
      <c r="AY29" s="74"/>
      <c r="AZ29" s="74"/>
      <c r="BA29" s="74"/>
      <c r="BB29" s="74"/>
    </row>
    <row r="30" spans="1:68" ht="15" x14ac:dyDescent="0.2">
      <c r="A30" s="19"/>
      <c r="B30" s="67"/>
      <c r="C30" s="67"/>
      <c r="D30" s="67"/>
      <c r="E30" s="67" t="s">
        <v>52</v>
      </c>
      <c r="F30" s="67"/>
      <c r="G30" s="272">
        <f>SUM(E23:E29)</f>
        <v>115500</v>
      </c>
      <c r="H30" s="67"/>
      <c r="I30" s="67"/>
      <c r="J30" s="67"/>
      <c r="K30" s="67"/>
      <c r="L30" s="67" t="s">
        <v>52</v>
      </c>
      <c r="M30" s="67"/>
      <c r="N30" s="273">
        <f>SUM(K22:K29)</f>
        <v>225000</v>
      </c>
      <c r="O30" s="67"/>
      <c r="P30" s="67"/>
      <c r="Q30" s="67"/>
      <c r="R30" s="214">
        <f>+N30+G30</f>
        <v>340500</v>
      </c>
      <c r="S30" s="82"/>
      <c r="T30" s="82"/>
      <c r="U30" s="74"/>
      <c r="V30" s="74"/>
      <c r="W30" s="74"/>
      <c r="X30" s="74"/>
      <c r="Y30" s="74"/>
      <c r="Z30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6">
        <v>6843</v>
      </c>
      <c r="AP30" s="76" t="s">
        <v>26</v>
      </c>
      <c r="AQ30" s="185">
        <f>AQ17*12*0.62/100</f>
        <v>3708.6911999999998</v>
      </c>
      <c r="AR30" s="185">
        <f t="shared" ref="AR30:AW31" si="36">AR17*12*0.62/100</f>
        <v>10517.4072</v>
      </c>
      <c r="AS30" s="185">
        <f t="shared" si="36"/>
        <v>0</v>
      </c>
      <c r="AT30" s="185">
        <f t="shared" si="36"/>
        <v>0</v>
      </c>
      <c r="AU30" s="185">
        <f t="shared" si="36"/>
        <v>0</v>
      </c>
      <c r="AV30" s="185">
        <f t="shared" si="36"/>
        <v>0</v>
      </c>
      <c r="AW30" s="185">
        <f t="shared" si="36"/>
        <v>0</v>
      </c>
      <c r="AX30" s="220">
        <f t="shared" si="35"/>
        <v>14226.098399999999</v>
      </c>
      <c r="AY30" s="74"/>
      <c r="AZ30" s="74"/>
      <c r="BA30" s="74"/>
      <c r="BB30" s="74"/>
    </row>
    <row r="31" spans="1:68" s="10" customFormat="1" ht="15" x14ac:dyDescent="0.2">
      <c r="A31" s="9"/>
      <c r="B31"/>
      <c r="C31"/>
      <c r="D31"/>
      <c r="E31" t="s">
        <v>53</v>
      </c>
      <c r="F31"/>
      <c r="G31" s="149">
        <f>SUM(H23:H25)</f>
        <v>44688</v>
      </c>
      <c r="H31"/>
      <c r="I31"/>
      <c r="J31"/>
      <c r="K31"/>
      <c r="L31" t="s">
        <v>53</v>
      </c>
      <c r="M31"/>
      <c r="N31" s="149">
        <f>SUM(N22:N25)</f>
        <v>101976</v>
      </c>
      <c r="O31"/>
      <c r="P31">
        <v>32000</v>
      </c>
      <c r="Q31"/>
      <c r="R31"/>
      <c r="S31"/>
      <c r="U31"/>
      <c r="V31"/>
      <c r="W31"/>
      <c r="X31"/>
      <c r="Y31"/>
      <c r="Z31"/>
      <c r="AA31"/>
      <c r="AO31" s="76">
        <v>6842</v>
      </c>
      <c r="AP31" s="76" t="s">
        <v>29</v>
      </c>
      <c r="AQ31" s="185">
        <f>AQ18*12*0.62/100</f>
        <v>0</v>
      </c>
      <c r="AR31" s="185">
        <f t="shared" si="36"/>
        <v>0</v>
      </c>
      <c r="AS31" s="185">
        <f t="shared" si="36"/>
        <v>0</v>
      </c>
      <c r="AT31" s="185">
        <f t="shared" si="36"/>
        <v>0</v>
      </c>
      <c r="AU31" s="185">
        <f t="shared" si="36"/>
        <v>0</v>
      </c>
      <c r="AV31" s="185">
        <f t="shared" si="36"/>
        <v>0</v>
      </c>
      <c r="AW31" s="185">
        <f t="shared" si="36"/>
        <v>0</v>
      </c>
      <c r="AX31" s="220">
        <f t="shared" si="35"/>
        <v>0</v>
      </c>
    </row>
    <row r="32" spans="1:68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U32"/>
      <c r="V32"/>
      <c r="W32"/>
      <c r="X32"/>
      <c r="Y32"/>
      <c r="Z32"/>
      <c r="AA32"/>
      <c r="AO32" s="74"/>
      <c r="AP32" s="74"/>
      <c r="AQ32" s="224">
        <f>SUM(AQ28:AQ31)</f>
        <v>9865.6211999999996</v>
      </c>
      <c r="AR32" s="224">
        <f t="shared" ref="AR32:AW32" si="37">SUM(AR28:AR31)</f>
        <v>10517.4072</v>
      </c>
      <c r="AS32" s="224">
        <f t="shared" si="37"/>
        <v>12755.685600000001</v>
      </c>
      <c r="AT32" s="224">
        <f t="shared" si="37"/>
        <v>2751.3108000000002</v>
      </c>
      <c r="AU32" s="224">
        <f t="shared" si="37"/>
        <v>11887.790400000002</v>
      </c>
      <c r="AV32" s="224">
        <f t="shared" si="37"/>
        <v>13650.624000000002</v>
      </c>
      <c r="AW32" s="224">
        <f t="shared" si="37"/>
        <v>14129.856000000002</v>
      </c>
      <c r="AX32" s="224">
        <f>SUM(AX28:AX31)</f>
        <v>75558.295200000008</v>
      </c>
    </row>
    <row r="33" spans="1:27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U33"/>
      <c r="V33"/>
      <c r="W33"/>
      <c r="X33"/>
      <c r="Y33"/>
      <c r="Z33"/>
      <c r="AA33"/>
    </row>
    <row r="34" spans="1:27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U34"/>
      <c r="V34"/>
      <c r="W34"/>
      <c r="X34"/>
      <c r="Y34"/>
      <c r="Z34"/>
      <c r="AA34"/>
    </row>
    <row r="35" spans="1:27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U35"/>
      <c r="V35"/>
      <c r="W35"/>
      <c r="X35"/>
      <c r="Y35"/>
      <c r="Z35"/>
      <c r="AA35"/>
    </row>
    <row r="36" spans="1:27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U36"/>
      <c r="V36"/>
      <c r="W36"/>
      <c r="X36"/>
      <c r="Y36"/>
      <c r="Z36"/>
      <c r="AA36"/>
    </row>
    <row r="37" spans="1:27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U37"/>
      <c r="V37"/>
      <c r="W37"/>
      <c r="X37"/>
      <c r="Y37"/>
      <c r="Z37"/>
      <c r="AA37"/>
    </row>
    <row r="38" spans="1:27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U38"/>
      <c r="V38"/>
      <c r="W38"/>
      <c r="X38"/>
      <c r="Y38"/>
      <c r="Z38"/>
      <c r="AA38"/>
    </row>
    <row r="39" spans="1:27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</row>
    <row r="40" spans="1:27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</row>
    <row r="41" spans="1:27" s="10" customFormat="1" ht="12.75" customHeight="1" x14ac:dyDescent="0.2">
      <c r="A41" s="9"/>
      <c r="B41"/>
      <c r="C41"/>
      <c r="D41"/>
      <c r="E41" t="s">
        <v>54</v>
      </c>
      <c r="F41"/>
      <c r="G41" s="271">
        <f>+G30-G31</f>
        <v>70812</v>
      </c>
      <c r="H41" s="274">
        <f>+G41/4</f>
        <v>17703</v>
      </c>
      <c r="I41">
        <v>17000</v>
      </c>
      <c r="J41">
        <f>+H41-I41</f>
        <v>703</v>
      </c>
      <c r="K41"/>
      <c r="L41" t="s">
        <v>54</v>
      </c>
      <c r="M41"/>
      <c r="N41" s="271">
        <f>+N30-N31+J42</f>
        <v>125836</v>
      </c>
      <c r="O41" s="274">
        <f>+N41/4</f>
        <v>31459</v>
      </c>
      <c r="P41">
        <v>32000</v>
      </c>
      <c r="Q41"/>
      <c r="R41"/>
      <c r="S41"/>
      <c r="U41"/>
      <c r="V41"/>
      <c r="W41"/>
      <c r="X41"/>
      <c r="Y41"/>
      <c r="Z41"/>
      <c r="AA41"/>
    </row>
    <row r="42" spans="1:27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103152</v>
      </c>
      <c r="H42"/>
      <c r="I42"/>
      <c r="J42">
        <f>+J41*4</f>
        <v>2812</v>
      </c>
      <c r="K42"/>
      <c r="L42"/>
      <c r="M42"/>
      <c r="N42" s="273">
        <f>SUM(N22:N29)</f>
        <v>223704</v>
      </c>
      <c r="O42"/>
      <c r="P42">
        <v>32000</v>
      </c>
      <c r="Q42"/>
      <c r="R42" s="149">
        <f>+N42+G42</f>
        <v>326856</v>
      </c>
      <c r="S42"/>
      <c r="U42"/>
      <c r="V42" s="10" t="s">
        <v>55</v>
      </c>
      <c r="W42"/>
      <c r="X42"/>
      <c r="Y42"/>
      <c r="Z42"/>
      <c r="AA42"/>
    </row>
    <row r="43" spans="1:27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 t="s">
        <v>59</v>
      </c>
      <c r="P43" t="s">
        <v>57</v>
      </c>
      <c r="Q43"/>
      <c r="R43"/>
      <c r="S43"/>
      <c r="U43"/>
      <c r="V43"/>
      <c r="W43"/>
      <c r="X43"/>
      <c r="Y43"/>
      <c r="Z43"/>
      <c r="AA43"/>
    </row>
    <row r="44" spans="1:27" s="10" customFormat="1" ht="48.75" customHeight="1" x14ac:dyDescent="0.25">
      <c r="A44" s="9"/>
      <c r="B44"/>
      <c r="C44"/>
      <c r="D44"/>
      <c r="E44" s="136" t="s">
        <v>11</v>
      </c>
      <c r="F44" s="149">
        <f>SUM(H9:H14,E23:E29)</f>
        <v>205020</v>
      </c>
      <c r="G44">
        <v>33000</v>
      </c>
      <c r="H44">
        <f>G44/12</f>
        <v>2750</v>
      </c>
      <c r="I44">
        <f>F44/H44</f>
        <v>74.552727272727267</v>
      </c>
      <c r="J44"/>
      <c r="K44"/>
      <c r="L44" s="136" t="s">
        <v>11</v>
      </c>
      <c r="M44" s="149">
        <f>SUM(N9:N10,K23:K29)</f>
        <v>253935</v>
      </c>
      <c r="N44">
        <v>60000</v>
      </c>
      <c r="O44">
        <f>N44/12</f>
        <v>5000</v>
      </c>
      <c r="P44">
        <f>M44/O44</f>
        <v>50.786999999999999</v>
      </c>
      <c r="Q44"/>
      <c r="R44"/>
      <c r="S44"/>
      <c r="T44"/>
      <c r="U44"/>
    </row>
    <row r="45" spans="1:27" s="10" customFormat="1" ht="21.75" customHeight="1" x14ac:dyDescent="0.25">
      <c r="A45" s="9"/>
      <c r="B45"/>
      <c r="C45"/>
      <c r="D45"/>
      <c r="E45" s="261" t="s">
        <v>22</v>
      </c>
      <c r="F45" s="149">
        <f>SUM(H17:H20,E21:E22)</f>
        <v>98520</v>
      </c>
      <c r="G45">
        <v>34000</v>
      </c>
      <c r="H45">
        <f>G45/12</f>
        <v>2833.3333333333335</v>
      </c>
      <c r="I45">
        <f>F45/H45</f>
        <v>34.771764705882354</v>
      </c>
      <c r="J45"/>
      <c r="K45"/>
      <c r="L45" s="255" t="s">
        <v>21</v>
      </c>
      <c r="M45" s="149">
        <f>SUM(N11:N14)</f>
        <v>100246</v>
      </c>
      <c r="N45">
        <v>55000</v>
      </c>
      <c r="O45">
        <f t="shared" ref="O45:O46" si="38">N45/12</f>
        <v>4583.333333333333</v>
      </c>
      <c r="P45">
        <f t="shared" ref="P45:P46" si="39">M45/O45</f>
        <v>21.871854545454546</v>
      </c>
      <c r="Q45"/>
      <c r="R45"/>
      <c r="S45"/>
      <c r="T45"/>
      <c r="U45"/>
    </row>
    <row r="46" spans="1:27" s="10" customFormat="1" ht="21.75" customHeight="1" x14ac:dyDescent="0.25">
      <c r="A46" s="9"/>
      <c r="B46"/>
      <c r="C46"/>
      <c r="D46"/>
      <c r="E46"/>
      <c r="F46"/>
      <c r="G46"/>
      <c r="H46"/>
      <c r="I46">
        <f>SUM(I44:I45)</f>
        <v>109.32449197860961</v>
      </c>
      <c r="J46"/>
      <c r="K46"/>
      <c r="L46" s="145" t="s">
        <v>23</v>
      </c>
      <c r="M46" s="149">
        <f>SUM(N15:N20,K21)</f>
        <v>131574</v>
      </c>
      <c r="N46">
        <v>60000</v>
      </c>
      <c r="O46">
        <f t="shared" si="38"/>
        <v>5000</v>
      </c>
      <c r="P46">
        <f t="shared" si="39"/>
        <v>26.314800000000002</v>
      </c>
      <c r="Q46"/>
      <c r="R46" t="s">
        <v>60</v>
      </c>
      <c r="S46"/>
      <c r="T46"/>
      <c r="U46"/>
    </row>
    <row r="47" spans="1:27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98.973654545454551</v>
      </c>
      <c r="Q47"/>
      <c r="R47">
        <f>P47+I46</f>
        <v>208.29814652406418</v>
      </c>
      <c r="S47"/>
      <c r="T47"/>
      <c r="U47"/>
    </row>
    <row r="48" spans="1:27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18"/>
    </row>
    <row r="49" spans="1:68" s="10" customFormat="1" ht="24" customHeight="1" x14ac:dyDescent="0.2">
      <c r="A49" s="9"/>
      <c r="B49"/>
      <c r="C49"/>
      <c r="D49"/>
      <c r="E49" t="s">
        <v>61</v>
      </c>
      <c r="F49" s="268">
        <f>COUNTA(C9:C29)-2</f>
        <v>19</v>
      </c>
      <c r="G49" s="268">
        <f>F49*8</f>
        <v>152</v>
      </c>
      <c r="H49" t="s">
        <v>62</v>
      </c>
      <c r="I49"/>
      <c r="J49"/>
      <c r="K49"/>
      <c r="L49" t="s">
        <v>63</v>
      </c>
      <c r="M49">
        <f>21-2</f>
        <v>19</v>
      </c>
      <c r="N49" t="s">
        <v>61</v>
      </c>
      <c r="O49">
        <f>M49*8-12</f>
        <v>140</v>
      </c>
      <c r="P49"/>
      <c r="Q49"/>
      <c r="R49"/>
      <c r="S49"/>
      <c r="T49"/>
      <c r="U49"/>
    </row>
    <row r="50" spans="1:68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68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68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68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68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68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68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68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68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68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64" t="s">
        <v>64</v>
      </c>
      <c r="S59"/>
    </row>
    <row r="60" spans="1:68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0.7192400788066422</v>
      </c>
      <c r="H60" s="267">
        <v>0.69</v>
      </c>
      <c r="I60"/>
      <c r="J60"/>
      <c r="K60"/>
      <c r="L60"/>
      <c r="M60"/>
      <c r="N60" s="262" t="s">
        <v>66</v>
      </c>
      <c r="O60" s="263">
        <f>P47/O49</f>
        <v>0.70695467532467537</v>
      </c>
      <c r="P60">
        <v>75.58</v>
      </c>
      <c r="R60" s="265">
        <f>R47/(O49+G49)</f>
        <v>0.71334981686323351</v>
      </c>
      <c r="S60"/>
    </row>
    <row r="61" spans="1:68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K61" s="62"/>
      <c r="L61" s="61"/>
      <c r="M61" s="62"/>
      <c r="N61" s="62"/>
      <c r="O61" s="61"/>
      <c r="P61" s="62"/>
      <c r="Q61" s="61"/>
      <c r="R61" s="62"/>
    </row>
    <row r="62" spans="1:68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</row>
    <row r="63" spans="1:68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0"/>
      <c r="R63" s="197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</row>
    <row r="64" spans="1:68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3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</row>
    <row r="66" spans="1:68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3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</row>
    <row r="67" spans="1:68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197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</row>
    <row r="68" spans="1:68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</row>
    <row r="70" spans="1:68" x14ac:dyDescent="0.2">
      <c r="E70" s="188"/>
      <c r="G70" s="18"/>
    </row>
    <row r="73" spans="1:68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U73" s="14" t="s">
        <v>71</v>
      </c>
      <c r="Y73" s="10" t="s">
        <v>57</v>
      </c>
    </row>
    <row r="74" spans="1:68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U74" s="10" t="s">
        <v>72</v>
      </c>
      <c r="V74" s="10">
        <v>8000</v>
      </c>
      <c r="W74" s="10">
        <f>V74*6</f>
        <v>48000</v>
      </c>
      <c r="X74" s="269">
        <v>5400</v>
      </c>
      <c r="Y74" s="10">
        <f>W74/X74</f>
        <v>8.8888888888888893</v>
      </c>
    </row>
    <row r="75" spans="1:68" ht="15" x14ac:dyDescent="0.25">
      <c r="E75" s="136" t="s">
        <v>11</v>
      </c>
      <c r="F75" s="149">
        <f>SUM(E23:E29)</f>
        <v>115500</v>
      </c>
      <c r="G75">
        <v>33000</v>
      </c>
      <c r="H75">
        <f>G75/12</f>
        <v>2750</v>
      </c>
      <c r="I75">
        <f>F75/H75</f>
        <v>42</v>
      </c>
      <c r="J75"/>
      <c r="K75"/>
      <c r="L75" s="136" t="s">
        <v>11</v>
      </c>
      <c r="M75" s="149">
        <f>SUM(K22:K29)</f>
        <v>225000</v>
      </c>
      <c r="N75">
        <v>60000</v>
      </c>
      <c r="O75">
        <f>N75/12</f>
        <v>5000</v>
      </c>
      <c r="P75">
        <f>M75/O75</f>
        <v>45</v>
      </c>
      <c r="Q75"/>
      <c r="R75"/>
      <c r="U75" s="10" t="s">
        <v>73</v>
      </c>
      <c r="V75" s="10">
        <v>4000</v>
      </c>
      <c r="W75" s="10">
        <f>V75*6</f>
        <v>24000</v>
      </c>
      <c r="X75" s="269">
        <v>6000</v>
      </c>
      <c r="Y75" s="10">
        <f t="shared" ref="Y75:Y76" si="40">W75/X75</f>
        <v>4</v>
      </c>
    </row>
    <row r="76" spans="1:68" ht="15" x14ac:dyDescent="0.25">
      <c r="E76" s="261" t="s">
        <v>22</v>
      </c>
      <c r="F76" s="149">
        <f>SUM(E21:E22)</f>
        <v>33000</v>
      </c>
      <c r="G76">
        <v>34000</v>
      </c>
      <c r="H76">
        <f>G76/12</f>
        <v>2833.3333333333335</v>
      </c>
      <c r="I76">
        <f>F76/H76</f>
        <v>11.647058823529411</v>
      </c>
      <c r="J76"/>
      <c r="K76"/>
      <c r="L76" s="255" t="s">
        <v>21</v>
      </c>
      <c r="M76" s="149">
        <v>0</v>
      </c>
      <c r="N76">
        <v>55000</v>
      </c>
      <c r="O76">
        <f t="shared" ref="O76:O77" si="41">N76/12</f>
        <v>4583.333333333333</v>
      </c>
      <c r="P76">
        <f t="shared" ref="P76:P77" si="42">M76/O76</f>
        <v>0</v>
      </c>
      <c r="Q76"/>
      <c r="R76"/>
      <c r="U76" s="10" t="s">
        <v>74</v>
      </c>
      <c r="V76" s="10">
        <v>1984</v>
      </c>
      <c r="W76" s="10">
        <f>V76*15</f>
        <v>29760</v>
      </c>
      <c r="X76" s="269">
        <v>12600</v>
      </c>
      <c r="Y76" s="10">
        <f t="shared" si="40"/>
        <v>2.361904761904762</v>
      </c>
    </row>
    <row r="77" spans="1:68" ht="15" x14ac:dyDescent="0.25">
      <c r="E77"/>
      <c r="F77"/>
      <c r="G77"/>
      <c r="H77"/>
      <c r="I77">
        <f>SUM(I75:I76)</f>
        <v>53.647058823529413</v>
      </c>
      <c r="J77"/>
      <c r="K77"/>
      <c r="L77" s="145" t="s">
        <v>23</v>
      </c>
      <c r="M77" s="149">
        <f>SUM(K20:K21)</f>
        <v>43545</v>
      </c>
      <c r="N77">
        <v>60000</v>
      </c>
      <c r="O77">
        <f t="shared" si="41"/>
        <v>5000</v>
      </c>
      <c r="P77">
        <f t="shared" si="42"/>
        <v>8.7089999999999996</v>
      </c>
      <c r="Q77"/>
      <c r="R77" t="s">
        <v>60</v>
      </c>
      <c r="Y77" s="10">
        <f>SUM(Y74:Y76)</f>
        <v>15.250793650793652</v>
      </c>
    </row>
    <row r="78" spans="1:68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53.709000000000003</v>
      </c>
      <c r="Q78"/>
      <c r="R78">
        <f>P78+I77</f>
        <v>107.35605882352942</v>
      </c>
    </row>
    <row r="96" spans="5:5" x14ac:dyDescent="0.2">
      <c r="E96" s="188" t="s">
        <v>75</v>
      </c>
    </row>
    <row r="97" spans="5:18" x14ac:dyDescent="0.2">
      <c r="E97" s="188" t="s">
        <v>9</v>
      </c>
      <c r="G97" s="10">
        <f t="shared" ref="G97:P97" si="43">+G45*12</f>
        <v>408000</v>
      </c>
      <c r="H97" s="10">
        <f t="shared" si="43"/>
        <v>34000</v>
      </c>
      <c r="I97" s="10">
        <f t="shared" si="43"/>
        <v>417.26117647058823</v>
      </c>
      <c r="J97" s="10">
        <f t="shared" si="43"/>
        <v>0</v>
      </c>
      <c r="K97" s="10">
        <f t="shared" si="43"/>
        <v>0</v>
      </c>
      <c r="L97" s="10" t="e">
        <f t="shared" si="43"/>
        <v>#VALUE!</v>
      </c>
      <c r="M97" s="10">
        <f t="shared" si="43"/>
        <v>1202952</v>
      </c>
      <c r="N97" s="10">
        <f t="shared" si="43"/>
        <v>660000</v>
      </c>
      <c r="O97" s="10">
        <f t="shared" si="43"/>
        <v>55000</v>
      </c>
      <c r="P97" s="10">
        <f t="shared" si="43"/>
        <v>262.46225454545458</v>
      </c>
      <c r="R97" s="10" t="e">
        <f>SUM(G97:P97)</f>
        <v>#VALUE!</v>
      </c>
    </row>
    <row r="98" spans="5:18" x14ac:dyDescent="0.2">
      <c r="E98" s="188" t="s">
        <v>27</v>
      </c>
      <c r="G98" s="10">
        <f t="shared" ref="G98:P98" si="44">+G47*12</f>
        <v>0</v>
      </c>
      <c r="H98" s="10">
        <f t="shared" si="44"/>
        <v>0</v>
      </c>
      <c r="I98" s="10">
        <f t="shared" si="44"/>
        <v>0</v>
      </c>
      <c r="J98" s="10">
        <f t="shared" si="44"/>
        <v>0</v>
      </c>
      <c r="K98" s="10">
        <f t="shared" si="44"/>
        <v>0</v>
      </c>
      <c r="L98" s="10">
        <f t="shared" si="44"/>
        <v>0</v>
      </c>
      <c r="M98" s="10">
        <f t="shared" si="44"/>
        <v>0</v>
      </c>
      <c r="N98" s="10">
        <f t="shared" si="44"/>
        <v>0</v>
      </c>
      <c r="O98" s="10">
        <f t="shared" si="44"/>
        <v>0</v>
      </c>
      <c r="P98" s="10">
        <f t="shared" si="44"/>
        <v>1187.6838545454546</v>
      </c>
      <c r="R98" s="10">
        <f>SUM(G98:P98)</f>
        <v>1187.6838545454546</v>
      </c>
    </row>
    <row r="99" spans="5:18" x14ac:dyDescent="0.2">
      <c r="R99" s="10" t="e">
        <f>+R97+R98</f>
        <v>#VALUE!</v>
      </c>
    </row>
    <row r="100" spans="5:18" x14ac:dyDescent="0.2">
      <c r="R100" s="18">
        <v>-6276000</v>
      </c>
    </row>
  </sheetData>
  <mergeCells count="5">
    <mergeCell ref="B1:P1"/>
    <mergeCell ref="B7:B8"/>
    <mergeCell ref="C7:C8"/>
    <mergeCell ref="E7:J7"/>
    <mergeCell ref="K7:P7"/>
  </mergeCells>
  <conditionalFormatting sqref="I15:I16">
    <cfRule type="cellIs" dxfId="208" priority="21" operator="equal">
      <formula>6842</formula>
    </cfRule>
    <cfRule type="cellIs" dxfId="207" priority="22" operator="equal">
      <formula>2821</formula>
    </cfRule>
    <cfRule type="cellIs" dxfId="206" priority="23" operator="equal">
      <formula>2395</formula>
    </cfRule>
    <cfRule type="cellIs" dxfId="205" priority="24" operator="equal">
      <formula>1564</formula>
    </cfRule>
  </conditionalFormatting>
  <conditionalFormatting sqref="J15:J16">
    <cfRule type="containsText" dxfId="204" priority="17" operator="containsText" text="CM620RT-TEL">
      <formula>NOT(ISERROR(SEARCH("CM620RT-TEL",J15)))</formula>
    </cfRule>
    <cfRule type="containsText" dxfId="203" priority="18" operator="containsText" text="PC630RT">
      <formula>NOT(ISERROR(SEARCH("PC630RT",J15)))</formula>
    </cfRule>
    <cfRule type="containsText" dxfId="202" priority="19" operator="containsText" text="PT620RT">
      <formula>NOT(ISERROR(SEARCH("PT620RT",J15)))</formula>
    </cfRule>
    <cfRule type="containsText" dxfId="201" priority="20" operator="containsText" text="CR650RT">
      <formula>NOT(ISERROR(SEARCH("CR650RT",J15)))</formula>
    </cfRule>
  </conditionalFormatting>
  <conditionalFormatting sqref="O18:O19">
    <cfRule type="cellIs" dxfId="200" priority="13" operator="equal">
      <formula>6842</formula>
    </cfRule>
    <cfRule type="cellIs" dxfId="199" priority="14" operator="equal">
      <formula>2821</formula>
    </cfRule>
    <cfRule type="cellIs" dxfId="198" priority="15" operator="equal">
      <formula>2395</formula>
    </cfRule>
    <cfRule type="cellIs" dxfId="197" priority="16" operator="equal">
      <formula>1564</formula>
    </cfRule>
  </conditionalFormatting>
  <conditionalFormatting sqref="P18:P19">
    <cfRule type="containsText" dxfId="196" priority="9" operator="containsText" text="CM620RT-TEL">
      <formula>NOT(ISERROR(SEARCH("CM620RT-TEL",P18)))</formula>
    </cfRule>
    <cfRule type="containsText" dxfId="195" priority="10" operator="containsText" text="PC630RT">
      <formula>NOT(ISERROR(SEARCH("PC630RT",P18)))</formula>
    </cfRule>
    <cfRule type="containsText" dxfId="194" priority="11" operator="containsText" text="PT620RT">
      <formula>NOT(ISERROR(SEARCH("PT620RT",P18)))</formula>
    </cfRule>
    <cfRule type="containsText" dxfId="193" priority="12" operator="containsText" text="CR650RT">
      <formula>NOT(ISERROR(SEARCH("CR650RT",P18)))</formula>
    </cfRule>
  </conditionalFormatting>
  <dataValidations count="1">
    <dataValidation type="list" allowBlank="1" showInputMessage="1" showErrorMessage="1" sqref="Q9:Q29 D9:D29" xr:uid="{1BED385A-24D4-4C73-8E2A-228FA7ED8E6F}">
      <formula1>#REF!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41F1-A8DA-424C-930D-DA2D93C46589}">
  <dimension ref="A1:BP100"/>
  <sheetViews>
    <sheetView showGridLines="0" topLeftCell="A7" zoomScale="50" zoomScaleNormal="50" workbookViewId="0">
      <selection activeCell="G18" sqref="G18"/>
    </sheetView>
  </sheetViews>
  <sheetFormatPr baseColWidth="10" defaultColWidth="11.42578125" defaultRowHeight="12.75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8.5703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5.42578125" style="10" customWidth="1"/>
    <col min="18" max="18" width="13.5703125" style="10" customWidth="1"/>
    <col min="19" max="19" width="8" style="10" customWidth="1"/>
    <col min="20" max="20" width="13.5703125" style="10" customWidth="1"/>
    <col min="21" max="21" width="12.5703125" style="10" customWidth="1"/>
    <col min="22" max="22" width="10.42578125" style="10" customWidth="1"/>
    <col min="23" max="23" width="21.7109375" style="10" customWidth="1"/>
    <col min="24" max="24" width="17.7109375" style="10" customWidth="1"/>
    <col min="25" max="25" width="18.28515625" style="10" customWidth="1"/>
    <col min="26" max="26" width="5.7109375" style="10" customWidth="1" collapsed="1"/>
    <col min="27" max="68" width="11.42578125" style="10"/>
  </cols>
  <sheetData>
    <row r="1" spans="1:68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50</v>
      </c>
      <c r="K3" s="4"/>
      <c r="L3" s="7"/>
      <c r="M3" s="7"/>
      <c r="N3" s="7"/>
      <c r="O3" s="7"/>
      <c r="P3" s="7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5" spans="1:68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08/12/YYYY al 14/12/YYYY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">
      <c r="B6" s="11" t="s">
        <v>2</v>
      </c>
      <c r="C6" s="11" t="s">
        <v>3</v>
      </c>
      <c r="D6" s="12">
        <v>2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</row>
    <row r="7" spans="1:68" ht="31.5" x14ac:dyDescent="0.2">
      <c r="A7" s="13"/>
      <c r="B7" s="997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1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8.75" x14ac:dyDescent="0.2">
      <c r="A8" s="13"/>
      <c r="B8" s="998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174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215" t="s">
        <v>6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215" t="s">
        <v>9</v>
      </c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</row>
    <row r="9" spans="1:68" ht="15.75" x14ac:dyDescent="0.2">
      <c r="A9" s="13"/>
      <c r="B9" s="249">
        <v>45999</v>
      </c>
      <c r="C9" s="128" t="s">
        <v>10</v>
      </c>
      <c r="D9" s="198"/>
      <c r="E9" s="316">
        <v>13831</v>
      </c>
      <c r="F9" s="187">
        <v>1564</v>
      </c>
      <c r="G9" s="177" t="s">
        <v>11</v>
      </c>
      <c r="H9" s="316">
        <v>13831</v>
      </c>
      <c r="I9" s="187">
        <v>1564</v>
      </c>
      <c r="J9" s="177" t="s">
        <v>11</v>
      </c>
      <c r="K9" s="316">
        <v>12632</v>
      </c>
      <c r="L9" s="187">
        <v>1564</v>
      </c>
      <c r="M9" s="177" t="s">
        <v>11</v>
      </c>
      <c r="N9" s="316">
        <v>12632</v>
      </c>
      <c r="O9" s="187">
        <v>1564</v>
      </c>
      <c r="P9" s="177" t="s">
        <v>11</v>
      </c>
      <c r="Q9" s="178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/>
      <c r="AB9" s="74"/>
      <c r="AC9" s="74"/>
      <c r="AD9" s="79" t="s">
        <v>7</v>
      </c>
      <c r="AE9" s="79" t="s">
        <v>8</v>
      </c>
      <c r="AF9" s="80">
        <f>B9</f>
        <v>45999</v>
      </c>
      <c r="AG9" s="80">
        <f>B12</f>
        <v>46000</v>
      </c>
      <c r="AH9" s="80">
        <f>B15</f>
        <v>46001</v>
      </c>
      <c r="AI9" s="80">
        <f>B18</f>
        <v>46002</v>
      </c>
      <c r="AJ9" s="80">
        <f>B21</f>
        <v>46003</v>
      </c>
      <c r="AK9" s="80">
        <f>B24</f>
        <v>46004</v>
      </c>
      <c r="AL9" s="80">
        <f>B27</f>
        <v>46005</v>
      </c>
      <c r="AM9" s="79" t="s">
        <v>17</v>
      </c>
      <c r="AN9" s="74"/>
      <c r="AO9" s="79" t="s">
        <v>7</v>
      </c>
      <c r="AP9" s="79" t="s">
        <v>8</v>
      </c>
      <c r="AQ9" s="80">
        <f>AF9</f>
        <v>45999</v>
      </c>
      <c r="AR9" s="80">
        <f t="shared" ref="AR9:AW9" si="0">AG9</f>
        <v>46000</v>
      </c>
      <c r="AS9" s="80">
        <f t="shared" si="0"/>
        <v>46001</v>
      </c>
      <c r="AT9" s="80">
        <f t="shared" si="0"/>
        <v>46002</v>
      </c>
      <c r="AU9" s="80">
        <f t="shared" si="0"/>
        <v>46003</v>
      </c>
      <c r="AV9" s="80">
        <f t="shared" si="0"/>
        <v>46004</v>
      </c>
      <c r="AW9" s="80">
        <f t="shared" si="0"/>
        <v>46005</v>
      </c>
      <c r="AX9" s="79" t="s">
        <v>17</v>
      </c>
      <c r="AY9" s="74"/>
      <c r="AZ9" s="74"/>
      <c r="BA9" s="74"/>
      <c r="BB9" s="74"/>
    </row>
    <row r="10" spans="1:68" ht="15" x14ac:dyDescent="0.2">
      <c r="A10" s="13"/>
      <c r="B10" s="249" t="s">
        <v>18</v>
      </c>
      <c r="C10" s="129" t="s">
        <v>19</v>
      </c>
      <c r="D10" s="199"/>
      <c r="E10" s="318">
        <v>8784</v>
      </c>
      <c r="F10" s="187">
        <v>1564</v>
      </c>
      <c r="G10" s="177" t="s">
        <v>11</v>
      </c>
      <c r="H10" s="318">
        <v>8784</v>
      </c>
      <c r="I10" s="187">
        <v>1564</v>
      </c>
      <c r="J10" s="177" t="s">
        <v>11</v>
      </c>
      <c r="K10" s="318">
        <f>9912+30408</f>
        <v>40320</v>
      </c>
      <c r="L10" s="243">
        <v>2821</v>
      </c>
      <c r="M10" s="245" t="s">
        <v>23</v>
      </c>
      <c r="N10" s="318">
        <f>9912+30408</f>
        <v>40320</v>
      </c>
      <c r="O10" s="243">
        <v>2821</v>
      </c>
      <c r="P10" s="245" t="s">
        <v>23</v>
      </c>
      <c r="Q10" s="181"/>
      <c r="R10" s="81"/>
      <c r="S10" s="94">
        <v>1564</v>
      </c>
      <c r="T10" s="95" t="s">
        <v>11</v>
      </c>
      <c r="U10" s="96">
        <f>SUMIF($F$9:$F$29,S10,$E$9:$E$29)</f>
        <v>63615</v>
      </c>
      <c r="V10" s="96">
        <f>SUMIF($M$9:$M$29,T10,$K$9:$K$29)</f>
        <v>157119</v>
      </c>
      <c r="W10" s="96">
        <f t="shared" ref="W10:W16" si="1">SUM(U10:V10)</f>
        <v>220734</v>
      </c>
      <c r="X10" s="96">
        <f>(SUMIF($J$9:$J$29,T10,$H$9:$H$29))+(SUMIF($P$9:$P$29,T10,$N$9:$N$29))</f>
        <v>202334</v>
      </c>
      <c r="Y10" s="96">
        <f>+W10-X10</f>
        <v>18400</v>
      </c>
      <c r="Z10" s="74"/>
      <c r="AA10" s="74"/>
      <c r="AB10" s="74"/>
      <c r="AC10" s="74"/>
      <c r="AD10" s="76">
        <v>1564</v>
      </c>
      <c r="AE10" s="76" t="s">
        <v>11</v>
      </c>
      <c r="AF10" s="82">
        <f>SUMIF($F$9:$F$11,$AD10,$E$9:$E$11)+SUMIF($I$9:$I$11,$AD10,$H$9:$H$11)+SUMIF($L$9:$L$11,$AD10,$K$9:$K$11)+SUMIF($O$9:$O$11,$AD10,$N$9:$N$11)</f>
        <v>70494</v>
      </c>
      <c r="AG10" s="82">
        <f>SUMIF($F$12:$F$14,$AD10,$E$12:$E$14)+SUMIF($I$12:$I$14,$AD10,$H$12:$H$14)+SUMIF($L$12:$L$14,$AD10,$K$12:$K$14)+SUMIF($O$12:$O$14,$AD10,$N$12:$N$14)</f>
        <v>0</v>
      </c>
      <c r="AH10" s="82">
        <f>SUMIF($F$15:$F$17,$AD10,$E$15:$E$17)+SUMIF($I$15:$I$17,$AD10,$H$15:$H$17)+SUMIF($L$15:$L$17,$AD10,$K$15:$K$17)+SUMIF($O$15:$O$17,$AD10,$N$15:$N$17)</f>
        <v>0</v>
      </c>
      <c r="AI10" s="82">
        <f>SUMIF($F$18:$F$20,$AD10,$E$18:$E$20)+SUMIF($I$18:$I$20,$AD10,$H$18:$H$20)+SUMIF($L$18:$L$20,$AD10,$K$18:$K$20)+SUMIF($O$18:$O$20,$AD10,$N$18:$N$20)</f>
        <v>0</v>
      </c>
      <c r="AJ10" s="82">
        <f>SUMIF($F$21:$F$23,$AD10,$E$21:$E$23)+SUMIF($I$21:$I$23,$AD10,$H$21:$H$23)+SUMIF($L$21:$L$23,$AD10,$K$21:$K$23)+SUMIF($O$21:$O$23,$AD10,$N$21:$N$23)</f>
        <v>0</v>
      </c>
      <c r="AK10" s="82">
        <f>SUMIF($F$24:$F$26,$AD10,$E$24:$E$26)+SUMIF($I$24:$I$26,$AD10,$H$24:$H$26)+SUMIF($L$24:$L$26,$AD10,$K$24:$K$26)+SUMIF($O$24:$O$26,$AD10,$N$24:$N$26)</f>
        <v>123751</v>
      </c>
      <c r="AL10" s="82">
        <f>SUMIF($F$27:$F$29,$AD10,$E$27:$E$29)+SUMIF($I$27:$I$29,$AD10,$H$27:$H$29)+SUMIF($L$27:$L$29,$AD10,$K$27:$K$29)+SUMIF($O$27:$O$29,$AD10,$N$27:$N$29)</f>
        <v>228823</v>
      </c>
      <c r="AM10" s="83">
        <f>SUM(AF10:AL10)</f>
        <v>423068</v>
      </c>
      <c r="AN10" s="74"/>
      <c r="AO10" s="76">
        <v>1564</v>
      </c>
      <c r="AP10" s="76" t="s">
        <v>11</v>
      </c>
      <c r="AQ10" s="185">
        <f>SUMIF($I$9:$I$11,$AO10,$H$9:$H$11)+SUMIF($F$9:$F$11,$AO10,$E$9:$E$11)</f>
        <v>45230</v>
      </c>
      <c r="AR10" s="185">
        <f>SUMIF($I$12:$I$14,$AO10,$H$12:$H$14)+SUMIF($F$12:$F$14,$AO10,$E$12:$E$14)</f>
        <v>0</v>
      </c>
      <c r="AS10" s="185">
        <f>SUMIF($I$15:$I$17,$AO10,$H$15:$H$17)+SUMIF($F$15:$F$17,$AO10,$E$15:$E$17)</f>
        <v>0</v>
      </c>
      <c r="AT10" s="185">
        <f>SUMIF($I$18:$I$20,$AO10,$H$18:$H$20)+SUMIF($F$18:$F$20,$AO10,$E$18:$E$20)</f>
        <v>0</v>
      </c>
      <c r="AU10" s="185">
        <f>SUMIF($I$21:$I$23,$AO10,$H$21:$H$23)+SUMIF($F$21:$F$23,$AO10,$E$21:$E$23)</f>
        <v>0</v>
      </c>
      <c r="AV10" s="185">
        <f>SUMIF($I$24:$I$26,$AO10,$H$24:$H$26)+SUMIF($F$24:$F$26,$AO10,$E$24:$E$26)</f>
        <v>0</v>
      </c>
      <c r="AW10" s="185">
        <f>SUMIF($I$27:$I$29,$AO10,$H$27:$H$29)+SUMIF($F$27:$F$29,$AO10,$E$27:$E$29)</f>
        <v>79304</v>
      </c>
      <c r="AX10" s="220">
        <f>SUM(AQ10:AW10)</f>
        <v>124534</v>
      </c>
      <c r="AY10" s="74"/>
      <c r="AZ10" s="74"/>
      <c r="BA10" s="74"/>
      <c r="BB10" s="74"/>
    </row>
    <row r="11" spans="1:68" ht="15" x14ac:dyDescent="0.2">
      <c r="A11" s="13"/>
      <c r="B11" s="250"/>
      <c r="C11" s="130" t="s">
        <v>20</v>
      </c>
      <c r="D11" s="200"/>
      <c r="E11" s="322">
        <f>6552+16632</f>
        <v>23184</v>
      </c>
      <c r="F11" s="320">
        <v>2395</v>
      </c>
      <c r="G11" s="321" t="s">
        <v>22</v>
      </c>
      <c r="H11" s="322">
        <f>6552+16632</f>
        <v>23184</v>
      </c>
      <c r="I11" s="320">
        <v>2395</v>
      </c>
      <c r="J11" s="321" t="s">
        <v>22</v>
      </c>
      <c r="K11" s="322">
        <v>30576</v>
      </c>
      <c r="L11" s="303">
        <v>2821</v>
      </c>
      <c r="M11" s="304" t="s">
        <v>23</v>
      </c>
      <c r="N11" s="322">
        <v>30576</v>
      </c>
      <c r="O11" s="303">
        <v>2821</v>
      </c>
      <c r="P11" s="304" t="s">
        <v>23</v>
      </c>
      <c r="Q11" s="184"/>
      <c r="R11" s="81"/>
      <c r="S11" s="97">
        <v>2395</v>
      </c>
      <c r="T11" s="98" t="s">
        <v>22</v>
      </c>
      <c r="U11" s="99">
        <f>SUMIF($F$9:$F$29,S11,$E$9:$E$29)</f>
        <v>213000</v>
      </c>
      <c r="V11" s="99">
        <f>SUMIF($M$9:$M$29,S11,$L$9:$L$29)+SUMIF($P$9:$P$29,S11,$O$9:$O$29)</f>
        <v>0</v>
      </c>
      <c r="W11" s="99">
        <f t="shared" si="1"/>
        <v>213000</v>
      </c>
      <c r="X11" s="99">
        <f>SUMIF($J$9:$J$29,T11,$H$9:$H$29)</f>
        <v>211915</v>
      </c>
      <c r="Y11" s="99">
        <f>+W11-X11</f>
        <v>1085</v>
      </c>
      <c r="Z11" s="74"/>
      <c r="AA11" s="185"/>
      <c r="AB11" s="74"/>
      <c r="AC11" s="74"/>
      <c r="AD11" s="76">
        <v>2395</v>
      </c>
      <c r="AE11" s="76" t="s">
        <v>22</v>
      </c>
      <c r="AF11" s="82">
        <f>SUMIF($F$9:$F$11,$AD11,$E$9:$E$11)+SUMIF($I$9:$I$11,$AD11,$H$9:$H$11)+SUMIF($L$9:$L$11,$AD11,$K$9:$K$11)+SUMIF($O$9:$O$11,$AD11,$N$9:$N$11)</f>
        <v>46368</v>
      </c>
      <c r="AG11" s="82">
        <f>SUMIF($F$12:$F$14,$AD11,$E$12:$E$14)+SUMIF($I$12:$I$14,$AD11,$H$12:$H$14)+SUMIF($L$12:$L$14,$AD11,$K$12:$K$14)+SUMIF($O$12:$O$14,$AD11,$N$12:$N$14)</f>
        <v>95424</v>
      </c>
      <c r="AH11" s="82">
        <f>SUMIF($F$15:$F$17,$AD11,$E$15:$E$17)+SUMIF($I$15:$I$17,$AD11,$H$15:$H$17)+SUMIF($L$15:$L$17,$AD11,$K$15:$K$17)+SUMIF($O$15:$O$17,$AD11,$N$15:$N$17)</f>
        <v>22680</v>
      </c>
      <c r="AI11" s="82">
        <f>SUMIF($F$18:$F$20,$AD11,$E$18:$E$20)+SUMIF($I$18:$I$20,$AD11,$H$18:$H$20)+SUMIF($L$18:$L$20,$AD11,$K$18:$K$20)+SUMIF($O$18:$O$20,$AD11,$N$18:$N$20)</f>
        <v>90720</v>
      </c>
      <c r="AJ11" s="82">
        <f>SUMIF($F$21:$F$23,$AD11,$E$21:$E$23)+SUMIF($I$21:$I$23,$AD11,$H$21:$H$23)+SUMIF($L$21:$L$23,$AD11,$K$21:$K$23)+SUMIF($O$21:$O$23,$AD11,$N$21:$N$23)</f>
        <v>77280</v>
      </c>
      <c r="AK11" s="82">
        <f>SUMIF($F$24:$F$26,$AD11,$E$24:$E$26)+SUMIF($I$24:$I$26,$AD11,$H$24:$H$26)+SUMIF($L$24:$L$26,$AD11,$K$24:$K$26)+SUMIF($O$24:$O$26,$AD11,$N$24:$N$26)</f>
        <v>92443</v>
      </c>
      <c r="AL11" s="82">
        <f>SUMIF($F$27:$F$29,$AD11,$E$27:$E$29)+SUMIF($I$27:$I$29,$AD11,$H$27:$H$29)+SUMIF($L$27:$L$29,$AD11,$K$27:$K$29)+SUMIF($O$27:$O$29,$AD11,$N$27:$N$29)</f>
        <v>0</v>
      </c>
      <c r="AM11" s="83">
        <f t="shared" ref="AM11:AM12" si="2">SUM(AF11:AL11)</f>
        <v>424915</v>
      </c>
      <c r="AN11" s="74"/>
      <c r="AO11" s="76">
        <v>2395</v>
      </c>
      <c r="AP11" s="76" t="s">
        <v>22</v>
      </c>
      <c r="AQ11" s="185">
        <f t="shared" ref="AQ11" si="3">SUMIF($I$9:$I$11,$AO11,$H$9:$H$11)+SUMIF($F$9:$F$11,$AO11,$E$9:$E$11)</f>
        <v>46368</v>
      </c>
      <c r="AR11" s="185">
        <f>SUMIF($I$12:$I$14,$AO11,$H$12:$H$14)+SUMIF($F$12:$F$14,$AO11,$E$12:$E$14)</f>
        <v>95424</v>
      </c>
      <c r="AS11" s="185">
        <f>SUMIF($I$15:$I$17,$AO11,$H$15:$H$17)+SUMIF($F$15:$F$17,$AO11,$E$15:$E$17)</f>
        <v>22680</v>
      </c>
      <c r="AT11" s="185">
        <f>SUMIF($I$18:$I$20,$AO11,$H$18:$H$20)+SUMIF($F$18:$F$20,$AO11,$E$18:$E$20)</f>
        <v>90720</v>
      </c>
      <c r="AU11" s="185">
        <f>SUMIF($I$21:$I$23,$AO11,$H$21:$H$23)+SUMIF($F$21:$F$23,$AO11,$E$21:$E$23)</f>
        <v>77280</v>
      </c>
      <c r="AV11" s="185">
        <f>SUMIF($I$24:$I$26,$AO11,$H$24:$H$26)+SUMIF($F$24:$F$26,$AO11,$E$24:$E$26)</f>
        <v>92443</v>
      </c>
      <c r="AW11" s="185">
        <f>SUMIF($I$27:$I$29,$AO11,$H$27:$H$29)+SUMIF($F$27:$F$29,$AO11,$E$27:$E$29)</f>
        <v>0</v>
      </c>
      <c r="AX11" s="220">
        <f t="shared" ref="AX11" si="4">SUM(AQ11:AW11)</f>
        <v>424915</v>
      </c>
      <c r="AY11" s="74"/>
      <c r="AZ11" s="74"/>
      <c r="BA11" s="74"/>
      <c r="BB11" s="74"/>
    </row>
    <row r="12" spans="1:68" ht="15" x14ac:dyDescent="0.2">
      <c r="A12" s="13"/>
      <c r="B12" s="249">
        <f>+B9+1</f>
        <v>46000</v>
      </c>
      <c r="C12" s="128" t="s">
        <v>10</v>
      </c>
      <c r="D12" s="198"/>
      <c r="E12" s="316">
        <v>14280</v>
      </c>
      <c r="F12" s="187">
        <v>2395</v>
      </c>
      <c r="G12" s="177" t="s">
        <v>22</v>
      </c>
      <c r="H12" s="316">
        <v>14280</v>
      </c>
      <c r="I12" s="187">
        <v>2395</v>
      </c>
      <c r="J12" s="177" t="s">
        <v>22</v>
      </c>
      <c r="K12" s="316">
        <v>30744</v>
      </c>
      <c r="L12" s="187">
        <v>2821</v>
      </c>
      <c r="M12" s="933" t="s">
        <v>23</v>
      </c>
      <c r="N12" s="316">
        <v>30744</v>
      </c>
      <c r="O12" s="187">
        <v>2821</v>
      </c>
      <c r="P12" s="933" t="s">
        <v>23</v>
      </c>
      <c r="Q12" s="178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270914</v>
      </c>
      <c r="W12" s="102">
        <f t="shared" si="1"/>
        <v>270914</v>
      </c>
      <c r="X12" s="102">
        <f>SUMIF($P$9:$P$29,T12,$N$9:$N$29)</f>
        <v>270914</v>
      </c>
      <c r="Y12" s="102">
        <f>+W12-X12</f>
        <v>0</v>
      </c>
      <c r="Z12" s="74"/>
      <c r="AA12" s="74"/>
      <c r="AB12" s="74"/>
      <c r="AC12" s="74"/>
      <c r="AD12" s="76">
        <v>2821</v>
      </c>
      <c r="AE12" s="76" t="s">
        <v>23</v>
      </c>
      <c r="AF12" s="82">
        <f>SUMIF($F$9:$F$11,$AD12,$E$9:$E$11)+SUMIF($I$9:$I$11,$AD12,$H$9:$H$11)+SUMIF($L$9:$L$11,$AD12,$K$9:$K$11)+SUMIF($O$9:$O$11,$AD12,$N$9:$N$11)</f>
        <v>141792</v>
      </c>
      <c r="AG12" s="82">
        <f>SUMIF($F$12:$F$14,$AD12,$E$12:$E$14)+SUMIF($I$12:$I$14,$AD12,$H$12:$H$14)+SUMIF($L$12:$L$14,$AD12,$K$12:$K$14)+SUMIF($O$12:$O$14,$AD12,$N$12:$N$14)</f>
        <v>192864</v>
      </c>
      <c r="AH12" s="82">
        <f>SUMIF($F$15:$F$17,$AD12,$E$15:$E$17)+SUMIF($I$15:$I$17,$AD12,$H$15:$H$17)+SUMIF($L$15:$L$17,$AD12,$K$15:$K$17)+SUMIF($O$15:$O$17,$AD12,$N$15:$N$17)</f>
        <v>183120</v>
      </c>
      <c r="AI12" s="82">
        <f>SUMIF($F$18:$F$20,$AD12,$E$18:$E$20)+SUMIF($I$18:$I$20,$AD12,$H$18:$H$20)+SUMIF($L$18:$L$20,$AD12,$K$18:$K$20)+SUMIF($O$18:$O$20,$AD12,$N$18:$N$20)</f>
        <v>24052</v>
      </c>
      <c r="AJ12" s="82">
        <f>SUMIF($F$21:$F$23,$AD12,$E$21:$E$23)+SUMIF($I$21:$I$23,$AD12,$H$21:$H$23)+SUMIF($L$21:$L$23,$AD12,$K$21:$K$23)+SUMIF($O$21:$O$23,$AD12,$N$21:$N$23)</f>
        <v>0</v>
      </c>
      <c r="AK12" s="82">
        <f>SUMIF($F$24:$F$26,$AD12,$E$24:$E$26)+SUMIF($I$24:$I$26,$AD12,$H$24:$H$26)+SUMIF($L$24:$L$26,$AD12,$K$24:$K$26)+SUMIF($O$24:$O$26,$AD12,$N$24:$N$26)</f>
        <v>0</v>
      </c>
      <c r="AL12" s="82">
        <f>SUMIF($F$27:$F$29,$AD12,$E$27:$E$29)+SUMIF($I$27:$I$29,$AD12,$H$27:$H$29)+SUMIF($L$27:$L$29,$AD12,$K$27:$K$29)+SUMIF($O$27:$O$29,$AD12,$N$27:$N$29)</f>
        <v>0</v>
      </c>
      <c r="AM12" s="83">
        <f t="shared" si="2"/>
        <v>541828</v>
      </c>
      <c r="AN12" s="74"/>
      <c r="AO12" s="74"/>
      <c r="AP12" s="74"/>
      <c r="AQ12" s="185">
        <f>SUM(AQ10:AQ11)</f>
        <v>91598</v>
      </c>
      <c r="AR12" s="185">
        <f t="shared" ref="AR12:AX12" si="5">SUM(AR10:AR11)</f>
        <v>95424</v>
      </c>
      <c r="AS12" s="185">
        <f t="shared" si="5"/>
        <v>22680</v>
      </c>
      <c r="AT12" s="185">
        <f t="shared" si="5"/>
        <v>90720</v>
      </c>
      <c r="AU12" s="185">
        <f t="shared" si="5"/>
        <v>77280</v>
      </c>
      <c r="AV12" s="185">
        <f t="shared" si="5"/>
        <v>92443</v>
      </c>
      <c r="AW12" s="185">
        <f t="shared" si="5"/>
        <v>79304</v>
      </c>
      <c r="AX12" s="220">
        <f t="shared" si="5"/>
        <v>549449</v>
      </c>
      <c r="AY12" s="74"/>
      <c r="AZ12" s="74"/>
      <c r="BA12" s="74"/>
      <c r="BB12" s="74"/>
    </row>
    <row r="13" spans="1:68" ht="15" x14ac:dyDescent="0.2">
      <c r="A13" s="13"/>
      <c r="B13" s="249" t="s">
        <v>24</v>
      </c>
      <c r="C13" s="129" t="s">
        <v>19</v>
      </c>
      <c r="D13" s="199"/>
      <c r="E13" s="318">
        <v>17304</v>
      </c>
      <c r="F13" s="310">
        <v>2395</v>
      </c>
      <c r="G13" s="311" t="s">
        <v>22</v>
      </c>
      <c r="H13" s="318">
        <v>17304</v>
      </c>
      <c r="I13" s="310">
        <v>2395</v>
      </c>
      <c r="J13" s="311" t="s">
        <v>22</v>
      </c>
      <c r="K13" s="318">
        <v>33432</v>
      </c>
      <c r="L13" s="187">
        <v>2821</v>
      </c>
      <c r="M13" s="933" t="s">
        <v>23</v>
      </c>
      <c r="N13" s="318">
        <v>33432</v>
      </c>
      <c r="O13" s="187">
        <v>2821</v>
      </c>
      <c r="P13" s="933" t="s">
        <v>23</v>
      </c>
      <c r="Q13" s="181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1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6">
        <v>6843</v>
      </c>
      <c r="AE13" s="76" t="s">
        <v>26</v>
      </c>
      <c r="AF13" s="82">
        <f>SUMIF($F$9:$F$11,$AD13,$E$9:$E$11)+SUMIF($I$9:$I$11,$AD13,$H$9:$H$11)+SUMIF($L$9:$L$11,$AD13,$K$9:$K$11)+SUMIF($O$9:$O$11,$AD13,$N$9:$N$11)</f>
        <v>0</v>
      </c>
      <c r="AG13" s="82">
        <f>SUMIF($F$12:$F$14,$AD13,$E$12:$E$14)+SUMIF($I$12:$I$14,$AD13,$H$12:$H$14)+SUMIF($L$12:$L$14,$AD13,$K$12:$K$14)+SUMIF($O$12:$O$14,$AD13,$N$12:$N$14)</f>
        <v>0</v>
      </c>
      <c r="AH13" s="82">
        <f>SUMIF($F$15:$F$17,$AD13,$E$15:$E$17)+SUMIF($I$15:$I$17,$AD13,$H$15:$H$17)+SUMIF($L$15:$L$17,$AD13,$K$15:$K$17)+SUMIF($O$15:$O$17,$AD13,$N$15:$N$17)</f>
        <v>0</v>
      </c>
      <c r="AI13" s="82">
        <f>SUMIF($F$18:$F$20,$AD13,$E$18:$E$20)+SUMIF($I$18:$I$20,$AD13,$H$18:$H$20)+SUMIF($L$18:$L$20,$AD13,$K$18:$K$20)+SUMIF($O$18:$O$20,$AD13,$N$18:$N$20)</f>
        <v>31920</v>
      </c>
      <c r="AJ13" s="82">
        <f>SUMIF($F$21:$F$23,$AD13,$E$21:$E$23)+SUMIF($I$21:$I$23,$AD13,$H$21:$H$23)+SUMIF($L$21:$L$23,$AD13,$K$21:$K$23)+SUMIF($O$21:$O$23,$AD13,$N$21:$N$23)</f>
        <v>152736</v>
      </c>
      <c r="AK13" s="82">
        <f>SUMIF($F$24:$F$26,$AD13,$E$24:$E$26)+SUMIF($I$24:$I$26,$AD13,$H$24:$H$26)+SUMIF($L$24:$L$26,$AD13,$K$24:$K$26)+SUMIF($O$24:$O$26,$AD13,$N$24:$N$26)</f>
        <v>18317</v>
      </c>
      <c r="AL13" s="82">
        <f>SUMIF($F$27:$F$29,$AD13,$E$27:$E$29)+SUMIF($I$27:$I$29,$AD13,$H$27:$H$29)+SUMIF($L$27:$L$29,$AD13,$K$27:$K$29)+SUMIF($O$27:$O$29,$AD13,$N$27:$N$29)</f>
        <v>0</v>
      </c>
      <c r="AM13" s="83">
        <f>SUM(AF13:AL13)</f>
        <v>202973</v>
      </c>
      <c r="AN13" s="74"/>
      <c r="AO13" s="215" t="s">
        <v>27</v>
      </c>
      <c r="AP13" s="74"/>
      <c r="AQ13" s="74"/>
      <c r="AR13" s="74"/>
      <c r="AS13" s="74"/>
      <c r="AT13" s="74"/>
      <c r="AU13" s="74"/>
      <c r="AV13" s="74"/>
      <c r="AW13" s="74"/>
      <c r="AX13" s="83"/>
      <c r="AY13" s="74"/>
      <c r="AZ13" s="74"/>
      <c r="BA13" s="74"/>
      <c r="BB13" s="74"/>
    </row>
    <row r="14" spans="1:68" ht="15" x14ac:dyDescent="0.2">
      <c r="A14" s="13"/>
      <c r="B14" s="250"/>
      <c r="C14" s="130" t="s">
        <v>20</v>
      </c>
      <c r="D14" s="200"/>
      <c r="E14" s="322">
        <v>16128</v>
      </c>
      <c r="F14" s="320">
        <v>2395</v>
      </c>
      <c r="G14" s="321" t="s">
        <v>22</v>
      </c>
      <c r="H14" s="322">
        <v>16128</v>
      </c>
      <c r="I14" s="320">
        <v>2395</v>
      </c>
      <c r="J14" s="321" t="s">
        <v>22</v>
      </c>
      <c r="K14" s="322">
        <v>32256</v>
      </c>
      <c r="L14" s="303">
        <v>2821</v>
      </c>
      <c r="M14" s="304" t="s">
        <v>23</v>
      </c>
      <c r="N14" s="322">
        <v>32256</v>
      </c>
      <c r="O14" s="303">
        <v>2821</v>
      </c>
      <c r="P14" s="304" t="s">
        <v>23</v>
      </c>
      <c r="Q14" s="184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1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6">
        <v>6842</v>
      </c>
      <c r="AE14" s="76" t="s">
        <v>29</v>
      </c>
      <c r="AF14" s="82">
        <f>SUMIF($F$9:$F$11,$AD14,$E$9:$E$11)+SUMIF($I$9:$I$11,$AD14,$H$9:$H$11)+SUMIF($L$9:$L$11,$AD14,$K$9:$K$11)+SUMIF($O$9:$O$11,$AD14,$N$9:$N$11)</f>
        <v>0</v>
      </c>
      <c r="AG14" s="82">
        <f>SUMIF($F$12:$F$14,$AD14,$E$12:$E$14)+SUMIF($I$12:$I$14,$AD14,$H$12:$H$14)+SUMIF($L$12:$L$14,$AD14,$K$12:$K$14)+SUMIF($O$12:$O$14,$AD14,$N$12:$N$14)</f>
        <v>0</v>
      </c>
      <c r="AH14" s="82">
        <f>SUMIF($F$15:$F$17,$AD14,$E$15:$E$17)+SUMIF($I$15:$I$17,$AD14,$H$15:$H$17)+SUMIF($L$15:$L$17,$AD14,$K$15:$K$17)+SUMIF($O$15:$O$17,$AD14,$N$15:$N$17)</f>
        <v>0</v>
      </c>
      <c r="AI14" s="82">
        <f>SUMIF($F$18:$F$20,$AD14,$E$18:$E$20)+SUMIF($I$18:$I$20,$AD14,$H$18:$H$20)+SUMIF($L$18:$L$20,$AD14,$K$18:$K$20)+SUMIF($O$18:$O$20,$AD14,$N$18:$N$20)</f>
        <v>0</v>
      </c>
      <c r="AJ14" s="82">
        <f>SUMIF($F$21:$F$23,$AD14,$E$21:$E$23)+SUMIF($I$21:$I$23,$AD14,$H$21:$H$23)+SUMIF($L$21:$L$23,$AD14,$K$21:$K$23)+SUMIF($O$21:$O$23,$AD14,$N$21:$N$23)</f>
        <v>0</v>
      </c>
      <c r="AK14" s="82">
        <f>SUMIF($F$24:$F$26,$AD14,$E$24:$E$26)+SUMIF($I$24:$I$26,$AD14,$H$24:$H$26)+SUMIF($L$24:$L$26,$AD14,$K$24:$K$26)+SUMIF($O$24:$O$26,$AD14,$N$24:$N$26)</f>
        <v>0</v>
      </c>
      <c r="AL14" s="82">
        <f>SUMIF($F$27:$F$29,$AD14,$E$27:$E$29)+SUMIF($I$27:$I$29,$AD14,$H$27:$H$29)+SUMIF($L$27:$L$29,$AD14,$K$27:$K$29)+SUMIF($O$27:$O$29,$AD14,$N$27:$N$29)</f>
        <v>0</v>
      </c>
      <c r="AM14" s="83">
        <f>SUM(AF14:AL14)</f>
        <v>0</v>
      </c>
      <c r="AN14" s="74"/>
      <c r="AO14" s="79" t="s">
        <v>7</v>
      </c>
      <c r="AP14" s="79" t="s">
        <v>8</v>
      </c>
      <c r="AQ14" s="80">
        <f>AQ9</f>
        <v>45999</v>
      </c>
      <c r="AR14" s="80">
        <f t="shared" ref="AR14:AW14" si="6">AR9</f>
        <v>46000</v>
      </c>
      <c r="AS14" s="80">
        <f t="shared" si="6"/>
        <v>46001</v>
      </c>
      <c r="AT14" s="80">
        <f t="shared" si="6"/>
        <v>46002</v>
      </c>
      <c r="AU14" s="80">
        <f t="shared" si="6"/>
        <v>46003</v>
      </c>
      <c r="AV14" s="80">
        <f t="shared" si="6"/>
        <v>46004</v>
      </c>
      <c r="AW14" s="80">
        <f t="shared" si="6"/>
        <v>46005</v>
      </c>
      <c r="AX14" s="79" t="s">
        <v>17</v>
      </c>
      <c r="AY14" s="74"/>
      <c r="AZ14" s="74"/>
      <c r="BA14" s="74"/>
      <c r="BB14" s="74"/>
    </row>
    <row r="15" spans="1:68" ht="15" x14ac:dyDescent="0.2">
      <c r="A15" s="13"/>
      <c r="B15" s="216">
        <f>+B12+1</f>
        <v>46001</v>
      </c>
      <c r="C15" s="216" t="s">
        <v>10</v>
      </c>
      <c r="D15" s="175"/>
      <c r="E15" s="231">
        <v>4788</v>
      </c>
      <c r="F15" s="187">
        <v>2395</v>
      </c>
      <c r="G15" s="306" t="s">
        <v>22</v>
      </c>
      <c r="H15" s="231">
        <v>4788</v>
      </c>
      <c r="I15" s="187">
        <v>2395</v>
      </c>
      <c r="J15" s="306" t="s">
        <v>22</v>
      </c>
      <c r="K15" s="229">
        <v>32256</v>
      </c>
      <c r="L15" s="303">
        <v>2821</v>
      </c>
      <c r="M15" s="304" t="s">
        <v>23</v>
      </c>
      <c r="N15" s="229">
        <v>32256</v>
      </c>
      <c r="O15" s="303">
        <v>2821</v>
      </c>
      <c r="P15" s="304" t="s">
        <v>23</v>
      </c>
      <c r="Q15" s="178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>SUMIF($M$10:$M$30,S15,$L$10:$L$30)</f>
        <v>0</v>
      </c>
      <c r="W15" s="111">
        <f t="shared" si="1"/>
        <v>0</v>
      </c>
      <c r="X15" s="111">
        <f>SUMIF($Q$10:$Q$30,T15,$O$10:$O$30)</f>
        <v>0</v>
      </c>
      <c r="Y15" s="111">
        <f>+W15-X15</f>
        <v>0</v>
      </c>
      <c r="Z15" s="74"/>
      <c r="AA15" s="74"/>
      <c r="AB15" s="74"/>
      <c r="AC15" s="74"/>
      <c r="AF15" s="222">
        <f>SUM(AF10:AF14)</f>
        <v>258654</v>
      </c>
      <c r="AG15" s="222">
        <f t="shared" ref="AG15:AL15" si="7">SUM(AG10:AG14)</f>
        <v>288288</v>
      </c>
      <c r="AH15" s="222">
        <f t="shared" si="7"/>
        <v>205800</v>
      </c>
      <c r="AI15" s="222">
        <f t="shared" si="7"/>
        <v>146692</v>
      </c>
      <c r="AJ15" s="222">
        <f t="shared" si="7"/>
        <v>230016</v>
      </c>
      <c r="AK15" s="222">
        <f t="shared" si="7"/>
        <v>234511</v>
      </c>
      <c r="AL15" s="222">
        <f t="shared" si="7"/>
        <v>228823</v>
      </c>
      <c r="AM15" s="83">
        <f>SUM(AM10:AM14)</f>
        <v>1592784</v>
      </c>
      <c r="AN15" s="74"/>
      <c r="AO15" s="76">
        <v>1564</v>
      </c>
      <c r="AP15" s="76" t="s">
        <v>11</v>
      </c>
      <c r="AQ15" s="185">
        <f>SUMIF($O$9:$O$11,$AO15,$N$9:$N$11)+SUMIF($L$9:$L$11,$AO15,$K$9:$K$11)</f>
        <v>25264</v>
      </c>
      <c r="AR15" s="185">
        <f>SUMIF($O$12:$O$14,$AO15,$N$12:$N$14)+SUMIF($L$12:$L$14,$AO15,$K$12:$K$14)</f>
        <v>0</v>
      </c>
      <c r="AS15" s="185">
        <f>SUMIF($O$15:$O$17,$AO15,$N$15:$N$17)+SUMIF($L$15:$L$17,$AO15,$K$15:$K$17)</f>
        <v>0</v>
      </c>
      <c r="AT15" s="185">
        <f>SUMIF($O$18:$O$20,$AO15,$N$18:$N$20)+SUMIF($L$18:$L$20,$AO15,$K$18:$K$20)</f>
        <v>0</v>
      </c>
      <c r="AU15" s="185">
        <f>SUMIF($O$21:$O$23,$AO15,$N$21:$N$23)+SUMIF($L$21:$L$23,$AO15,$K$21:$K$23)</f>
        <v>0</v>
      </c>
      <c r="AV15" s="185">
        <f>SUMIF($O$24:$O$26,$AO15,$N$24:$N$26)+SUMIF($L$24:$L$26,$AO15,$K$24:$K$26)</f>
        <v>123751</v>
      </c>
      <c r="AW15" s="185">
        <f>SUMIF($O$27:$O$29,$AO15,$N$27:$N$29)+SUMIF($L$27:$L$29,$AO15,$K$27:$K$29)</f>
        <v>149519</v>
      </c>
      <c r="AX15" s="220">
        <f>SUM(AQ15:AW15)</f>
        <v>298534</v>
      </c>
      <c r="AY15" s="74"/>
      <c r="AZ15" s="74"/>
      <c r="BA15" s="74"/>
      <c r="BB15" s="74"/>
    </row>
    <row r="16" spans="1:68" ht="15" x14ac:dyDescent="0.2">
      <c r="A16" s="13"/>
      <c r="B16" s="216" t="s">
        <v>31</v>
      </c>
      <c r="C16" s="216" t="s">
        <v>19</v>
      </c>
      <c r="D16" s="179"/>
      <c r="E16" s="235" t="s">
        <v>77</v>
      </c>
      <c r="F16" s="187">
        <v>2395</v>
      </c>
      <c r="G16" s="177" t="s">
        <v>22</v>
      </c>
      <c r="H16" s="235"/>
      <c r="I16" s="187">
        <v>2395</v>
      </c>
      <c r="J16" s="177" t="s">
        <v>22</v>
      </c>
      <c r="K16" s="235">
        <v>31080</v>
      </c>
      <c r="L16" s="303">
        <v>2821</v>
      </c>
      <c r="M16" s="304" t="s">
        <v>23</v>
      </c>
      <c r="N16" s="235">
        <v>31080</v>
      </c>
      <c r="O16" s="303">
        <v>2821</v>
      </c>
      <c r="P16" s="304" t="s">
        <v>23</v>
      </c>
      <c r="Q16" s="181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1"/>
        <v>0</v>
      </c>
      <c r="X16" s="114">
        <f>SUM(V16:W16)</f>
        <v>0</v>
      </c>
      <c r="Y16" s="114"/>
      <c r="Z16" s="74"/>
      <c r="AA16" s="74"/>
      <c r="AB16" s="74"/>
      <c r="AC16" s="74"/>
      <c r="AN16" s="74"/>
      <c r="AO16" s="76">
        <v>2821</v>
      </c>
      <c r="AP16" s="76" t="s">
        <v>23</v>
      </c>
      <c r="AQ16" s="185">
        <f t="shared" ref="AQ16:AQ18" si="8">SUMIF($O$9:$O$11,$AO16,$N$9:$N$11)+SUMIF($L$9:$L$11,$AO16,$K$9:$K$11)</f>
        <v>141792</v>
      </c>
      <c r="AR16" s="185">
        <f t="shared" ref="AR16:AR18" si="9">SUMIF($O$12:$O$14,$AO16,$N$12:$N$14)+SUMIF($L$12:$L$14,$AO16,$K$12:$K$14)</f>
        <v>192864</v>
      </c>
      <c r="AS16" s="185">
        <f t="shared" ref="AS16:AS18" si="10">SUMIF($O$15:$O$17,$AO16,$N$15:$N$17)+SUMIF($L$15:$L$17,$AO16,$K$15:$K$17)</f>
        <v>183120</v>
      </c>
      <c r="AT16" s="185">
        <f t="shared" ref="AT16:AT18" si="11">SUMIF($O$18:$O$20,$AO16,$N$18:$N$20)+SUMIF($L$18:$L$20,$AO16,$K$18:$K$20)</f>
        <v>24052</v>
      </c>
      <c r="AU16" s="185">
        <f t="shared" ref="AU16:AU18" si="12">SUMIF($O$21:$O$23,$AO16,$N$21:$N$23)+SUMIF($L$21:$L$23,$AO16,$K$21:$K$23)</f>
        <v>0</v>
      </c>
      <c r="AV16" s="185">
        <f t="shared" ref="AV16:AV18" si="13">SUMIF($O$24:$O$26,$AO16,$N$24:$N$26)+SUMIF($L$24:$L$26,$AO16,$K$24:$K$26)</f>
        <v>0</v>
      </c>
      <c r="AW16" s="185">
        <f t="shared" ref="AW16:AW18" si="14">SUMIF($O$27:$O$29,$AO16,$N$27:$N$29)+SUMIF($L$27:$L$29,$AO16,$K$27:$K$29)</f>
        <v>0</v>
      </c>
      <c r="AX16" s="220">
        <f t="shared" ref="AX16:AX18" si="15">SUM(AQ16:AW16)</f>
        <v>541828</v>
      </c>
      <c r="AY16" s="74"/>
      <c r="AZ16" s="74"/>
      <c r="BA16" s="74"/>
      <c r="BB16" s="74"/>
    </row>
    <row r="17" spans="1:54" ht="17.25" x14ac:dyDescent="0.2">
      <c r="A17" s="13"/>
      <c r="B17" s="221"/>
      <c r="C17" s="221" t="s">
        <v>20</v>
      </c>
      <c r="D17" s="182"/>
      <c r="E17" s="237">
        <v>6552</v>
      </c>
      <c r="F17" s="227">
        <v>2395</v>
      </c>
      <c r="G17" s="327" t="s">
        <v>22</v>
      </c>
      <c r="H17" s="237">
        <v>6552</v>
      </c>
      <c r="I17" s="227">
        <v>2395</v>
      </c>
      <c r="J17" s="327" t="s">
        <v>22</v>
      </c>
      <c r="K17" s="238">
        <v>28224</v>
      </c>
      <c r="L17" s="303">
        <v>2821</v>
      </c>
      <c r="M17" s="304" t="s">
        <v>23</v>
      </c>
      <c r="N17" s="238">
        <v>28224</v>
      </c>
      <c r="O17" s="303">
        <v>2821</v>
      </c>
      <c r="P17" s="304" t="s">
        <v>23</v>
      </c>
      <c r="Q17" s="184"/>
      <c r="R17" s="81"/>
      <c r="S17" s="74"/>
      <c r="T17" s="92" t="s">
        <v>32</v>
      </c>
      <c r="U17" s="93">
        <f>SUM(U10:U16)</f>
        <v>276615</v>
      </c>
      <c r="V17" s="93">
        <f>SUM(V10:V16)</f>
        <v>428033</v>
      </c>
      <c r="W17" s="93">
        <f>SUM(W10:W16)</f>
        <v>704648</v>
      </c>
      <c r="X17" s="127">
        <f>SUM(X10:X16)</f>
        <v>685163</v>
      </c>
      <c r="Y17" s="127">
        <f>SUM(Y10:Y16)</f>
        <v>19485</v>
      </c>
      <c r="Z17" s="74"/>
      <c r="AA17" s="74"/>
      <c r="AB17" s="74"/>
      <c r="AC17" s="74"/>
      <c r="AD17" s="215" t="s">
        <v>33</v>
      </c>
      <c r="AE17" s="74"/>
      <c r="AF17" s="74"/>
      <c r="AG17" s="74"/>
      <c r="AH17" s="74"/>
      <c r="AI17" s="74"/>
      <c r="AJ17" s="74"/>
      <c r="AK17" s="74"/>
      <c r="AL17" s="74"/>
      <c r="AM17" s="74"/>
      <c r="AN17" s="76"/>
      <c r="AO17" s="76">
        <v>6843</v>
      </c>
      <c r="AP17" s="76" t="s">
        <v>26</v>
      </c>
      <c r="AQ17" s="185">
        <f t="shared" si="8"/>
        <v>0</v>
      </c>
      <c r="AR17" s="185">
        <f t="shared" si="9"/>
        <v>0</v>
      </c>
      <c r="AS17" s="185">
        <f t="shared" si="10"/>
        <v>0</v>
      </c>
      <c r="AT17" s="185">
        <f t="shared" si="11"/>
        <v>31920</v>
      </c>
      <c r="AU17" s="185">
        <f t="shared" si="12"/>
        <v>152736</v>
      </c>
      <c r="AV17" s="185">
        <f t="shared" si="13"/>
        <v>18317</v>
      </c>
      <c r="AW17" s="185">
        <f t="shared" si="14"/>
        <v>0</v>
      </c>
      <c r="AX17" s="220">
        <f t="shared" si="15"/>
        <v>202973</v>
      </c>
      <c r="AY17" s="74"/>
      <c r="AZ17" s="74"/>
      <c r="BA17" s="74"/>
      <c r="BB17" s="74"/>
    </row>
    <row r="18" spans="1:54" ht="15" x14ac:dyDescent="0.2">
      <c r="A18" s="13"/>
      <c r="B18" s="216">
        <f>+B15+1</f>
        <v>46002</v>
      </c>
      <c r="C18" s="87" t="s">
        <v>10</v>
      </c>
      <c r="D18" s="175"/>
      <c r="E18" s="229">
        <v>17136</v>
      </c>
      <c r="F18" s="325">
        <v>2395</v>
      </c>
      <c r="G18" s="306" t="s">
        <v>22</v>
      </c>
      <c r="H18" s="229">
        <v>17136</v>
      </c>
      <c r="I18" s="325">
        <v>2395</v>
      </c>
      <c r="J18" s="306" t="s">
        <v>22</v>
      </c>
      <c r="K18" s="238">
        <v>12026</v>
      </c>
      <c r="L18" s="303">
        <v>2821</v>
      </c>
      <c r="M18" s="304" t="s">
        <v>23</v>
      </c>
      <c r="N18" s="238">
        <v>12026</v>
      </c>
      <c r="O18" s="303">
        <v>2821</v>
      </c>
      <c r="P18" s="304" t="s">
        <v>23</v>
      </c>
      <c r="Q18" s="178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9" t="s">
        <v>7</v>
      </c>
      <c r="AE18" s="79" t="s">
        <v>8</v>
      </c>
      <c r="AF18" s="80">
        <f>AF9</f>
        <v>45999</v>
      </c>
      <c r="AG18" s="80">
        <f t="shared" ref="AG18:AL18" si="16">AG9</f>
        <v>46000</v>
      </c>
      <c r="AH18" s="80">
        <f t="shared" si="16"/>
        <v>46001</v>
      </c>
      <c r="AI18" s="80">
        <f t="shared" si="16"/>
        <v>46002</v>
      </c>
      <c r="AJ18" s="80">
        <f t="shared" si="16"/>
        <v>46003</v>
      </c>
      <c r="AK18" s="80">
        <f t="shared" si="16"/>
        <v>46004</v>
      </c>
      <c r="AL18" s="80">
        <f t="shared" si="16"/>
        <v>46005</v>
      </c>
      <c r="AM18" s="79" t="s">
        <v>34</v>
      </c>
      <c r="AN18" s="74"/>
      <c r="AO18" s="76">
        <v>6842</v>
      </c>
      <c r="AP18" s="76" t="s">
        <v>29</v>
      </c>
      <c r="AQ18" s="185">
        <f t="shared" si="8"/>
        <v>0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220">
        <f t="shared" si="15"/>
        <v>0</v>
      </c>
      <c r="AY18" s="74"/>
      <c r="AZ18" s="74"/>
      <c r="BA18" s="74"/>
      <c r="BB18" s="74"/>
    </row>
    <row r="19" spans="1:54" ht="15" x14ac:dyDescent="0.2">
      <c r="A19" s="13"/>
      <c r="B19" s="216" t="s">
        <v>35</v>
      </c>
      <c r="C19" s="85" t="s">
        <v>19</v>
      </c>
      <c r="D19" s="179"/>
      <c r="E19" s="235">
        <v>11256</v>
      </c>
      <c r="F19" s="326">
        <v>2395</v>
      </c>
      <c r="G19" s="177" t="s">
        <v>22</v>
      </c>
      <c r="H19" s="235">
        <v>11256</v>
      </c>
      <c r="I19" s="326">
        <v>2395</v>
      </c>
      <c r="J19" s="177" t="s">
        <v>22</v>
      </c>
      <c r="K19" s="235"/>
      <c r="L19" s="219"/>
      <c r="M19" s="223"/>
      <c r="N19" s="235"/>
      <c r="O19" s="219"/>
      <c r="P19" s="223"/>
      <c r="Q19" s="181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6">
        <v>1564</v>
      </c>
      <c r="AE19" s="76" t="s">
        <v>11</v>
      </c>
      <c r="AF19" s="82">
        <f t="shared" ref="AF19:AL19" si="17">AF10/(1/12/0.65*100)</f>
        <v>5498.5320000000002</v>
      </c>
      <c r="AG19" s="82">
        <f t="shared" si="17"/>
        <v>0</v>
      </c>
      <c r="AH19" s="82">
        <f t="shared" si="17"/>
        <v>0</v>
      </c>
      <c r="AI19" s="82">
        <f t="shared" si="17"/>
        <v>0</v>
      </c>
      <c r="AJ19" s="82">
        <f t="shared" si="17"/>
        <v>0</v>
      </c>
      <c r="AK19" s="82">
        <f t="shared" si="17"/>
        <v>9652.5780000000013</v>
      </c>
      <c r="AL19" s="82">
        <f t="shared" si="17"/>
        <v>17848.194000000003</v>
      </c>
      <c r="AM19" s="83">
        <f>SUM(AF19:AL19)</f>
        <v>32999.304000000004</v>
      </c>
      <c r="AN19" s="74"/>
      <c r="AO19" s="74"/>
      <c r="AP19" s="74"/>
      <c r="AQ19" s="224">
        <f>SUM(AQ15:AQ18)</f>
        <v>167056</v>
      </c>
      <c r="AR19" s="224">
        <f t="shared" ref="AR19:AW19" si="18">SUM(AR15:AR18)</f>
        <v>192864</v>
      </c>
      <c r="AS19" s="224">
        <f t="shared" si="18"/>
        <v>183120</v>
      </c>
      <c r="AT19" s="224">
        <f t="shared" si="18"/>
        <v>55972</v>
      </c>
      <c r="AU19" s="224">
        <f t="shared" si="18"/>
        <v>152736</v>
      </c>
      <c r="AV19" s="224">
        <f t="shared" si="18"/>
        <v>142068</v>
      </c>
      <c r="AW19" s="224">
        <f t="shared" si="18"/>
        <v>149519</v>
      </c>
      <c r="AX19" s="224">
        <f>SUM(AX15:AX18)</f>
        <v>1043335</v>
      </c>
      <c r="AY19" s="74"/>
      <c r="AZ19" s="74"/>
      <c r="BA19" s="74"/>
      <c r="BB19" s="74"/>
    </row>
    <row r="20" spans="1:54" ht="18.75" x14ac:dyDescent="0.2">
      <c r="A20" s="13"/>
      <c r="B20" s="221"/>
      <c r="C20" s="86" t="s">
        <v>20</v>
      </c>
      <c r="D20" s="182"/>
      <c r="E20" s="237">
        <v>16968</v>
      </c>
      <c r="F20" s="227">
        <v>2395</v>
      </c>
      <c r="G20" s="327" t="s">
        <v>22</v>
      </c>
      <c r="H20" s="237">
        <v>16968</v>
      </c>
      <c r="I20" s="227">
        <v>2395</v>
      </c>
      <c r="J20" s="327" t="s">
        <v>22</v>
      </c>
      <c r="K20" s="237">
        <v>15960</v>
      </c>
      <c r="L20" s="934">
        <v>6843</v>
      </c>
      <c r="M20" s="935" t="s">
        <v>21</v>
      </c>
      <c r="N20" s="237">
        <v>15960</v>
      </c>
      <c r="O20" s="934">
        <v>6843</v>
      </c>
      <c r="P20" s="935" t="s">
        <v>21</v>
      </c>
      <c r="Q20" s="184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6">
        <v>2395</v>
      </c>
      <c r="AE20" s="76" t="s">
        <v>22</v>
      </c>
      <c r="AF20" s="82">
        <f t="shared" ref="AF20:AL20" si="19">AF11/(1/12/0.62*100)</f>
        <v>3449.7792000000004</v>
      </c>
      <c r="AG20" s="82">
        <f t="shared" si="19"/>
        <v>7099.5456000000004</v>
      </c>
      <c r="AH20" s="82">
        <f t="shared" si="19"/>
        <v>1687.3920000000001</v>
      </c>
      <c r="AI20" s="82">
        <f t="shared" si="19"/>
        <v>6749.5680000000002</v>
      </c>
      <c r="AJ20" s="82">
        <f t="shared" si="19"/>
        <v>5749.6320000000005</v>
      </c>
      <c r="AK20" s="82">
        <f t="shared" si="19"/>
        <v>6877.7592000000004</v>
      </c>
      <c r="AL20" s="82">
        <f t="shared" si="19"/>
        <v>0</v>
      </c>
      <c r="AM20" s="83">
        <f>SUM(AF20:AL20)</f>
        <v>31613.676000000003</v>
      </c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</row>
    <row r="21" spans="1:54" ht="15.75" x14ac:dyDescent="0.2">
      <c r="A21" s="13"/>
      <c r="B21" s="216">
        <f>+B18+1</f>
        <v>46003</v>
      </c>
      <c r="C21" s="87" t="s">
        <v>10</v>
      </c>
      <c r="D21" s="175"/>
      <c r="E21" s="936">
        <v>10416</v>
      </c>
      <c r="F21" s="187">
        <v>2395</v>
      </c>
      <c r="G21" s="306" t="s">
        <v>22</v>
      </c>
      <c r="H21" s="936">
        <v>10416</v>
      </c>
      <c r="I21" s="187">
        <v>2395</v>
      </c>
      <c r="J21" s="306" t="s">
        <v>22</v>
      </c>
      <c r="K21" s="324">
        <v>27000</v>
      </c>
      <c r="L21" s="937">
        <v>6843</v>
      </c>
      <c r="M21" s="938" t="s">
        <v>21</v>
      </c>
      <c r="N21" s="207">
        <v>25032</v>
      </c>
      <c r="O21" s="937">
        <v>6843</v>
      </c>
      <c r="P21" s="938" t="s">
        <v>21</v>
      </c>
      <c r="Q21" s="178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6">
        <v>2821</v>
      </c>
      <c r="AE21" s="76" t="s">
        <v>23</v>
      </c>
      <c r="AF21" s="82">
        <f t="shared" ref="AF21:AL21" si="20">AF12/(1/12/0.63*100)</f>
        <v>10719.475200000001</v>
      </c>
      <c r="AG21" s="82">
        <f t="shared" si="20"/>
        <v>14580.518400000001</v>
      </c>
      <c r="AH21" s="82">
        <f t="shared" si="20"/>
        <v>13843.872000000001</v>
      </c>
      <c r="AI21" s="82">
        <f t="shared" si="20"/>
        <v>1818.3312000000001</v>
      </c>
      <c r="AJ21" s="82">
        <f t="shared" si="20"/>
        <v>0</v>
      </c>
      <c r="AK21" s="82">
        <f t="shared" si="20"/>
        <v>0</v>
      </c>
      <c r="AL21" s="82">
        <f t="shared" si="20"/>
        <v>0</v>
      </c>
      <c r="AM21" s="83">
        <f>SUM(AF21:AL21)</f>
        <v>40962.196800000005</v>
      </c>
      <c r="AN21" s="74"/>
      <c r="AO21" s="215" t="s">
        <v>9</v>
      </c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</row>
    <row r="22" spans="1:54" ht="15" x14ac:dyDescent="0.2">
      <c r="A22" s="13"/>
      <c r="B22" s="216" t="s">
        <v>42</v>
      </c>
      <c r="C22" s="85" t="s">
        <v>19</v>
      </c>
      <c r="D22" s="179"/>
      <c r="E22" s="939">
        <v>17136</v>
      </c>
      <c r="F22" s="187">
        <v>2395</v>
      </c>
      <c r="G22" s="177" t="s">
        <v>22</v>
      </c>
      <c r="H22" s="939">
        <v>17136</v>
      </c>
      <c r="I22" s="187">
        <v>2395</v>
      </c>
      <c r="J22" s="177" t="s">
        <v>22</v>
      </c>
      <c r="K22" s="234">
        <v>27000</v>
      </c>
      <c r="L22" s="328">
        <v>6843</v>
      </c>
      <c r="M22" s="329" t="s">
        <v>21</v>
      </c>
      <c r="N22" s="176">
        <v>21504</v>
      </c>
      <c r="O22" s="328">
        <v>6843</v>
      </c>
      <c r="P22" s="329" t="s">
        <v>21</v>
      </c>
      <c r="Q22" s="181"/>
      <c r="R22" s="81"/>
      <c r="S22" s="94">
        <v>1564</v>
      </c>
      <c r="T22" s="95" t="s">
        <v>11</v>
      </c>
      <c r="U22" s="96">
        <f>U10*12*0.65/100</f>
        <v>4961.97</v>
      </c>
      <c r="V22" s="96">
        <f>V10*12*0.65/100</f>
        <v>12255.281999999999</v>
      </c>
      <c r="W22" s="96">
        <f>SUM(U22:V22)</f>
        <v>17217.252</v>
      </c>
      <c r="X22" s="96">
        <v>28782</v>
      </c>
      <c r="Y22" s="96">
        <f>W22-X22</f>
        <v>-11564.748</v>
      </c>
      <c r="Z22" s="74"/>
      <c r="AA22" s="74"/>
      <c r="AB22" s="74"/>
      <c r="AC22" s="74"/>
      <c r="AD22" s="76">
        <v>6843</v>
      </c>
      <c r="AE22" s="76" t="s">
        <v>26</v>
      </c>
      <c r="AF22" s="82">
        <f t="shared" ref="AF22:AL23" si="21">AF13/(1/12/0.62*100)</f>
        <v>0</v>
      </c>
      <c r="AG22" s="82">
        <f t="shared" si="21"/>
        <v>0</v>
      </c>
      <c r="AH22" s="82">
        <f t="shared" si="21"/>
        <v>0</v>
      </c>
      <c r="AI22" s="82">
        <f t="shared" si="21"/>
        <v>2374.8480000000004</v>
      </c>
      <c r="AJ22" s="82">
        <f t="shared" si="21"/>
        <v>11363.558400000002</v>
      </c>
      <c r="AK22" s="82">
        <f t="shared" si="21"/>
        <v>1362.7848000000001</v>
      </c>
      <c r="AL22" s="82">
        <f t="shared" si="21"/>
        <v>0</v>
      </c>
      <c r="AM22" s="83">
        <f>SUM(AF22:AL22)</f>
        <v>15101.191200000001</v>
      </c>
      <c r="AN22" s="74"/>
      <c r="AO22" s="79" t="s">
        <v>7</v>
      </c>
      <c r="AP22" s="79" t="s">
        <v>8</v>
      </c>
      <c r="AQ22" s="80">
        <f>AQ9</f>
        <v>45999</v>
      </c>
      <c r="AR22" s="80">
        <f t="shared" ref="AR22:AW22" si="22">AR9</f>
        <v>46000</v>
      </c>
      <c r="AS22" s="80">
        <f t="shared" si="22"/>
        <v>46001</v>
      </c>
      <c r="AT22" s="80">
        <f t="shared" si="22"/>
        <v>46002</v>
      </c>
      <c r="AU22" s="80">
        <f t="shared" si="22"/>
        <v>46003</v>
      </c>
      <c r="AV22" s="80">
        <f t="shared" si="22"/>
        <v>46004</v>
      </c>
      <c r="AW22" s="80">
        <f t="shared" si="22"/>
        <v>46005</v>
      </c>
      <c r="AX22" s="79" t="s">
        <v>34</v>
      </c>
      <c r="AY22" s="74"/>
      <c r="AZ22" s="74"/>
      <c r="BA22" s="74"/>
      <c r="BB22" s="74"/>
    </row>
    <row r="23" spans="1:54" ht="15.75" x14ac:dyDescent="0.2">
      <c r="A23" s="13"/>
      <c r="B23" s="221"/>
      <c r="C23" s="86" t="s">
        <v>20</v>
      </c>
      <c r="D23" s="182"/>
      <c r="E23" s="940">
        <v>11088</v>
      </c>
      <c r="F23" s="227">
        <v>2395</v>
      </c>
      <c r="G23" s="327" t="s">
        <v>22</v>
      </c>
      <c r="H23" s="940">
        <v>11088</v>
      </c>
      <c r="I23" s="227">
        <v>2395</v>
      </c>
      <c r="J23" s="327" t="s">
        <v>22</v>
      </c>
      <c r="K23" s="183">
        <v>27000</v>
      </c>
      <c r="L23" s="330">
        <v>6843</v>
      </c>
      <c r="M23" s="331" t="s">
        <v>21</v>
      </c>
      <c r="N23" s="183">
        <v>25200</v>
      </c>
      <c r="O23" s="330">
        <v>6843</v>
      </c>
      <c r="P23" s="331" t="s">
        <v>21</v>
      </c>
      <c r="Q23" s="184"/>
      <c r="R23" s="81"/>
      <c r="S23" s="97">
        <v>2395</v>
      </c>
      <c r="T23" s="98" t="s">
        <v>22</v>
      </c>
      <c r="U23" s="99">
        <f>U11*12*0.62/100</f>
        <v>15847.2</v>
      </c>
      <c r="V23" s="99">
        <f>V11*12*0.62/100</f>
        <v>0</v>
      </c>
      <c r="W23" s="99">
        <f t="shared" ref="W23:W28" si="23">SUM(U23:V23)</f>
        <v>15847.2</v>
      </c>
      <c r="X23" s="99">
        <v>10416</v>
      </c>
      <c r="Y23" s="99">
        <f t="shared" ref="Y23:Y28" si="24">W23-X23</f>
        <v>5431.2000000000007</v>
      </c>
      <c r="Z23" s="82"/>
      <c r="AA23" s="92" t="s">
        <v>43</v>
      </c>
      <c r="AB23" s="92" t="s">
        <v>33</v>
      </c>
      <c r="AC23" s="74"/>
      <c r="AD23" s="76">
        <v>6842</v>
      </c>
      <c r="AE23" s="76" t="s">
        <v>29</v>
      </c>
      <c r="AF23" s="82">
        <f t="shared" si="21"/>
        <v>0</v>
      </c>
      <c r="AG23" s="82">
        <f t="shared" si="21"/>
        <v>0</v>
      </c>
      <c r="AH23" s="82">
        <f t="shared" si="21"/>
        <v>0</v>
      </c>
      <c r="AI23" s="82">
        <f t="shared" si="21"/>
        <v>0</v>
      </c>
      <c r="AJ23" s="82">
        <f t="shared" si="21"/>
        <v>0</v>
      </c>
      <c r="AK23" s="82">
        <f t="shared" si="21"/>
        <v>0</v>
      </c>
      <c r="AL23" s="82">
        <f t="shared" si="21"/>
        <v>0</v>
      </c>
      <c r="AM23" s="83">
        <f>SUM(AF23:AL23)</f>
        <v>0</v>
      </c>
      <c r="AN23" s="74"/>
      <c r="AO23" s="76">
        <v>1564</v>
      </c>
      <c r="AP23" s="76" t="s">
        <v>11</v>
      </c>
      <c r="AQ23" s="185">
        <f>AQ10*12*0.65/100</f>
        <v>3527.94</v>
      </c>
      <c r="AR23" s="185">
        <f t="shared" ref="AR23:AW23" si="25">AR10*12*0.65/100</f>
        <v>0</v>
      </c>
      <c r="AS23" s="185">
        <f t="shared" si="25"/>
        <v>0</v>
      </c>
      <c r="AT23" s="185">
        <f t="shared" si="25"/>
        <v>0</v>
      </c>
      <c r="AU23" s="185">
        <f t="shared" si="25"/>
        <v>0</v>
      </c>
      <c r="AV23" s="185">
        <f t="shared" si="25"/>
        <v>0</v>
      </c>
      <c r="AW23" s="185">
        <f t="shared" si="25"/>
        <v>6185.7120000000004</v>
      </c>
      <c r="AX23" s="220">
        <f>SUM(AQ23:AW23)</f>
        <v>9713.652</v>
      </c>
      <c r="AY23" s="74"/>
      <c r="AZ23" s="74"/>
      <c r="BA23" s="74"/>
      <c r="BB23" s="74"/>
    </row>
    <row r="24" spans="1:54" ht="15" x14ac:dyDescent="0.2">
      <c r="A24" s="13"/>
      <c r="B24" s="216">
        <f>+B21+1</f>
        <v>46004</v>
      </c>
      <c r="C24" s="87" t="s">
        <v>10</v>
      </c>
      <c r="D24" s="175"/>
      <c r="E24" s="941">
        <v>16500</v>
      </c>
      <c r="F24" s="187">
        <v>2395</v>
      </c>
      <c r="G24" s="306" t="s">
        <v>22</v>
      </c>
      <c r="H24" s="941">
        <v>14784</v>
      </c>
      <c r="I24" s="187">
        <v>2395</v>
      </c>
      <c r="J24" s="306" t="s">
        <v>22</v>
      </c>
      <c r="K24" s="186">
        <v>5513</v>
      </c>
      <c r="L24" s="328">
        <v>6843</v>
      </c>
      <c r="M24" s="329" t="s">
        <v>21</v>
      </c>
      <c r="N24" s="234">
        <v>12804</v>
      </c>
      <c r="O24" s="328">
        <v>6843</v>
      </c>
      <c r="P24" s="329" t="s">
        <v>21</v>
      </c>
      <c r="Q24" s="178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20481.098400000003</v>
      </c>
      <c r="W24" s="102">
        <f t="shared" si="23"/>
        <v>20481.098400000003</v>
      </c>
      <c r="X24" s="102">
        <v>10962</v>
      </c>
      <c r="Y24" s="102">
        <f t="shared" si="24"/>
        <v>9519.0984000000026</v>
      </c>
      <c r="Z24" s="74"/>
      <c r="AA24" s="116" t="s">
        <v>44</v>
      </c>
      <c r="AB24" s="117">
        <f>W22+W25</f>
        <v>17217.252</v>
      </c>
      <c r="AC24" s="74"/>
      <c r="AD24" s="74"/>
      <c r="AE24" s="74"/>
      <c r="AF24" s="83">
        <f t="shared" ref="AF24:AL24" si="26">+SUM(AF19:AF23)</f>
        <v>19667.786400000001</v>
      </c>
      <c r="AG24" s="83">
        <f t="shared" si="26"/>
        <v>21680.064000000002</v>
      </c>
      <c r="AH24" s="83">
        <f t="shared" si="26"/>
        <v>15531.264000000001</v>
      </c>
      <c r="AI24" s="83">
        <f t="shared" si="26"/>
        <v>10942.7472</v>
      </c>
      <c r="AJ24" s="83">
        <f t="shared" si="26"/>
        <v>17113.190400000003</v>
      </c>
      <c r="AK24" s="83">
        <f t="shared" si="26"/>
        <v>17893.122000000003</v>
      </c>
      <c r="AL24" s="83">
        <f t="shared" si="26"/>
        <v>17848.194000000003</v>
      </c>
      <c r="AM24" s="83">
        <f>SUM(AM19:AM23)</f>
        <v>120676.36800000002</v>
      </c>
      <c r="AN24" s="74"/>
      <c r="AO24" s="76">
        <v>2395</v>
      </c>
      <c r="AP24" s="76" t="s">
        <v>22</v>
      </c>
      <c r="AQ24" s="185">
        <f>AQ11*12*0.62/100</f>
        <v>3449.7791999999999</v>
      </c>
      <c r="AR24" s="185">
        <f t="shared" ref="AR24:AW24" si="27">AR11*12*0.62/100</f>
        <v>7099.5455999999995</v>
      </c>
      <c r="AS24" s="185">
        <f t="shared" si="27"/>
        <v>1687.3920000000001</v>
      </c>
      <c r="AT24" s="185">
        <f t="shared" si="27"/>
        <v>6749.5680000000002</v>
      </c>
      <c r="AU24" s="185">
        <f t="shared" si="27"/>
        <v>5749.6319999999996</v>
      </c>
      <c r="AV24" s="185">
        <f t="shared" si="27"/>
        <v>6877.7592000000004</v>
      </c>
      <c r="AW24" s="185">
        <f t="shared" si="27"/>
        <v>0</v>
      </c>
      <c r="AX24" s="220">
        <f t="shared" ref="AX24" si="28">SUM(AQ24:AW24)</f>
        <v>31613.675999999999</v>
      </c>
      <c r="AY24" s="74"/>
      <c r="AZ24" s="74"/>
      <c r="BA24" s="74"/>
      <c r="BB24" s="74"/>
    </row>
    <row r="25" spans="1:54" ht="15" x14ac:dyDescent="0.2">
      <c r="A25" s="13"/>
      <c r="B25" s="216" t="s">
        <v>45</v>
      </c>
      <c r="C25" s="85" t="s">
        <v>19</v>
      </c>
      <c r="D25" s="179"/>
      <c r="E25" s="942">
        <v>16500</v>
      </c>
      <c r="F25" s="187">
        <v>2395</v>
      </c>
      <c r="G25" s="177" t="s">
        <v>22</v>
      </c>
      <c r="H25" s="942">
        <v>15960</v>
      </c>
      <c r="I25" s="187">
        <v>2395</v>
      </c>
      <c r="J25" s="177" t="s">
        <v>22</v>
      </c>
      <c r="K25" s="186">
        <f>30000+9487</f>
        <v>39487</v>
      </c>
      <c r="L25" s="943">
        <v>1564</v>
      </c>
      <c r="M25" s="944" t="s">
        <v>11</v>
      </c>
      <c r="N25" s="234">
        <f>4368+22344</f>
        <v>26712</v>
      </c>
      <c r="O25" s="943">
        <v>1564</v>
      </c>
      <c r="P25" s="944" t="s">
        <v>11</v>
      </c>
      <c r="Q25" s="181"/>
      <c r="R25" s="81"/>
      <c r="S25" s="103">
        <v>5037</v>
      </c>
      <c r="T25" s="104" t="s">
        <v>25</v>
      </c>
      <c r="U25" s="105">
        <f>U13*12/100</f>
        <v>0</v>
      </c>
      <c r="V25" s="105">
        <f>V13*12/100</f>
        <v>0</v>
      </c>
      <c r="W25" s="105">
        <f t="shared" si="23"/>
        <v>0</v>
      </c>
      <c r="X25" s="105">
        <v>0</v>
      </c>
      <c r="Y25" s="105">
        <f t="shared" si="24"/>
        <v>0</v>
      </c>
      <c r="Z25" s="74"/>
      <c r="AA25" s="118" t="s">
        <v>46</v>
      </c>
      <c r="AB25" s="119">
        <f>W23+W26</f>
        <v>15847.2</v>
      </c>
      <c r="AC25" s="74"/>
      <c r="AN25" s="74"/>
      <c r="AO25" s="74"/>
      <c r="AP25" s="74"/>
      <c r="AQ25" s="185">
        <f>SUM(AQ23:AQ24)</f>
        <v>6977.7191999999995</v>
      </c>
      <c r="AR25" s="185">
        <f t="shared" ref="AR25:AX25" si="29">SUM(AR23:AR24)</f>
        <v>7099.5455999999995</v>
      </c>
      <c r="AS25" s="185">
        <f t="shared" si="29"/>
        <v>1687.3920000000001</v>
      </c>
      <c r="AT25" s="185">
        <f t="shared" si="29"/>
        <v>6749.5680000000002</v>
      </c>
      <c r="AU25" s="185">
        <f t="shared" si="29"/>
        <v>5749.6319999999996</v>
      </c>
      <c r="AV25" s="185">
        <f t="shared" si="29"/>
        <v>6877.7592000000004</v>
      </c>
      <c r="AW25" s="185">
        <f t="shared" si="29"/>
        <v>6185.7120000000004</v>
      </c>
      <c r="AX25" s="220">
        <f t="shared" si="29"/>
        <v>41327.328000000001</v>
      </c>
      <c r="AY25" s="74"/>
      <c r="AZ25" s="74"/>
      <c r="BA25" s="74"/>
      <c r="BB25" s="74"/>
    </row>
    <row r="26" spans="1:54" ht="15" x14ac:dyDescent="0.2">
      <c r="A26" s="13"/>
      <c r="B26" s="221"/>
      <c r="C26" s="86" t="s">
        <v>20</v>
      </c>
      <c r="D26" s="182"/>
      <c r="E26" s="942">
        <v>13764</v>
      </c>
      <c r="F26" s="187">
        <v>2395</v>
      </c>
      <c r="G26" s="177" t="s">
        <v>22</v>
      </c>
      <c r="H26" s="942">
        <f>14280+655</f>
        <v>14935</v>
      </c>
      <c r="I26" s="187">
        <v>2395</v>
      </c>
      <c r="J26" s="177" t="s">
        <v>22</v>
      </c>
      <c r="K26" s="183">
        <v>30000</v>
      </c>
      <c r="L26" s="930">
        <v>1564</v>
      </c>
      <c r="M26" s="931" t="s">
        <v>11</v>
      </c>
      <c r="N26" s="183">
        <v>27552</v>
      </c>
      <c r="O26" s="930">
        <v>1564</v>
      </c>
      <c r="P26" s="931" t="s">
        <v>11</v>
      </c>
      <c r="Q26" s="184"/>
      <c r="R26" s="81"/>
      <c r="S26" s="106">
        <v>6788</v>
      </c>
      <c r="T26" s="107" t="s">
        <v>28</v>
      </c>
      <c r="U26" s="108">
        <f>U14*12/100</f>
        <v>0</v>
      </c>
      <c r="V26" s="108">
        <f>V14*12/100</f>
        <v>0</v>
      </c>
      <c r="W26" s="108">
        <f t="shared" si="23"/>
        <v>0</v>
      </c>
      <c r="X26" s="108">
        <v>0</v>
      </c>
      <c r="Y26" s="108">
        <f t="shared" si="24"/>
        <v>0</v>
      </c>
      <c r="Z26" s="74"/>
      <c r="AA26" s="120" t="s">
        <v>47</v>
      </c>
      <c r="AB26" s="121">
        <f>W24</f>
        <v>20481.098400000003</v>
      </c>
      <c r="AC26" s="74"/>
      <c r="AN26" s="76"/>
      <c r="AO26" s="215" t="s">
        <v>27</v>
      </c>
      <c r="AP26" s="74"/>
      <c r="AQ26" s="74"/>
      <c r="AR26" s="74"/>
      <c r="AS26" s="74"/>
      <c r="AT26" s="74"/>
      <c r="AU26" s="74"/>
      <c r="AV26" s="74"/>
      <c r="AW26" s="74"/>
      <c r="AX26" s="83"/>
      <c r="AY26" s="74"/>
      <c r="AZ26" s="74"/>
      <c r="BA26" s="74"/>
      <c r="BB26" s="74"/>
    </row>
    <row r="27" spans="1:54" ht="15" x14ac:dyDescent="0.2">
      <c r="A27" s="13"/>
      <c r="B27" s="216">
        <f>+B24+1</f>
        <v>46005</v>
      </c>
      <c r="C27" s="87" t="s">
        <v>10</v>
      </c>
      <c r="D27" s="175"/>
      <c r="E27" s="234">
        <v>8000</v>
      </c>
      <c r="F27" s="187">
        <v>1564</v>
      </c>
      <c r="G27" s="306" t="s">
        <v>11</v>
      </c>
      <c r="H27" s="186">
        <v>10080</v>
      </c>
      <c r="I27" s="187">
        <v>1564</v>
      </c>
      <c r="J27" s="306" t="s">
        <v>11</v>
      </c>
      <c r="K27" s="176">
        <v>30000</v>
      </c>
      <c r="L27" s="187">
        <v>1564</v>
      </c>
      <c r="M27" s="177" t="s">
        <v>11</v>
      </c>
      <c r="N27" s="176">
        <v>27720</v>
      </c>
      <c r="O27" s="187">
        <v>1564</v>
      </c>
      <c r="P27" s="177" t="s">
        <v>11</v>
      </c>
      <c r="Q27" s="178"/>
      <c r="R27" s="81"/>
      <c r="S27" s="109">
        <v>6841</v>
      </c>
      <c r="T27" s="110" t="s">
        <v>26</v>
      </c>
      <c r="U27" s="111">
        <f>U15*12*0.62/100</f>
        <v>0</v>
      </c>
      <c r="V27" s="111">
        <f>V15*12*0.63/100</f>
        <v>0</v>
      </c>
      <c r="W27" s="111">
        <f t="shared" si="23"/>
        <v>0</v>
      </c>
      <c r="X27" s="111">
        <v>0</v>
      </c>
      <c r="Y27" s="111">
        <f t="shared" si="24"/>
        <v>0</v>
      </c>
      <c r="Z27" s="74"/>
      <c r="AA27" s="124" t="s">
        <v>48</v>
      </c>
      <c r="AB27" s="125">
        <f>W27</f>
        <v>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9" t="s">
        <v>7</v>
      </c>
      <c r="AP27" s="79" t="s">
        <v>8</v>
      </c>
      <c r="AQ27" s="80">
        <f>AQ22</f>
        <v>45999</v>
      </c>
      <c r="AR27" s="80">
        <f t="shared" ref="AR27:AW27" si="30">AR22</f>
        <v>46000</v>
      </c>
      <c r="AS27" s="80">
        <f t="shared" si="30"/>
        <v>46001</v>
      </c>
      <c r="AT27" s="80">
        <f t="shared" si="30"/>
        <v>46002</v>
      </c>
      <c r="AU27" s="80">
        <f t="shared" si="30"/>
        <v>46003</v>
      </c>
      <c r="AV27" s="80">
        <f t="shared" si="30"/>
        <v>46004</v>
      </c>
      <c r="AW27" s="80">
        <f t="shared" si="30"/>
        <v>46005</v>
      </c>
      <c r="AX27" s="79" t="s">
        <v>34</v>
      </c>
      <c r="AY27" s="74"/>
      <c r="AZ27" s="74"/>
      <c r="BA27" s="74"/>
      <c r="BB27" s="74"/>
    </row>
    <row r="28" spans="1:54" ht="15" x14ac:dyDescent="0.2">
      <c r="A28" s="13"/>
      <c r="B28" s="216" t="s">
        <v>49</v>
      </c>
      <c r="C28" s="85" t="s">
        <v>19</v>
      </c>
      <c r="D28" s="179"/>
      <c r="E28" s="176">
        <v>16500</v>
      </c>
      <c r="F28" s="187">
        <v>1564</v>
      </c>
      <c r="G28" s="177" t="s">
        <v>11</v>
      </c>
      <c r="H28" s="206">
        <v>13440</v>
      </c>
      <c r="I28" s="187">
        <v>1564</v>
      </c>
      <c r="J28" s="177" t="s">
        <v>11</v>
      </c>
      <c r="K28" s="176">
        <v>30000</v>
      </c>
      <c r="L28" s="187">
        <v>1564</v>
      </c>
      <c r="M28" s="177" t="s">
        <v>11</v>
      </c>
      <c r="N28" s="176">
        <v>25368</v>
      </c>
      <c r="O28" s="187">
        <v>1564</v>
      </c>
      <c r="P28" s="177" t="s">
        <v>11</v>
      </c>
      <c r="Q28" s="181"/>
      <c r="R28" s="81"/>
      <c r="S28" s="112">
        <v>6842</v>
      </c>
      <c r="T28" s="113" t="s">
        <v>29</v>
      </c>
      <c r="U28" s="114">
        <f t="shared" ref="U28" si="31">U16*12*0.62/100</f>
        <v>0</v>
      </c>
      <c r="V28" s="114">
        <f t="shared" ref="V28" si="32">V16*12*0.62/100</f>
        <v>0</v>
      </c>
      <c r="W28" s="114">
        <f t="shared" si="23"/>
        <v>0</v>
      </c>
      <c r="X28" s="114">
        <v>0</v>
      </c>
      <c r="Y28" s="114">
        <f t="shared" si="24"/>
        <v>0</v>
      </c>
      <c r="Z28" s="74"/>
      <c r="AA28" s="122" t="s">
        <v>50</v>
      </c>
      <c r="AB28" s="123">
        <f>W28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>
        <v>1564</v>
      </c>
      <c r="AP28" s="76" t="s">
        <v>11</v>
      </c>
      <c r="AQ28" s="185">
        <f>AQ15*12*0.65/100</f>
        <v>1970.5920000000001</v>
      </c>
      <c r="AR28" s="185">
        <f t="shared" ref="AR28:AW28" si="33">AR15*12*0.65/100</f>
        <v>0</v>
      </c>
      <c r="AS28" s="185">
        <f t="shared" si="33"/>
        <v>0</v>
      </c>
      <c r="AT28" s="185">
        <f t="shared" si="33"/>
        <v>0</v>
      </c>
      <c r="AU28" s="185">
        <f t="shared" si="33"/>
        <v>0</v>
      </c>
      <c r="AV28" s="185">
        <f t="shared" si="33"/>
        <v>9652.5780000000013</v>
      </c>
      <c r="AW28" s="185">
        <f t="shared" si="33"/>
        <v>11662.482</v>
      </c>
      <c r="AX28" s="220">
        <f>SUM(AQ28:AW28)</f>
        <v>23285.652000000002</v>
      </c>
      <c r="AY28" s="74"/>
      <c r="AZ28" s="74"/>
      <c r="BA28" s="74"/>
      <c r="BB28" s="74"/>
    </row>
    <row r="29" spans="1:54" ht="17.25" x14ac:dyDescent="0.2">
      <c r="A29" s="13"/>
      <c r="B29" s="221"/>
      <c r="C29" s="86" t="s">
        <v>20</v>
      </c>
      <c r="D29" s="182"/>
      <c r="E29" s="230">
        <v>16500</v>
      </c>
      <c r="F29" s="326">
        <v>1564</v>
      </c>
      <c r="G29" s="327" t="s">
        <v>11</v>
      </c>
      <c r="H29" s="309">
        <v>14784</v>
      </c>
      <c r="I29" s="326">
        <v>1564</v>
      </c>
      <c r="J29" s="327" t="s">
        <v>11</v>
      </c>
      <c r="K29" s="183">
        <v>15000</v>
      </c>
      <c r="L29" s="227">
        <v>1564</v>
      </c>
      <c r="M29" s="228" t="s">
        <v>11</v>
      </c>
      <c r="N29" s="183">
        <f>19488+1943</f>
        <v>21431</v>
      </c>
      <c r="O29" s="227">
        <v>1564</v>
      </c>
      <c r="P29" s="228" t="s">
        <v>11</v>
      </c>
      <c r="Q29" s="181"/>
      <c r="R29" s="81"/>
      <c r="S29" s="74"/>
      <c r="T29" s="126" t="s">
        <v>39</v>
      </c>
      <c r="U29" s="127">
        <f>SUM(U22:U28)</f>
        <v>20809.170000000002</v>
      </c>
      <c r="V29" s="127">
        <f>SUM(V22:V28)</f>
        <v>32736.380400000002</v>
      </c>
      <c r="W29" s="127">
        <f>SUM(W22:W28)</f>
        <v>53545.550400000007</v>
      </c>
      <c r="X29" s="127">
        <f>SUM(X22:X28)</f>
        <v>50160</v>
      </c>
      <c r="Y29" s="127">
        <f>SUM(Y22:Y28)</f>
        <v>3385.5504000000037</v>
      </c>
      <c r="Z29" s="74"/>
      <c r="AA29" s="92" t="s">
        <v>51</v>
      </c>
      <c r="AB29" s="93">
        <f>SUM(AB24:AB28)</f>
        <v>53545.550400000007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>
        <v>2821</v>
      </c>
      <c r="AP29" s="76" t="s">
        <v>23</v>
      </c>
      <c r="AQ29" s="185">
        <f>AQ16*12*0.63/100</f>
        <v>10719.475200000001</v>
      </c>
      <c r="AR29" s="185">
        <f t="shared" ref="AR29:AW29" si="34">AR16*12*0.63/100</f>
        <v>14580.518400000001</v>
      </c>
      <c r="AS29" s="185">
        <f t="shared" si="34"/>
        <v>13843.871999999999</v>
      </c>
      <c r="AT29" s="185">
        <f t="shared" si="34"/>
        <v>1818.3311999999999</v>
      </c>
      <c r="AU29" s="185">
        <f t="shared" si="34"/>
        <v>0</v>
      </c>
      <c r="AV29" s="185">
        <f t="shared" si="34"/>
        <v>0</v>
      </c>
      <c r="AW29" s="185">
        <f t="shared" si="34"/>
        <v>0</v>
      </c>
      <c r="AX29" s="220">
        <f t="shared" ref="AX29:AX31" si="35">SUM(AQ29:AW29)</f>
        <v>40962.196800000005</v>
      </c>
      <c r="AY29" s="74"/>
      <c r="AZ29" s="74"/>
      <c r="BA29" s="74"/>
      <c r="BB29" s="74"/>
    </row>
    <row r="30" spans="1:54" ht="15" x14ac:dyDescent="0.2">
      <c r="A30" s="19"/>
      <c r="B30" s="67"/>
      <c r="C30" s="67"/>
      <c r="D30" s="67"/>
      <c r="E30" s="67"/>
      <c r="F30" s="67"/>
      <c r="G30" s="72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14"/>
      <c r="S30" s="82"/>
      <c r="T30" s="82"/>
      <c r="U30" s="74"/>
      <c r="V30" s="74"/>
      <c r="W30" s="74"/>
      <c r="X30" s="74"/>
      <c r="Y30" s="74"/>
      <c r="Z30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6">
        <v>6843</v>
      </c>
      <c r="AP30" s="76" t="s">
        <v>26</v>
      </c>
      <c r="AQ30" s="185">
        <f>AQ17*12*0.62/100</f>
        <v>0</v>
      </c>
      <c r="AR30" s="185">
        <f t="shared" ref="AR30:AW31" si="36">AR17*12*0.62/100</f>
        <v>0</v>
      </c>
      <c r="AS30" s="185">
        <f t="shared" si="36"/>
        <v>0</v>
      </c>
      <c r="AT30" s="185">
        <f t="shared" si="36"/>
        <v>2374.848</v>
      </c>
      <c r="AU30" s="185">
        <f t="shared" si="36"/>
        <v>11363.558400000002</v>
      </c>
      <c r="AV30" s="185">
        <f t="shared" si="36"/>
        <v>1362.7848000000001</v>
      </c>
      <c r="AW30" s="185">
        <f t="shared" si="36"/>
        <v>0</v>
      </c>
      <c r="AX30" s="220">
        <f t="shared" si="35"/>
        <v>15101.191200000001</v>
      </c>
      <c r="AY30" s="74"/>
      <c r="AZ30" s="74"/>
      <c r="BA30" s="74"/>
      <c r="BB30" s="74"/>
    </row>
    <row r="31" spans="1:54" s="10" customFormat="1" ht="15" x14ac:dyDescent="0.2">
      <c r="A31" s="9"/>
      <c r="B31"/>
      <c r="C31"/>
      <c r="D31"/>
      <c r="E31"/>
      <c r="F31"/>
      <c r="G31"/>
      <c r="H31"/>
      <c r="I31"/>
      <c r="J31"/>
      <c r="K31"/>
      <c r="L31"/>
      <c r="M31"/>
      <c r="N31">
        <f>+N29*12</f>
        <v>257172</v>
      </c>
      <c r="O31"/>
      <c r="P31"/>
      <c r="Q31"/>
      <c r="R31"/>
      <c r="S31"/>
      <c r="U31"/>
      <c r="V31"/>
      <c r="W31"/>
      <c r="X31"/>
      <c r="Y31"/>
      <c r="Z31"/>
      <c r="AA31"/>
      <c r="AO31" s="76">
        <v>6842</v>
      </c>
      <c r="AP31" s="76" t="s">
        <v>29</v>
      </c>
      <c r="AQ31" s="185">
        <f>AQ18*12*0.62/100</f>
        <v>0</v>
      </c>
      <c r="AR31" s="185">
        <f t="shared" si="36"/>
        <v>0</v>
      </c>
      <c r="AS31" s="185">
        <f t="shared" si="36"/>
        <v>0</v>
      </c>
      <c r="AT31" s="185">
        <f t="shared" si="36"/>
        <v>0</v>
      </c>
      <c r="AU31" s="185">
        <f t="shared" si="36"/>
        <v>0</v>
      </c>
      <c r="AV31" s="185">
        <f t="shared" si="36"/>
        <v>0</v>
      </c>
      <c r="AW31" s="185">
        <f t="shared" si="36"/>
        <v>0</v>
      </c>
      <c r="AX31" s="220">
        <f t="shared" si="35"/>
        <v>0</v>
      </c>
    </row>
    <row r="32" spans="1:54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U32"/>
      <c r="V32"/>
      <c r="W32"/>
      <c r="X32"/>
      <c r="Y32"/>
      <c r="Z32"/>
      <c r="AA32"/>
      <c r="AO32" s="74"/>
      <c r="AP32" s="74"/>
      <c r="AQ32" s="224">
        <f>SUM(AQ28:AQ31)</f>
        <v>12690.067200000001</v>
      </c>
      <c r="AR32" s="224">
        <f t="shared" ref="AR32:AW32" si="37">SUM(AR28:AR31)</f>
        <v>14580.518400000001</v>
      </c>
      <c r="AS32" s="224">
        <f t="shared" si="37"/>
        <v>13843.871999999999</v>
      </c>
      <c r="AT32" s="224">
        <f t="shared" si="37"/>
        <v>4193.1791999999996</v>
      </c>
      <c r="AU32" s="224">
        <f t="shared" si="37"/>
        <v>11363.558400000002</v>
      </c>
      <c r="AV32" s="224">
        <f t="shared" si="37"/>
        <v>11015.362800000001</v>
      </c>
      <c r="AW32" s="224">
        <f t="shared" si="37"/>
        <v>11662.482</v>
      </c>
      <c r="AX32" s="224">
        <f>SUM(AX28:AX31)</f>
        <v>79349.040000000008</v>
      </c>
    </row>
    <row r="33" spans="1:27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U33"/>
      <c r="V33"/>
      <c r="W33"/>
      <c r="X33"/>
      <c r="Y33"/>
      <c r="Z33"/>
      <c r="AA33"/>
    </row>
    <row r="34" spans="1:27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U34"/>
      <c r="V34"/>
      <c r="W34"/>
      <c r="X34"/>
      <c r="Y34"/>
      <c r="Z34"/>
      <c r="AA34"/>
    </row>
    <row r="35" spans="1:27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U35"/>
      <c r="V35"/>
      <c r="W35"/>
      <c r="X35"/>
      <c r="Y35"/>
      <c r="Z35"/>
      <c r="AA35"/>
    </row>
    <row r="36" spans="1:27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U36"/>
      <c r="V36"/>
      <c r="W36"/>
      <c r="X36"/>
      <c r="Y36"/>
      <c r="Z36"/>
      <c r="AA36"/>
    </row>
    <row r="37" spans="1:27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U37"/>
      <c r="V37"/>
      <c r="W37"/>
      <c r="X37"/>
      <c r="Y37"/>
      <c r="Z37"/>
      <c r="AA37"/>
    </row>
    <row r="38" spans="1:27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U38"/>
      <c r="V38"/>
      <c r="W38"/>
      <c r="X38"/>
      <c r="Y38"/>
      <c r="Z38"/>
      <c r="AA38"/>
    </row>
    <row r="39" spans="1:27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</row>
    <row r="40" spans="1:27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</row>
    <row r="41" spans="1:27" s="10" customFormat="1" ht="12.75" customHeight="1" x14ac:dyDescent="0.2">
      <c r="A41" s="9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U41"/>
      <c r="V41"/>
      <c r="W41"/>
      <c r="X41"/>
      <c r="Y41"/>
      <c r="Z41"/>
      <c r="AA41"/>
    </row>
    <row r="42" spans="1:27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95071</v>
      </c>
      <c r="H42"/>
      <c r="I42"/>
      <c r="J42">
        <f>+J41*4</f>
        <v>0</v>
      </c>
      <c r="K42"/>
      <c r="L42"/>
      <c r="M42"/>
      <c r="N42" s="273">
        <f>SUM(N22:N29)</f>
        <v>188291</v>
      </c>
      <c r="O42"/>
      <c r="P42">
        <v>32000</v>
      </c>
      <c r="Q42"/>
      <c r="R42" s="149">
        <f>+N42+G42</f>
        <v>283362</v>
      </c>
      <c r="S42"/>
      <c r="U42"/>
      <c r="V42" s="10" t="s">
        <v>55</v>
      </c>
      <c r="W42"/>
      <c r="X42"/>
      <c r="Y42"/>
      <c r="Z42"/>
      <c r="AA42"/>
    </row>
    <row r="43" spans="1:27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 t="s">
        <v>59</v>
      </c>
      <c r="P43" t="s">
        <v>57</v>
      </c>
      <c r="Q43"/>
      <c r="R43"/>
      <c r="S43"/>
      <c r="U43"/>
      <c r="V43"/>
      <c r="W43"/>
      <c r="X43"/>
      <c r="Y43"/>
      <c r="Z43"/>
      <c r="AA43"/>
    </row>
    <row r="44" spans="1:27" s="10" customFormat="1" ht="48.75" customHeight="1" x14ac:dyDescent="0.25">
      <c r="A44" s="9"/>
      <c r="B44"/>
      <c r="C44"/>
      <c r="D44"/>
      <c r="E44" s="136" t="s">
        <v>11</v>
      </c>
      <c r="F44" s="149">
        <f>SUM(H9:H10)+H27+H28+H29</f>
        <v>60919</v>
      </c>
      <c r="G44">
        <v>33000</v>
      </c>
      <c r="H44">
        <f>G44/12</f>
        <v>2750</v>
      </c>
      <c r="I44">
        <f>F44/H44</f>
        <v>22.152363636363635</v>
      </c>
      <c r="J44"/>
      <c r="K44"/>
      <c r="L44" s="136" t="s">
        <v>11</v>
      </c>
      <c r="M44" s="149">
        <f>SUM(N25:N29)+N9</f>
        <v>141415</v>
      </c>
      <c r="N44">
        <v>60000</v>
      </c>
      <c r="O44">
        <f>N44/12</f>
        <v>5000</v>
      </c>
      <c r="P44">
        <f>M44/O44</f>
        <v>28.283000000000001</v>
      </c>
      <c r="Q44"/>
      <c r="R44"/>
      <c r="S44"/>
      <c r="T44"/>
      <c r="U44"/>
    </row>
    <row r="45" spans="1:27" s="10" customFormat="1" ht="21.75" customHeight="1" x14ac:dyDescent="0.25">
      <c r="A45" s="9"/>
      <c r="B45"/>
      <c r="C45"/>
      <c r="D45"/>
      <c r="E45" s="261" t="s">
        <v>22</v>
      </c>
      <c r="F45" s="149">
        <f>SUM(H11:H18,H19:H26)</f>
        <v>211915</v>
      </c>
      <c r="G45">
        <v>34000</v>
      </c>
      <c r="H45">
        <f>G45/12</f>
        <v>2833.3333333333335</v>
      </c>
      <c r="I45">
        <f>F45/H45</f>
        <v>74.793529411764709</v>
      </c>
      <c r="J45"/>
      <c r="K45"/>
      <c r="L45" s="255" t="s">
        <v>21</v>
      </c>
      <c r="M45" s="149">
        <f>SUM(N21:N24)+N20</f>
        <v>100500</v>
      </c>
      <c r="N45">
        <v>55000</v>
      </c>
      <c r="O45">
        <f t="shared" ref="O45:O46" si="38">N45/12</f>
        <v>4583.333333333333</v>
      </c>
      <c r="P45">
        <f t="shared" ref="P45:P46" si="39">M45/O45</f>
        <v>21.927272727272729</v>
      </c>
      <c r="Q45"/>
      <c r="R45"/>
      <c r="S45"/>
      <c r="T45"/>
      <c r="U45" s="60"/>
    </row>
    <row r="46" spans="1:27" s="10" customFormat="1" ht="21.75" customHeight="1" x14ac:dyDescent="0.25">
      <c r="A46" s="9"/>
      <c r="B46"/>
      <c r="C46"/>
      <c r="D46"/>
      <c r="E46"/>
      <c r="F46"/>
      <c r="G46"/>
      <c r="H46"/>
      <c r="I46">
        <f>SUM(I44:I45)</f>
        <v>96.94589304812834</v>
      </c>
      <c r="J46"/>
      <c r="K46"/>
      <c r="L46" s="145" t="s">
        <v>23</v>
      </c>
      <c r="M46" s="149">
        <f>SUM(N10:N18)</f>
        <v>270914</v>
      </c>
      <c r="N46">
        <v>60000</v>
      </c>
      <c r="O46">
        <f t="shared" si="38"/>
        <v>5000</v>
      </c>
      <c r="P46">
        <f t="shared" si="39"/>
        <v>54.1828</v>
      </c>
      <c r="Q46" t="s">
        <v>78</v>
      </c>
      <c r="R46" t="s">
        <v>60</v>
      </c>
      <c r="S46"/>
      <c r="T46"/>
      <c r="U46" s="60"/>
    </row>
    <row r="47" spans="1:27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104.39307272727274</v>
      </c>
      <c r="Q47"/>
      <c r="R47" s="315">
        <f>P47+I46</f>
        <v>201.33896577540108</v>
      </c>
      <c r="S47"/>
      <c r="T47"/>
      <c r="U47" s="60"/>
    </row>
    <row r="48" spans="1:27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s="60"/>
    </row>
    <row r="49" spans="1:68" s="10" customFormat="1" ht="24" customHeight="1" x14ac:dyDescent="0.2">
      <c r="A49" s="9"/>
      <c r="B49"/>
      <c r="C49"/>
      <c r="D49"/>
      <c r="E49" t="s">
        <v>61</v>
      </c>
      <c r="F49" s="315">
        <f>COUNTA(C9:C29)-2</f>
        <v>19</v>
      </c>
      <c r="G49" s="315">
        <f>F49*8</f>
        <v>152</v>
      </c>
      <c r="H49" t="s">
        <v>62</v>
      </c>
      <c r="I49"/>
      <c r="J49"/>
      <c r="K49"/>
      <c r="L49" t="s">
        <v>63</v>
      </c>
      <c r="M49">
        <f>21-1</f>
        <v>20</v>
      </c>
      <c r="N49" t="s">
        <v>61</v>
      </c>
      <c r="O49">
        <f>M49*8-12</f>
        <v>148</v>
      </c>
      <c r="P49"/>
      <c r="Q49"/>
      <c r="R49"/>
      <c r="S49"/>
      <c r="T49"/>
      <c r="U49" s="60"/>
    </row>
    <row r="50" spans="1:68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U50" s="60"/>
    </row>
    <row r="51" spans="1:68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U51" s="60"/>
    </row>
    <row r="52" spans="1:68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U52" s="60"/>
    </row>
    <row r="53" spans="1:68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U53" s="60"/>
    </row>
    <row r="54" spans="1:68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U54" s="60"/>
    </row>
    <row r="55" spans="1:68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U55" s="60"/>
    </row>
    <row r="56" spans="1:68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U56" s="60"/>
    </row>
    <row r="57" spans="1:68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U57" s="60"/>
    </row>
    <row r="58" spans="1:68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U58" s="60"/>
    </row>
    <row r="59" spans="1:68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64" t="s">
        <v>64</v>
      </c>
      <c r="S59"/>
      <c r="U59" s="60"/>
    </row>
    <row r="60" spans="1:68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0.63780192794821278</v>
      </c>
      <c r="H60" s="267">
        <v>0.69</v>
      </c>
      <c r="I60"/>
      <c r="J60"/>
      <c r="L60"/>
      <c r="M60"/>
      <c r="N60" s="262" t="s">
        <v>66</v>
      </c>
      <c r="O60" s="263">
        <f>P47/O49</f>
        <v>0.70535859950859958</v>
      </c>
      <c r="P60">
        <v>75.58</v>
      </c>
      <c r="R60" s="265">
        <f>R47/(O49+G49)</f>
        <v>0.6711298859180036</v>
      </c>
      <c r="S60"/>
    </row>
    <row r="61" spans="1:68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L61" s="61"/>
      <c r="M61" s="62"/>
      <c r="N61" s="62"/>
      <c r="O61" s="61"/>
      <c r="P61" s="62"/>
      <c r="Q61" s="61"/>
      <c r="R61" s="62"/>
    </row>
    <row r="62" spans="1:68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</row>
    <row r="63" spans="1:68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0"/>
      <c r="R63" s="197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</row>
    <row r="64" spans="1:68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3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</row>
    <row r="66" spans="1:68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3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</row>
    <row r="67" spans="1:68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197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</row>
    <row r="68" spans="1:68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</row>
    <row r="70" spans="1:68" x14ac:dyDescent="0.2">
      <c r="E70" s="188"/>
      <c r="G70" s="18"/>
    </row>
    <row r="73" spans="1:68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U73" s="14" t="s">
        <v>71</v>
      </c>
      <c r="Y73" s="10" t="s">
        <v>57</v>
      </c>
    </row>
    <row r="74" spans="1:68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U74" s="10" t="s">
        <v>72</v>
      </c>
      <c r="V74" s="10">
        <v>8000</v>
      </c>
      <c r="W74" s="10">
        <f>V74*6</f>
        <v>48000</v>
      </c>
      <c r="X74" s="269">
        <v>5400</v>
      </c>
      <c r="Y74" s="10">
        <f>W74/X74</f>
        <v>8.8888888888888893</v>
      </c>
    </row>
    <row r="75" spans="1:68" ht="15" x14ac:dyDescent="0.25">
      <c r="E75" s="136" t="s">
        <v>11</v>
      </c>
      <c r="F75" s="149">
        <f>SUM(E23:E29)</f>
        <v>98852</v>
      </c>
      <c r="G75">
        <v>33000</v>
      </c>
      <c r="H75">
        <f>G75/12</f>
        <v>2750</v>
      </c>
      <c r="I75">
        <f>F75/H75</f>
        <v>35.94618181818182</v>
      </c>
      <c r="J75"/>
      <c r="K75"/>
      <c r="L75" s="136" t="s">
        <v>11</v>
      </c>
      <c r="M75" s="149">
        <f>SUM(K22:K29)</f>
        <v>204000</v>
      </c>
      <c r="N75">
        <v>60000</v>
      </c>
      <c r="O75">
        <f>N75/12</f>
        <v>5000</v>
      </c>
      <c r="P75">
        <f>M75/O75</f>
        <v>40.799999999999997</v>
      </c>
      <c r="Q75"/>
      <c r="R75"/>
      <c r="U75" s="10" t="s">
        <v>73</v>
      </c>
      <c r="V75" s="10">
        <v>4000</v>
      </c>
      <c r="W75" s="10">
        <f>V75*6</f>
        <v>24000</v>
      </c>
      <c r="X75" s="269">
        <v>6000</v>
      </c>
      <c r="Y75" s="10">
        <f t="shared" ref="Y75:Y76" si="40">W75/X75</f>
        <v>4</v>
      </c>
    </row>
    <row r="76" spans="1:68" ht="15" x14ac:dyDescent="0.25">
      <c r="E76" s="261" t="s">
        <v>22</v>
      </c>
      <c r="F76" s="149">
        <f>SUM(E21:E22)</f>
        <v>27552</v>
      </c>
      <c r="G76">
        <v>34000</v>
      </c>
      <c r="H76">
        <f>G76/12</f>
        <v>2833.3333333333335</v>
      </c>
      <c r="I76">
        <f>F76/H76</f>
        <v>9.724235294117646</v>
      </c>
      <c r="J76"/>
      <c r="K76"/>
      <c r="L76" s="255" t="s">
        <v>21</v>
      </c>
      <c r="M76" s="149">
        <v>0</v>
      </c>
      <c r="N76">
        <v>55000</v>
      </c>
      <c r="O76">
        <f t="shared" ref="O76:O77" si="41">N76/12</f>
        <v>4583.333333333333</v>
      </c>
      <c r="P76">
        <f t="shared" ref="P76:P77" si="42">M76/O76</f>
        <v>0</v>
      </c>
      <c r="Q76"/>
      <c r="R76"/>
      <c r="U76" s="10" t="s">
        <v>74</v>
      </c>
      <c r="V76" s="10">
        <v>1984</v>
      </c>
      <c r="W76" s="10">
        <f>V76*15</f>
        <v>29760</v>
      </c>
      <c r="X76" s="269">
        <v>12600</v>
      </c>
      <c r="Y76" s="10">
        <f t="shared" si="40"/>
        <v>2.361904761904762</v>
      </c>
    </row>
    <row r="77" spans="1:68" ht="15" x14ac:dyDescent="0.25">
      <c r="E77"/>
      <c r="F77"/>
      <c r="G77"/>
      <c r="H77"/>
      <c r="I77">
        <f>SUM(I75:I76)</f>
        <v>45.670417112299468</v>
      </c>
      <c r="J77"/>
      <c r="K77"/>
      <c r="L77" s="145" t="s">
        <v>23</v>
      </c>
      <c r="M77" s="149">
        <f>SUM(K20:K21)</f>
        <v>42960</v>
      </c>
      <c r="N77">
        <v>60000</v>
      </c>
      <c r="O77">
        <f t="shared" si="41"/>
        <v>5000</v>
      </c>
      <c r="P77">
        <f t="shared" si="42"/>
        <v>8.5920000000000005</v>
      </c>
      <c r="Q77"/>
      <c r="R77" t="s">
        <v>60</v>
      </c>
      <c r="Y77" s="10">
        <f>SUM(Y74:Y76)</f>
        <v>15.250793650793652</v>
      </c>
    </row>
    <row r="78" spans="1:68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49.391999999999996</v>
      </c>
      <c r="Q78"/>
      <c r="R78">
        <f>P78+I77</f>
        <v>95.062417112299471</v>
      </c>
    </row>
    <row r="96" spans="5:5" x14ac:dyDescent="0.2">
      <c r="E96" s="188" t="s">
        <v>75</v>
      </c>
    </row>
    <row r="97" spans="5:18" x14ac:dyDescent="0.2">
      <c r="E97" s="188" t="s">
        <v>9</v>
      </c>
      <c r="G97" s="10">
        <f t="shared" ref="G97:P97" si="43">+G45*12</f>
        <v>408000</v>
      </c>
      <c r="H97" s="10">
        <f t="shared" si="43"/>
        <v>34000</v>
      </c>
      <c r="I97" s="10">
        <f t="shared" si="43"/>
        <v>897.52235294117645</v>
      </c>
      <c r="J97" s="10">
        <f t="shared" si="43"/>
        <v>0</v>
      </c>
      <c r="K97" s="10">
        <f t="shared" si="43"/>
        <v>0</v>
      </c>
      <c r="L97" s="10" t="e">
        <f t="shared" si="43"/>
        <v>#VALUE!</v>
      </c>
      <c r="M97" s="10">
        <f t="shared" si="43"/>
        <v>1206000</v>
      </c>
      <c r="N97" s="10">
        <f t="shared" si="43"/>
        <v>660000</v>
      </c>
      <c r="O97" s="10">
        <f t="shared" si="43"/>
        <v>55000</v>
      </c>
      <c r="P97" s="10">
        <f t="shared" si="43"/>
        <v>263.12727272727273</v>
      </c>
      <c r="R97" s="10" t="e">
        <f>SUM(G97:P97)</f>
        <v>#VALUE!</v>
      </c>
    </row>
    <row r="98" spans="5:18" x14ac:dyDescent="0.2">
      <c r="E98" s="188" t="s">
        <v>27</v>
      </c>
      <c r="G98" s="10">
        <f t="shared" ref="G98:P98" si="44">+G47*12</f>
        <v>0</v>
      </c>
      <c r="H98" s="10">
        <f t="shared" si="44"/>
        <v>0</v>
      </c>
      <c r="I98" s="10">
        <f t="shared" si="44"/>
        <v>0</v>
      </c>
      <c r="J98" s="10">
        <f t="shared" si="44"/>
        <v>0</v>
      </c>
      <c r="K98" s="10">
        <f t="shared" si="44"/>
        <v>0</v>
      </c>
      <c r="L98" s="10">
        <f t="shared" si="44"/>
        <v>0</v>
      </c>
      <c r="M98" s="10">
        <f t="shared" si="44"/>
        <v>0</v>
      </c>
      <c r="N98" s="10">
        <f t="shared" si="44"/>
        <v>0</v>
      </c>
      <c r="O98" s="10">
        <f t="shared" si="44"/>
        <v>0</v>
      </c>
      <c r="P98" s="10">
        <f t="shared" si="44"/>
        <v>1252.7168727272729</v>
      </c>
      <c r="R98" s="10">
        <f>SUM(G98:P98)</f>
        <v>1252.7168727272729</v>
      </c>
    </row>
    <row r="99" spans="5:18" x14ac:dyDescent="0.2">
      <c r="R99" s="10" t="e">
        <f>+R97+R98</f>
        <v>#VALUE!</v>
      </c>
    </row>
    <row r="100" spans="5:18" x14ac:dyDescent="0.2">
      <c r="R100" s="18">
        <v>-6276000</v>
      </c>
    </row>
  </sheetData>
  <mergeCells count="5">
    <mergeCell ref="B1:P1"/>
    <mergeCell ref="B7:B8"/>
    <mergeCell ref="C7:C8"/>
    <mergeCell ref="E7:J7"/>
    <mergeCell ref="K7:P7"/>
  </mergeCells>
  <conditionalFormatting sqref="F9:F29">
    <cfRule type="cellIs" dxfId="192" priority="9" operator="equal">
      <formula>6842</formula>
    </cfRule>
    <cfRule type="cellIs" dxfId="191" priority="10" operator="equal">
      <formula>2821</formula>
    </cfRule>
    <cfRule type="cellIs" dxfId="190" priority="11" operator="equal">
      <formula>2395</formula>
    </cfRule>
    <cfRule type="cellIs" dxfId="189" priority="12" operator="equal">
      <formula>1564</formula>
    </cfRule>
  </conditionalFormatting>
  <conditionalFormatting sqref="G9:G29">
    <cfRule type="containsText" dxfId="188" priority="1" operator="containsText" text="CM620RT-TEL">
      <formula>NOT(ISERROR(SEARCH("CM620RT-TEL",G9)))</formula>
    </cfRule>
    <cfRule type="containsText" dxfId="187" priority="2" operator="containsText" text="PC630RT">
      <formula>NOT(ISERROR(SEARCH("PC630RT",G9)))</formula>
    </cfRule>
    <cfRule type="containsText" dxfId="186" priority="3" operator="containsText" text="PT620RT">
      <formula>NOT(ISERROR(SEARCH("PT620RT",G9)))</formula>
    </cfRule>
    <cfRule type="containsText" dxfId="185" priority="4" operator="containsText" text="CR650RT">
      <formula>NOT(ISERROR(SEARCH("CR650RT",G9)))</formula>
    </cfRule>
  </conditionalFormatting>
  <conditionalFormatting sqref="I9:I29">
    <cfRule type="cellIs" dxfId="184" priority="121" operator="equal">
      <formula>6842</formula>
    </cfRule>
    <cfRule type="cellIs" dxfId="183" priority="124" operator="equal">
      <formula>1564</formula>
    </cfRule>
    <cfRule type="cellIs" dxfId="182" priority="123" operator="equal">
      <formula>2395</formula>
    </cfRule>
    <cfRule type="cellIs" dxfId="181" priority="122" operator="equal">
      <formula>2821</formula>
    </cfRule>
  </conditionalFormatting>
  <conditionalFormatting sqref="J9:J29">
    <cfRule type="containsText" dxfId="180" priority="120" operator="containsText" text="CR650RT">
      <formula>NOT(ISERROR(SEARCH("CR650RT",J9)))</formula>
    </cfRule>
    <cfRule type="containsText" dxfId="179" priority="118" operator="containsText" text="PC630RT">
      <formula>NOT(ISERROR(SEARCH("PC630RT",J9)))</formula>
    </cfRule>
    <cfRule type="containsText" dxfId="178" priority="117" operator="containsText" text="CM620RT-TEL">
      <formula>NOT(ISERROR(SEARCH("CM620RT-TEL",J9)))</formula>
    </cfRule>
    <cfRule type="containsText" dxfId="177" priority="119" operator="containsText" text="PT620RT">
      <formula>NOT(ISERROR(SEARCH("PT620RT",J9)))</formula>
    </cfRule>
  </conditionalFormatting>
  <conditionalFormatting sqref="L9:L29">
    <cfRule type="cellIs" dxfId="176" priority="52" operator="equal">
      <formula>1564</formula>
    </cfRule>
    <cfRule type="cellIs" dxfId="175" priority="51" operator="equal">
      <formula>2395</formula>
    </cfRule>
    <cfRule type="cellIs" dxfId="174" priority="50" operator="equal">
      <formula>2821</formula>
    </cfRule>
    <cfRule type="cellIs" dxfId="173" priority="49" operator="equal">
      <formula>6842</formula>
    </cfRule>
  </conditionalFormatting>
  <conditionalFormatting sqref="M9:M21">
    <cfRule type="containsText" dxfId="172" priority="45" operator="containsText" text="CM620RT-TEL">
      <formula>NOT(ISERROR(SEARCH("CM620RT-TEL",M9)))</formula>
    </cfRule>
    <cfRule type="containsText" dxfId="171" priority="48" operator="containsText" text="CR650RT">
      <formula>NOT(ISERROR(SEARCH("CR650RT",M9)))</formula>
    </cfRule>
    <cfRule type="containsText" dxfId="170" priority="47" operator="containsText" text="PT620RT">
      <formula>NOT(ISERROR(SEARCH("PT620RT",M9)))</formula>
    </cfRule>
    <cfRule type="containsText" dxfId="169" priority="46" operator="containsText" text="PC630RT">
      <formula>NOT(ISERROR(SEARCH("PC630RT",M9)))</formula>
    </cfRule>
  </conditionalFormatting>
  <conditionalFormatting sqref="M20">
    <cfRule type="containsText" dxfId="168" priority="41" operator="containsText" text="CM620RT-TEL">
      <formula>NOT(ISERROR(SEARCH("CM620RT-TEL",M20)))</formula>
    </cfRule>
    <cfRule type="containsText" dxfId="167" priority="42" operator="containsText" text="PC630RT">
      <formula>NOT(ISERROR(SEARCH("PC630RT",M20)))</formula>
    </cfRule>
    <cfRule type="containsText" dxfId="166" priority="43" operator="containsText" text="PT620RT">
      <formula>NOT(ISERROR(SEARCH("PT620RT",M20)))</formula>
    </cfRule>
    <cfRule type="containsText" dxfId="165" priority="44" operator="containsText" text="CR650RT">
      <formula>NOT(ISERROR(SEARCH("CR650RT",M20)))</formula>
    </cfRule>
    <cfRule type="containsText" dxfId="164" priority="37" operator="containsText" text="CM620RT-TEL">
      <formula>NOT(ISERROR(SEARCH("CM620RT-TEL",M20)))</formula>
    </cfRule>
    <cfRule type="containsText" dxfId="163" priority="38" operator="containsText" text="PC630RT">
      <formula>NOT(ISERROR(SEARCH("PC630RT",M20)))</formula>
    </cfRule>
    <cfRule type="containsText" dxfId="162" priority="39" operator="containsText" text="PT620RT">
      <formula>NOT(ISERROR(SEARCH("PT620RT",M20)))</formula>
    </cfRule>
    <cfRule type="containsText" dxfId="161" priority="40" operator="containsText" text="CR650RT">
      <formula>NOT(ISERROR(SEARCH("CR650RT",M20)))</formula>
    </cfRule>
  </conditionalFormatting>
  <conditionalFormatting sqref="M21:M29">
    <cfRule type="containsText" dxfId="160" priority="268" operator="containsText" text="CR650RT">
      <formula>NOT(ISERROR(SEARCH("CR650RT",M21)))</formula>
    </cfRule>
    <cfRule type="containsText" dxfId="159" priority="267" operator="containsText" text="PT620RT">
      <formula>NOT(ISERROR(SEARCH("PT620RT",M21)))</formula>
    </cfRule>
    <cfRule type="containsText" dxfId="158" priority="265" operator="containsText" text="CM620RT-TEL">
      <formula>NOT(ISERROR(SEARCH("CM620RT-TEL",M21)))</formula>
    </cfRule>
    <cfRule type="containsText" dxfId="157" priority="266" operator="containsText" text="PC630RT">
      <formula>NOT(ISERROR(SEARCH("PC630RT",M21)))</formula>
    </cfRule>
  </conditionalFormatting>
  <conditionalFormatting sqref="M22">
    <cfRule type="containsText" dxfId="156" priority="276" operator="containsText" text="CR650RT">
      <formula>NOT(ISERROR(SEARCH("CR650RT",M22)))</formula>
    </cfRule>
    <cfRule type="containsText" dxfId="155" priority="273" operator="containsText" text="CM620RT-TEL">
      <formula>NOT(ISERROR(SEARCH("CM620RT-TEL",M22)))</formula>
    </cfRule>
    <cfRule type="containsText" dxfId="154" priority="274" operator="containsText" text="PC630RT">
      <formula>NOT(ISERROR(SEARCH("PC630RT",M22)))</formula>
    </cfRule>
    <cfRule type="containsText" dxfId="153" priority="275" operator="containsText" text="PT620RT">
      <formula>NOT(ISERROR(SEARCH("PT620RT",M22)))</formula>
    </cfRule>
  </conditionalFormatting>
  <conditionalFormatting sqref="M22:M23">
    <cfRule type="containsText" dxfId="152" priority="272" operator="containsText" text="CR650RT">
      <formula>NOT(ISERROR(SEARCH("CR650RT",M22)))</formula>
    </cfRule>
    <cfRule type="containsText" dxfId="151" priority="271" operator="containsText" text="PT620RT">
      <formula>NOT(ISERROR(SEARCH("PT620RT",M22)))</formula>
    </cfRule>
    <cfRule type="containsText" dxfId="150" priority="270" operator="containsText" text="PC630RT">
      <formula>NOT(ISERROR(SEARCH("PC630RT",M22)))</formula>
    </cfRule>
    <cfRule type="containsText" dxfId="149" priority="269" operator="containsText" text="CM620RT-TEL">
      <formula>NOT(ISERROR(SEARCH("CM620RT-TEL",M22)))</formula>
    </cfRule>
  </conditionalFormatting>
  <conditionalFormatting sqref="M23:M24">
    <cfRule type="containsText" dxfId="148" priority="260" operator="containsText" text="CR650RT">
      <formula>NOT(ISERROR(SEARCH("CR650RT",M23)))</formula>
    </cfRule>
    <cfRule type="containsText" dxfId="147" priority="259" operator="containsText" text="PT620RT">
      <formula>NOT(ISERROR(SEARCH("PT620RT",M23)))</formula>
    </cfRule>
    <cfRule type="containsText" dxfId="146" priority="258" operator="containsText" text="PC630RT">
      <formula>NOT(ISERROR(SEARCH("PC630RT",M23)))</formula>
    </cfRule>
    <cfRule type="containsText" dxfId="145" priority="257" operator="containsText" text="CM620RT-TEL">
      <formula>NOT(ISERROR(SEARCH("CM620RT-TEL",M23)))</formula>
    </cfRule>
  </conditionalFormatting>
  <conditionalFormatting sqref="O9:O29">
    <cfRule type="cellIs" dxfId="144" priority="21" operator="equal">
      <formula>6842</formula>
    </cfRule>
    <cfRule type="cellIs" dxfId="143" priority="24" operator="equal">
      <formula>1564</formula>
    </cfRule>
    <cfRule type="cellIs" dxfId="142" priority="23" operator="equal">
      <formula>2395</formula>
    </cfRule>
    <cfRule type="cellIs" dxfId="141" priority="22" operator="equal">
      <formula>2821</formula>
    </cfRule>
  </conditionalFormatting>
  <conditionalFormatting sqref="P9:P20">
    <cfRule type="containsText" dxfId="140" priority="133" operator="containsText" text="CM620RT-TEL">
      <formula>NOT(ISERROR(SEARCH("CM620RT-TEL",P9)))</formula>
    </cfRule>
    <cfRule type="containsText" dxfId="139" priority="136" operator="containsText" text="CR650RT">
      <formula>NOT(ISERROR(SEARCH("CR650RT",P9)))</formula>
    </cfRule>
    <cfRule type="containsText" dxfId="138" priority="135" operator="containsText" text="PT620RT">
      <formula>NOT(ISERROR(SEARCH("PT620RT",P9)))</formula>
    </cfRule>
    <cfRule type="containsText" dxfId="137" priority="134" operator="containsText" text="PC630RT">
      <formula>NOT(ISERROR(SEARCH("PC630RT",P9)))</formula>
    </cfRule>
  </conditionalFormatting>
  <conditionalFormatting sqref="P20">
    <cfRule type="containsText" dxfId="136" priority="132" operator="containsText" text="CR650RT">
      <formula>NOT(ISERROR(SEARCH("CR650RT",P20)))</formula>
    </cfRule>
    <cfRule type="containsText" dxfId="135" priority="129" operator="containsText" text="CM620RT-TEL">
      <formula>NOT(ISERROR(SEARCH("CM620RT-TEL",P20)))</formula>
    </cfRule>
    <cfRule type="containsText" dxfId="134" priority="130" operator="containsText" text="PC630RT">
      <formula>NOT(ISERROR(SEARCH("PC630RT",P20)))</formula>
    </cfRule>
    <cfRule type="containsText" dxfId="133" priority="131" operator="containsText" text="PT620RT">
      <formula>NOT(ISERROR(SEARCH("PT620RT",P20)))</formula>
    </cfRule>
  </conditionalFormatting>
  <conditionalFormatting sqref="P20:P29">
    <cfRule type="containsText" dxfId="132" priority="26" operator="containsText" text="PC630RT">
      <formula>NOT(ISERROR(SEARCH("PC630RT",P20)))</formula>
    </cfRule>
    <cfRule type="containsText" dxfId="131" priority="27" operator="containsText" text="PT620RT">
      <formula>NOT(ISERROR(SEARCH("PT620RT",P20)))</formula>
    </cfRule>
    <cfRule type="containsText" dxfId="130" priority="28" operator="containsText" text="CR650RT">
      <formula>NOT(ISERROR(SEARCH("CR650RT",P20)))</formula>
    </cfRule>
    <cfRule type="containsText" dxfId="129" priority="25" operator="containsText" text="CM620RT-TEL">
      <formula>NOT(ISERROR(SEARCH("CM620RT-TEL",P20)))</formula>
    </cfRule>
  </conditionalFormatting>
  <conditionalFormatting sqref="P21">
    <cfRule type="containsText" dxfId="128" priority="14" operator="containsText" text="PC630RT">
      <formula>NOT(ISERROR(SEARCH("PC630RT",P21)))</formula>
    </cfRule>
    <cfRule type="containsText" dxfId="127" priority="15" operator="containsText" text="PT620RT">
      <formula>NOT(ISERROR(SEARCH("PT620RT",P21)))</formula>
    </cfRule>
    <cfRule type="containsText" dxfId="126" priority="16" operator="containsText" text="CR650RT">
      <formula>NOT(ISERROR(SEARCH("CR650RT",P21)))</formula>
    </cfRule>
    <cfRule type="containsText" dxfId="125" priority="13" operator="containsText" text="CM620RT-TEL">
      <formula>NOT(ISERROR(SEARCH("CM620RT-TEL",P21)))</formula>
    </cfRule>
  </conditionalFormatting>
  <conditionalFormatting sqref="P22">
    <cfRule type="containsText" dxfId="124" priority="35" operator="containsText" text="PT620RT">
      <formula>NOT(ISERROR(SEARCH("PT620RT",P22)))</formula>
    </cfRule>
    <cfRule type="containsText" dxfId="123" priority="36" operator="containsText" text="CR650RT">
      <formula>NOT(ISERROR(SEARCH("CR650RT",P22)))</formula>
    </cfRule>
    <cfRule type="containsText" dxfId="122" priority="34" operator="containsText" text="PC630RT">
      <formula>NOT(ISERROR(SEARCH("PC630RT",P22)))</formula>
    </cfRule>
    <cfRule type="containsText" dxfId="121" priority="33" operator="containsText" text="CM620RT-TEL">
      <formula>NOT(ISERROR(SEARCH("CM620RT-TEL",P22)))</formula>
    </cfRule>
  </conditionalFormatting>
  <conditionalFormatting sqref="P22:P23">
    <cfRule type="containsText" dxfId="120" priority="29" operator="containsText" text="CM620RT-TEL">
      <formula>NOT(ISERROR(SEARCH("CM620RT-TEL",P22)))</formula>
    </cfRule>
    <cfRule type="containsText" dxfId="119" priority="30" operator="containsText" text="PC630RT">
      <formula>NOT(ISERROR(SEARCH("PC630RT",P22)))</formula>
    </cfRule>
    <cfRule type="containsText" dxfId="118" priority="31" operator="containsText" text="PT620RT">
      <formula>NOT(ISERROR(SEARCH("PT620RT",P22)))</formula>
    </cfRule>
    <cfRule type="containsText" dxfId="117" priority="32" operator="containsText" text="CR650RT">
      <formula>NOT(ISERROR(SEARCH("CR650RT",P22)))</formula>
    </cfRule>
  </conditionalFormatting>
  <conditionalFormatting sqref="P23:P24">
    <cfRule type="containsText" dxfId="116" priority="20" operator="containsText" text="CR650RT">
      <formula>NOT(ISERROR(SEARCH("CR650RT",P23)))</formula>
    </cfRule>
    <cfRule type="containsText" dxfId="115" priority="19" operator="containsText" text="PT620RT">
      <formula>NOT(ISERROR(SEARCH("PT620RT",P23)))</formula>
    </cfRule>
    <cfRule type="containsText" dxfId="114" priority="18" operator="containsText" text="PC630RT">
      <formula>NOT(ISERROR(SEARCH("PC630RT",P23)))</formula>
    </cfRule>
    <cfRule type="containsText" dxfId="113" priority="17" operator="containsText" text="CM620RT-TEL">
      <formula>NOT(ISERROR(SEARCH("CM620RT-TEL",P23)))</formula>
    </cfRule>
  </conditionalFormatting>
  <dataValidations count="1">
    <dataValidation type="list" allowBlank="1" showInputMessage="1" showErrorMessage="1" sqref="Q9:Q29 D9:D29" xr:uid="{6E262BC7-4ABC-494F-A389-221940CD1156}">
      <formula1>#REF!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53B8-A4C0-45AC-B3B1-85D115400F44}">
  <dimension ref="A1:BQ100"/>
  <sheetViews>
    <sheetView showGridLines="0" topLeftCell="H24" zoomScale="50" zoomScaleNormal="50" workbookViewId="0">
      <selection activeCell="H24" sqref="H24"/>
    </sheetView>
  </sheetViews>
  <sheetFormatPr baseColWidth="10" defaultColWidth="11.42578125" defaultRowHeight="12.75" customHeight="1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8.5703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9.85546875" style="10" customWidth="1"/>
    <col min="18" max="18" width="5.42578125" style="10" hidden="1" customWidth="1"/>
    <col min="19" max="19" width="13.5703125" style="10" customWidth="1"/>
    <col min="20" max="20" width="8" style="10" customWidth="1"/>
    <col min="21" max="21" width="10.42578125" style="10" bestFit="1" customWidth="1"/>
    <col min="22" max="22" width="12.5703125" style="10" customWidth="1"/>
    <col min="23" max="23" width="9.140625" style="10"/>
    <col min="24" max="24" width="14.7109375" style="10" customWidth="1"/>
    <col min="25" max="25" width="10.7109375" style="10" customWidth="1"/>
    <col min="26" max="26" width="9.140625" style="10"/>
    <col min="27" max="27" width="5.7109375" style="10" customWidth="1" collapsed="1"/>
    <col min="28" max="69" width="11.42578125" style="10"/>
  </cols>
  <sheetData>
    <row r="1" spans="1:69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13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</row>
    <row r="3" spans="1:69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51</v>
      </c>
      <c r="K3" s="4"/>
      <c r="L3" s="7"/>
      <c r="M3" s="7"/>
      <c r="N3" s="7"/>
      <c r="O3" s="7"/>
      <c r="P3" s="7"/>
      <c r="Q3" s="7"/>
      <c r="R3" s="2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5" spans="1:69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15/12/YYYY al 21/12/YYYY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</row>
    <row r="6" spans="1:69" x14ac:dyDescent="0.2">
      <c r="B6" s="333" t="s">
        <v>2</v>
      </c>
      <c r="C6" s="334" t="s">
        <v>3</v>
      </c>
      <c r="D6" s="335">
        <v>2</v>
      </c>
      <c r="E6" s="335">
        <v>1</v>
      </c>
      <c r="F6" s="335">
        <v>1</v>
      </c>
      <c r="G6" s="335">
        <v>1</v>
      </c>
      <c r="H6" s="335">
        <v>1</v>
      </c>
      <c r="I6" s="335">
        <v>1</v>
      </c>
      <c r="J6" s="335">
        <v>1</v>
      </c>
      <c r="K6" s="335">
        <v>3</v>
      </c>
      <c r="L6" s="335">
        <v>3</v>
      </c>
      <c r="M6" s="335">
        <v>3</v>
      </c>
      <c r="N6" s="335">
        <v>3</v>
      </c>
      <c r="O6" s="335">
        <v>3</v>
      </c>
      <c r="P6" s="336">
        <v>3</v>
      </c>
      <c r="Q6" s="17"/>
    </row>
    <row r="7" spans="1:69" ht="31.5" x14ac:dyDescent="0.2">
      <c r="A7" s="13"/>
      <c r="B7" s="1002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4"/>
      <c r="Q7" s="360"/>
      <c r="R7" s="173"/>
      <c r="S7" s="76"/>
      <c r="T7" s="74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</row>
    <row r="8" spans="1:69" ht="18.75" x14ac:dyDescent="0.2">
      <c r="A8" s="13"/>
      <c r="B8" s="1003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337" t="s">
        <v>8</v>
      </c>
      <c r="Q8" s="361"/>
      <c r="R8" s="67"/>
      <c r="S8" s="74"/>
      <c r="T8" s="115" t="s">
        <v>6</v>
      </c>
      <c r="U8" s="74"/>
      <c r="V8" s="74"/>
      <c r="W8" s="74"/>
      <c r="X8" s="74"/>
      <c r="Y8" s="74"/>
      <c r="Z8" s="74"/>
      <c r="AA8" s="74"/>
      <c r="AB8" s="74"/>
      <c r="AC8" s="74"/>
      <c r="AD8" s="74"/>
      <c r="AE8" s="215" t="s">
        <v>6</v>
      </c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215" t="s">
        <v>9</v>
      </c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</row>
    <row r="9" spans="1:69" ht="15.75" x14ac:dyDescent="0.25">
      <c r="A9" s="13"/>
      <c r="B9" s="338">
        <v>46006</v>
      </c>
      <c r="C9" s="216" t="s">
        <v>10</v>
      </c>
      <c r="D9" s="231"/>
      <c r="E9" s="147">
        <v>8000</v>
      </c>
      <c r="F9" s="136">
        <v>1564</v>
      </c>
      <c r="G9" s="136" t="s">
        <v>11</v>
      </c>
      <c r="H9" s="144">
        <v>13104</v>
      </c>
      <c r="I9" s="136">
        <v>1564</v>
      </c>
      <c r="J9" s="136" t="s">
        <v>11</v>
      </c>
      <c r="K9" s="147">
        <v>30000</v>
      </c>
      <c r="L9" s="145">
        <v>2821</v>
      </c>
      <c r="M9" s="145" t="s">
        <v>23</v>
      </c>
      <c r="N9" s="928">
        <v>22008</v>
      </c>
      <c r="O9" s="145">
        <v>2821</v>
      </c>
      <c r="P9" s="153" t="s">
        <v>23</v>
      </c>
      <c r="Q9" s="248">
        <f>N9-K9</f>
        <v>-7992</v>
      </c>
      <c r="R9" s="252"/>
      <c r="S9" s="81"/>
      <c r="T9" s="92" t="s">
        <v>7</v>
      </c>
      <c r="U9" s="92" t="s">
        <v>8</v>
      </c>
      <c r="V9" s="92" t="s">
        <v>12</v>
      </c>
      <c r="W9" s="92" t="s">
        <v>13</v>
      </c>
      <c r="X9" s="92" t="s">
        <v>14</v>
      </c>
      <c r="Y9" s="92" t="s">
        <v>15</v>
      </c>
      <c r="Z9" s="92" t="s">
        <v>16</v>
      </c>
      <c r="AA9" s="74"/>
      <c r="AB9" s="74"/>
      <c r="AC9" s="74"/>
      <c r="AD9" s="74"/>
      <c r="AE9" s="79" t="s">
        <v>7</v>
      </c>
      <c r="AF9" s="79" t="s">
        <v>8</v>
      </c>
      <c r="AG9" s="80">
        <f>B9</f>
        <v>46006</v>
      </c>
      <c r="AH9" s="80">
        <f>B12</f>
        <v>46007</v>
      </c>
      <c r="AI9" s="80">
        <f>B15</f>
        <v>46008</v>
      </c>
      <c r="AJ9" s="80">
        <f>B18</f>
        <v>46009</v>
      </c>
      <c r="AK9" s="80">
        <f>B21</f>
        <v>46010</v>
      </c>
      <c r="AL9" s="80">
        <f>B24</f>
        <v>46011</v>
      </c>
      <c r="AM9" s="80">
        <f>B27</f>
        <v>46012</v>
      </c>
      <c r="AN9" s="79" t="s">
        <v>17</v>
      </c>
      <c r="AO9" s="74"/>
      <c r="AP9" s="79" t="s">
        <v>7</v>
      </c>
      <c r="AQ9" s="79" t="s">
        <v>8</v>
      </c>
      <c r="AR9" s="80">
        <f>AG9</f>
        <v>46006</v>
      </c>
      <c r="AS9" s="80">
        <f t="shared" ref="AS9:AX9" si="0">AH9</f>
        <v>46007</v>
      </c>
      <c r="AT9" s="80">
        <f t="shared" si="0"/>
        <v>46008</v>
      </c>
      <c r="AU9" s="80">
        <f t="shared" si="0"/>
        <v>46009</v>
      </c>
      <c r="AV9" s="80">
        <f t="shared" si="0"/>
        <v>46010</v>
      </c>
      <c r="AW9" s="80">
        <f t="shared" si="0"/>
        <v>46011</v>
      </c>
      <c r="AX9" s="80">
        <f t="shared" si="0"/>
        <v>46012</v>
      </c>
      <c r="AY9" s="79" t="s">
        <v>17</v>
      </c>
      <c r="AZ9" s="74"/>
      <c r="BA9" s="74"/>
      <c r="BB9" s="74"/>
      <c r="BC9" s="74"/>
    </row>
    <row r="10" spans="1:69" ht="15" x14ac:dyDescent="0.25">
      <c r="A10" s="13"/>
      <c r="B10" s="338" t="s">
        <v>18</v>
      </c>
      <c r="C10" s="216" t="s">
        <v>19</v>
      </c>
      <c r="D10" s="231"/>
      <c r="E10" s="147">
        <v>16500</v>
      </c>
      <c r="F10" s="138">
        <v>1564</v>
      </c>
      <c r="G10" s="138" t="s">
        <v>11</v>
      </c>
      <c r="H10" s="151">
        <v>10416</v>
      </c>
      <c r="I10" s="138">
        <v>1564</v>
      </c>
      <c r="J10" s="138" t="s">
        <v>11</v>
      </c>
      <c r="K10" s="147">
        <v>30000</v>
      </c>
      <c r="L10" s="145">
        <v>2821</v>
      </c>
      <c r="M10" s="145" t="s">
        <v>23</v>
      </c>
      <c r="N10" s="945">
        <v>30576</v>
      </c>
      <c r="O10" s="145">
        <v>2821</v>
      </c>
      <c r="P10" s="153" t="s">
        <v>23</v>
      </c>
      <c r="Q10" s="248">
        <f t="shared" ref="Q10:Q29" si="1">N10-K10</f>
        <v>576</v>
      </c>
      <c r="R10" s="253"/>
      <c r="S10" s="81"/>
      <c r="T10" s="94">
        <v>1564</v>
      </c>
      <c r="U10" s="95" t="s">
        <v>11</v>
      </c>
      <c r="V10" s="96">
        <f>SUMIF($F$9:$F$29,T10,$E$9:$E$29)</f>
        <v>49000</v>
      </c>
      <c r="W10" s="96">
        <f>SUMIF($M$9:$M$29,U10,$K$9:$K$29)</f>
        <v>225000</v>
      </c>
      <c r="X10" s="96">
        <f t="shared" ref="X10:X16" si="2">SUM(V10:W10)</f>
        <v>274000</v>
      </c>
      <c r="Y10" s="96">
        <f>(SUMIF($J$9:$J$29,U10,$H$9:$H$29))+(SUMIF($P$9:$P$29,U10,$N$9:$N$29))</f>
        <v>253135</v>
      </c>
      <c r="Z10" s="96">
        <f>+X10-Y10</f>
        <v>20865</v>
      </c>
      <c r="AA10" s="74"/>
      <c r="AB10" s="74"/>
      <c r="AC10" s="74"/>
      <c r="AD10" s="74"/>
      <c r="AE10" s="76">
        <v>1564</v>
      </c>
      <c r="AF10" s="76" t="s">
        <v>11</v>
      </c>
      <c r="AG10" s="82">
        <f>SUMIF($F$9:$F$11,$AE10,$E$9:$E$11)+SUMIF($I$9:$I$11,$AE10,$H$9:$H$11)+SUMIF($L$9:$L$11,$AE10,$K$9:$K$11)+SUMIF($O$9:$O$11,$AE10,$N$9:$N$11)</f>
        <v>78128</v>
      </c>
      <c r="AH10" s="82">
        <f>SUMIF($F$12:$F$14,$AE10,$E$12:$E$14)+SUMIF($I$12:$I$14,$AE10,$H$12:$H$14)+SUMIF($L$12:$L$14,$AE10,$K$12:$K$14)+SUMIF($O$12:$O$14,$AE10,$N$12:$N$14)</f>
        <v>22751</v>
      </c>
      <c r="AI10" s="82">
        <f>SUMIF($F$15:$F$17,$AE10,$E$15:$E$17)+SUMIF($I$15:$I$17,$AE10,$H$15:$H$17)+SUMIF($L$15:$L$17,$AE10,$K$15:$K$17)+SUMIF($O$15:$O$17,$AE10,$N$15:$N$17)</f>
        <v>57882</v>
      </c>
      <c r="AJ10" s="82">
        <f>SUMIF($F$18:$F$20,$AE10,$E$18:$E$20)+SUMIF($I$18:$I$20,$AE10,$H$18:$H$20)+SUMIF($L$18:$L$20,$AE10,$K$18:$K$20)+SUMIF($O$18:$O$20,$AE10,$N$18:$N$20)</f>
        <v>39408</v>
      </c>
      <c r="AK10" s="82">
        <f>SUMIF($F$21:$F$23,$AE10,$E$21:$E$23)+SUMIF($I$21:$I$23,$AE10,$H$21:$H$23)+SUMIF($L$21:$L$23,$AE10,$K$21:$K$23)+SUMIF($O$21:$O$23,$AE10,$N$21:$N$23)</f>
        <v>175848</v>
      </c>
      <c r="AL10" s="82">
        <f>SUMIF($F$24:$F$26,$AE10,$E$24:$E$26)+SUMIF($I$24:$I$26,$AE10,$H$24:$H$26)+SUMIF($L$24:$L$26,$AE10,$K$24:$K$26)+SUMIF($O$24:$O$26,$AE10,$N$24:$N$26)</f>
        <v>153118</v>
      </c>
      <c r="AM10" s="82">
        <f>SUMIF($F$27:$F$29,$AE10,$E$27:$E$29)+SUMIF($I$27:$I$29,$AE10,$H$27:$H$29)+SUMIF($L$27:$L$29,$AE10,$K$27:$K$29)+SUMIF($O$27:$O$29,$AE10,$N$27:$N$29)</f>
        <v>0</v>
      </c>
      <c r="AN10" s="83">
        <f>SUM(AG10:AM10)</f>
        <v>527135</v>
      </c>
      <c r="AO10" s="74"/>
      <c r="AP10" s="76">
        <v>1564</v>
      </c>
      <c r="AQ10" s="76" t="s">
        <v>11</v>
      </c>
      <c r="AR10" s="185">
        <f>SUMIF($I$9:$I$11,$AP10,$H$9:$H$11)+SUMIF($F$9:$F$11,$AP10,$E$9:$E$11)</f>
        <v>78128</v>
      </c>
      <c r="AS10" s="185">
        <f>SUMIF($I$12:$I$14,$AP10,$H$12:$H$14)+SUMIF($F$12:$F$14,$AP10,$E$12:$E$14)</f>
        <v>22751</v>
      </c>
      <c r="AT10" s="185">
        <f>SUMIF($I$15:$I$17,$AP10,$H$15:$H$17)+SUMIF($F$15:$F$17,$AP10,$E$15:$E$17)</f>
        <v>0</v>
      </c>
      <c r="AU10" s="185">
        <f>SUMIF($I$18:$I$20,$AP10,$H$18:$H$20)+SUMIF($F$18:$F$20,$AP10,$E$18:$E$20)</f>
        <v>0</v>
      </c>
      <c r="AV10" s="185">
        <f>SUMIF($I$21:$I$23,$AP10,$H$21:$H$23)+SUMIF($F$21:$F$23,$AP10,$E$21:$E$23)</f>
        <v>0</v>
      </c>
      <c r="AW10" s="185">
        <f>SUMIF($I$24:$I$26,$AP10,$H$24:$H$26)+SUMIF($F$24:$F$26,$AP10,$E$24:$E$26)</f>
        <v>0</v>
      </c>
      <c r="AX10" s="185">
        <f>SUMIF($I$27:$I$29,$AP10,$H$27:$H$29)+SUMIF($F$27:$F$29,$AP10,$E$27:$E$29)</f>
        <v>0</v>
      </c>
      <c r="AY10" s="220">
        <f>SUM(AR10:AX10)</f>
        <v>100879</v>
      </c>
      <c r="AZ10" s="74"/>
      <c r="BA10" s="74"/>
      <c r="BB10" s="74"/>
      <c r="BC10" s="74"/>
    </row>
    <row r="11" spans="1:69" ht="15" x14ac:dyDescent="0.25">
      <c r="A11" s="13"/>
      <c r="B11" s="339"/>
      <c r="C11" s="221" t="s">
        <v>20</v>
      </c>
      <c r="D11" s="231"/>
      <c r="E11" s="148">
        <v>16500</v>
      </c>
      <c r="F11" s="141">
        <v>1564</v>
      </c>
      <c r="G11" s="141" t="s">
        <v>11</v>
      </c>
      <c r="H11" s="152">
        <v>13608</v>
      </c>
      <c r="I11" s="141">
        <v>1564</v>
      </c>
      <c r="J11" s="141" t="s">
        <v>11</v>
      </c>
      <c r="K11" s="148">
        <v>30000</v>
      </c>
      <c r="L11" s="146">
        <v>2821</v>
      </c>
      <c r="M11" s="168" t="s">
        <v>23</v>
      </c>
      <c r="N11" s="946">
        <v>32424</v>
      </c>
      <c r="O11" s="146">
        <v>2821</v>
      </c>
      <c r="P11" s="362" t="s">
        <v>23</v>
      </c>
      <c r="Q11" s="248">
        <f t="shared" si="1"/>
        <v>2424</v>
      </c>
      <c r="R11" s="251"/>
      <c r="S11" s="81"/>
      <c r="T11" s="97">
        <v>2395</v>
      </c>
      <c r="U11" s="98" t="s">
        <v>22</v>
      </c>
      <c r="V11" s="99">
        <f>SUMIF($F$9:$F$29,T11,$E$9:$E$29)</f>
        <v>230500</v>
      </c>
      <c r="W11" s="99">
        <f>SUMIF($M$9:$M$29,T11,$L$9:$L$29)+SUMIF($P$9:$P$29,T11,$O$9:$O$29)</f>
        <v>0</v>
      </c>
      <c r="X11" s="99">
        <f t="shared" si="2"/>
        <v>230500</v>
      </c>
      <c r="Y11" s="99">
        <f>SUMIF($J$9:$J$29,U11,$H$9:$H$29)</f>
        <v>208409</v>
      </c>
      <c r="Z11" s="99">
        <f>+X11-Y11</f>
        <v>22091</v>
      </c>
      <c r="AA11" s="74"/>
      <c r="AB11" s="185"/>
      <c r="AC11" s="74"/>
      <c r="AD11" s="74"/>
      <c r="AE11" s="76">
        <v>2395</v>
      </c>
      <c r="AF11" s="76" t="s">
        <v>22</v>
      </c>
      <c r="AG11" s="82">
        <f>SUMIF($F$9:$F$11,$AE11,$E$9:$E$11)+SUMIF($I$9:$I$11,$AE11,$H$9:$H$11)+SUMIF($L$9:$L$11,$AE11,$K$9:$K$11)+SUMIF($O$9:$O$11,$AE11,$N$9:$N$11)</f>
        <v>0</v>
      </c>
      <c r="AH11" s="82">
        <f>SUMIF($F$12:$F$14,$AE11,$E$12:$E$14)+SUMIF($I$12:$I$14,$AE11,$H$12:$H$14)+SUMIF($L$12:$L$14,$AE11,$K$12:$K$14)+SUMIF($O$12:$O$14,$AE11,$N$12:$N$14)</f>
        <v>59376</v>
      </c>
      <c r="AI11" s="82">
        <f>SUMIF($F$15:$F$17,$AE11,$E$15:$E$17)+SUMIF($I$15:$I$17,$AE11,$H$15:$H$17)+SUMIF($L$15:$L$17,$AE11,$K$15:$K$17)+SUMIF($O$15:$O$17,$AE11,$N$15:$N$17)</f>
        <v>18428</v>
      </c>
      <c r="AJ11" s="82">
        <f>SUMIF($F$18:$F$20,$AE11,$E$18:$E$20)+SUMIF($I$18:$I$20,$AE11,$H$18:$H$20)+SUMIF($L$18:$L$20,$AE11,$K$18:$K$20)+SUMIF($O$18:$O$20,$AE11,$N$18:$N$20)</f>
        <v>97121</v>
      </c>
      <c r="AK11" s="82">
        <f>SUMIF($F$21:$F$23,$AE11,$E$21:$E$23)+SUMIF($I$21:$I$23,$AE11,$H$21:$H$23)+SUMIF($L$21:$L$23,$AE11,$K$21:$K$23)+SUMIF($O$21:$O$23,$AE11,$N$21:$N$23)</f>
        <v>90560</v>
      </c>
      <c r="AL11" s="82">
        <f>SUMIF($F$24:$F$26,$AE11,$E$24:$E$26)+SUMIF($I$24:$I$26,$AE11,$H$24:$H$26)+SUMIF($L$24:$L$26,$AE11,$K$24:$K$26)+SUMIF($O$24:$O$26,$AE11,$N$24:$N$26)</f>
        <v>82428</v>
      </c>
      <c r="AM11" s="82">
        <f>SUMIF($F$27:$F$29,$AE11,$E$27:$E$29)+SUMIF($I$27:$I$29,$AE11,$H$27:$H$29)+SUMIF($L$27:$L$29,$AE11,$K$27:$K$29)+SUMIF($O$27:$O$29,$AE11,$N$27:$N$29)</f>
        <v>90996</v>
      </c>
      <c r="AN11" s="83">
        <f t="shared" ref="AN11:AN12" si="3">SUM(AG11:AM11)</f>
        <v>438909</v>
      </c>
      <c r="AO11" s="74"/>
      <c r="AP11" s="76">
        <v>2395</v>
      </c>
      <c r="AQ11" s="76" t="s">
        <v>22</v>
      </c>
      <c r="AR11" s="185">
        <f t="shared" ref="AR11" si="4">SUMIF($I$9:$I$11,$AP11,$H$9:$H$11)+SUMIF($F$9:$F$11,$AP11,$E$9:$E$11)</f>
        <v>0</v>
      </c>
      <c r="AS11" s="185">
        <f>SUMIF($I$12:$I$14,$AP11,$H$12:$H$14)+SUMIF($F$12:$F$14,$AP11,$E$12:$E$14)</f>
        <v>59376</v>
      </c>
      <c r="AT11" s="185">
        <f>SUMIF($I$15:$I$17,$AP11,$H$15:$H$17)+SUMIF($F$15:$F$17,$AP11,$E$15:$E$17)</f>
        <v>18428</v>
      </c>
      <c r="AU11" s="185">
        <f>SUMIF($I$18:$I$20,$AP11,$H$18:$H$20)+SUMIF($F$18:$F$20,$AP11,$E$18:$E$20)</f>
        <v>97121</v>
      </c>
      <c r="AV11" s="185">
        <f>SUMIF($I$21:$I$23,$AP11,$H$21:$H$23)+SUMIF($F$21:$F$23,$AP11,$E$21:$E$23)</f>
        <v>90560</v>
      </c>
      <c r="AW11" s="185">
        <f>SUMIF($I$24:$I$26,$AP11,$H$24:$H$26)+SUMIF($F$24:$F$26,$AP11,$E$24:$E$26)</f>
        <v>82428</v>
      </c>
      <c r="AX11" s="185">
        <f>SUMIF($I$27:$I$29,$AP11,$H$27:$H$29)+SUMIF($F$27:$F$29,$AP11,$E$27:$E$29)</f>
        <v>90996</v>
      </c>
      <c r="AY11" s="220">
        <f t="shared" ref="AY11" si="5">SUM(AR11:AX11)</f>
        <v>438909</v>
      </c>
      <c r="AZ11" s="74"/>
      <c r="BA11" s="74"/>
      <c r="BB11" s="74"/>
      <c r="BC11" s="74"/>
    </row>
    <row r="12" spans="1:69" ht="15" x14ac:dyDescent="0.25">
      <c r="A12" s="13"/>
      <c r="B12" s="338">
        <f>+B9+1</f>
        <v>46007</v>
      </c>
      <c r="C12" s="216" t="s">
        <v>10</v>
      </c>
      <c r="D12" s="231"/>
      <c r="E12" s="134">
        <v>8000</v>
      </c>
      <c r="F12" s="141">
        <v>1564</v>
      </c>
      <c r="G12" s="141" t="s">
        <v>11</v>
      </c>
      <c r="H12" s="144">
        <f>13272+1479</f>
        <v>14751</v>
      </c>
      <c r="I12" s="136">
        <v>1564</v>
      </c>
      <c r="J12" s="136" t="s">
        <v>11</v>
      </c>
      <c r="K12" s="357">
        <v>30000</v>
      </c>
      <c r="L12" s="145">
        <v>2821</v>
      </c>
      <c r="M12" s="205" t="s">
        <v>23</v>
      </c>
      <c r="N12" s="928">
        <v>23016</v>
      </c>
      <c r="O12" s="145">
        <v>2821</v>
      </c>
      <c r="P12" s="363" t="s">
        <v>23</v>
      </c>
      <c r="Q12" s="248">
        <f t="shared" si="1"/>
        <v>-6984</v>
      </c>
      <c r="R12" s="252"/>
      <c r="S12" s="81"/>
      <c r="T12" s="100">
        <v>2821</v>
      </c>
      <c r="U12" s="101" t="s">
        <v>23</v>
      </c>
      <c r="V12" s="102">
        <f>SUMIF($F$9:$F$29,T12,$E$9:$E$29)+SUMIF($I$9:$I$29,T12,$H$9:$H$29)</f>
        <v>0</v>
      </c>
      <c r="W12" s="102">
        <f>SUMIF($M$9:$M$29,U12,$K$9:$K$29)</f>
        <v>307500</v>
      </c>
      <c r="X12" s="102">
        <f t="shared" si="2"/>
        <v>307500</v>
      </c>
      <c r="Y12" s="102">
        <f>SUMIF($P$9:$P$29,U12,$N$9:$N$29)</f>
        <v>298692</v>
      </c>
      <c r="Z12" s="102">
        <f>+X12-Y12</f>
        <v>8808</v>
      </c>
      <c r="AA12" s="74"/>
      <c r="AB12" s="74"/>
      <c r="AC12" s="74"/>
      <c r="AD12" s="74"/>
      <c r="AE12" s="76">
        <v>2821</v>
      </c>
      <c r="AF12" s="76" t="s">
        <v>23</v>
      </c>
      <c r="AG12" s="82">
        <f>SUMIF($F$9:$F$11,$AE12,$E$9:$E$11)+SUMIF($I$9:$I$11,$AE12,$H$9:$H$11)+SUMIF($L$9:$L$11,$AE12,$K$9:$K$11)+SUMIF($O$9:$O$11,$AE12,$N$9:$N$11)</f>
        <v>175008</v>
      </c>
      <c r="AH12" s="82">
        <f>SUMIF($F$12:$F$14,$AE12,$E$12:$E$14)+SUMIF($I$12:$I$14,$AE12,$H$12:$H$14)+SUMIF($L$12:$L$14,$AE12,$K$12:$K$14)+SUMIF($O$12:$O$14,$AE12,$N$12:$N$14)</f>
        <v>172152</v>
      </c>
      <c r="AI12" s="82">
        <f>SUMIF($F$15:$F$17,$AE12,$E$15:$E$17)+SUMIF($I$15:$I$17,$AE12,$H$15:$H$17)+SUMIF($L$15:$L$17,$AE12,$K$15:$K$17)+SUMIF($O$15:$O$17,$AE12,$N$15:$N$17)</f>
        <v>87216</v>
      </c>
      <c r="AJ12" s="82">
        <f>SUMIF($F$18:$F$20,$AE12,$E$18:$E$20)+SUMIF($I$18:$I$20,$AE12,$H$18:$H$20)+SUMIF($L$18:$L$20,$AE12,$K$18:$K$20)+SUMIF($O$18:$O$20,$AE12,$N$18:$N$20)</f>
        <v>0</v>
      </c>
      <c r="AK12" s="82">
        <f>SUMIF($F$21:$F$23,$AE12,$E$21:$E$23)+SUMIF($I$21:$I$23,$AE12,$H$21:$H$23)+SUMIF($L$21:$L$23,$AE12,$K$21:$K$23)+SUMIF($O$21:$O$23,$AE12,$N$21:$N$23)</f>
        <v>0</v>
      </c>
      <c r="AL12" s="82">
        <f>SUMIF($F$24:$F$26,$AE12,$E$24:$E$26)+SUMIF($I$24:$I$26,$AE12,$H$24:$H$26)+SUMIF($L$24:$L$26,$AE12,$K$24:$K$26)+SUMIF($O$24:$O$26,$AE12,$N$24:$N$26)</f>
        <v>0</v>
      </c>
      <c r="AM12" s="82">
        <f>SUMIF($F$27:$F$29,$AE12,$E$27:$E$29)+SUMIF($I$27:$I$29,$AE12,$H$27:$H$29)+SUMIF($L$27:$L$29,$AE12,$K$27:$K$29)+SUMIF($O$27:$O$29,$AE12,$N$27:$N$29)</f>
        <v>171816</v>
      </c>
      <c r="AN12" s="83">
        <f t="shared" si="3"/>
        <v>606192</v>
      </c>
      <c r="AO12" s="74"/>
      <c r="AP12" s="74"/>
      <c r="AQ12" s="74"/>
      <c r="AR12" s="185">
        <f>SUM(AR10:AR11)</f>
        <v>78128</v>
      </c>
      <c r="AS12" s="185">
        <f t="shared" ref="AS12:AY12" si="6">SUM(AS10:AS11)</f>
        <v>82127</v>
      </c>
      <c r="AT12" s="185">
        <f t="shared" si="6"/>
        <v>18428</v>
      </c>
      <c r="AU12" s="185">
        <f t="shared" si="6"/>
        <v>97121</v>
      </c>
      <c r="AV12" s="185">
        <f t="shared" si="6"/>
        <v>90560</v>
      </c>
      <c r="AW12" s="185">
        <f t="shared" si="6"/>
        <v>82428</v>
      </c>
      <c r="AX12" s="185">
        <f t="shared" si="6"/>
        <v>90996</v>
      </c>
      <c r="AY12" s="220">
        <f t="shared" si="6"/>
        <v>539788</v>
      </c>
      <c r="AZ12" s="74"/>
      <c r="BA12" s="74"/>
      <c r="BB12" s="74"/>
      <c r="BC12" s="74"/>
    </row>
    <row r="13" spans="1:69" ht="15" x14ac:dyDescent="0.25">
      <c r="A13" s="13"/>
      <c r="B13" s="338" t="s">
        <v>24</v>
      </c>
      <c r="C13" s="216" t="s">
        <v>19</v>
      </c>
      <c r="D13" s="231"/>
      <c r="E13" s="147">
        <v>16500</v>
      </c>
      <c r="F13" s="135">
        <v>2395</v>
      </c>
      <c r="G13" s="135" t="s">
        <v>22</v>
      </c>
      <c r="H13" s="151">
        <v>11928</v>
      </c>
      <c r="I13" s="135">
        <v>2395</v>
      </c>
      <c r="J13" s="135" t="s">
        <v>22</v>
      </c>
      <c r="K13" s="147">
        <v>30000</v>
      </c>
      <c r="L13" s="358">
        <v>2821</v>
      </c>
      <c r="M13" s="145" t="s">
        <v>23</v>
      </c>
      <c r="N13" s="945">
        <v>31080</v>
      </c>
      <c r="O13" s="358">
        <v>2821</v>
      </c>
      <c r="P13" s="153" t="s">
        <v>23</v>
      </c>
      <c r="Q13" s="248">
        <f t="shared" si="1"/>
        <v>1080</v>
      </c>
      <c r="R13" s="253"/>
      <c r="S13" s="81"/>
      <c r="T13" s="103">
        <v>5037</v>
      </c>
      <c r="U13" s="104" t="s">
        <v>25</v>
      </c>
      <c r="V13" s="105">
        <f>SUMIF($F$9:$F$29,T13,$E$9:$E$29)+SUMIF($I$9:$I$29,T13,$H$9:$H$29)</f>
        <v>0</v>
      </c>
      <c r="W13" s="105">
        <f>SUMIF($M$9:$M$29,T13,$L$9:$L$29)+SUMIF($P$9:$P$29,T13,$O$9:$O$29)</f>
        <v>0</v>
      </c>
      <c r="X13" s="105">
        <f t="shared" si="2"/>
        <v>0</v>
      </c>
      <c r="Y13" s="105">
        <f>SUMIF($J$10:$J$30,U13,$H$10:$H$30)</f>
        <v>0</v>
      </c>
      <c r="Z13" s="105"/>
      <c r="AA13" s="74"/>
      <c r="AB13" s="74"/>
      <c r="AC13" s="74"/>
      <c r="AD13" s="74"/>
      <c r="AE13" s="76">
        <v>6843</v>
      </c>
      <c r="AF13" s="76" t="s">
        <v>26</v>
      </c>
      <c r="AG13" s="82">
        <f>SUMIF($F$9:$F$11,$AE13,$E$9:$E$11)+SUMIF($I$9:$I$11,$AE13,$H$9:$H$11)+SUMIF($L$9:$L$11,$AE13,$K$9:$K$11)+SUMIF($O$9:$O$11,$AE13,$N$9:$N$11)</f>
        <v>0</v>
      </c>
      <c r="AH13" s="82">
        <f>SUMIF($F$12:$F$14,$AE13,$E$12:$E$14)+SUMIF($I$12:$I$14,$AE13,$H$12:$H$14)+SUMIF($L$12:$L$14,$AE13,$K$12:$K$14)+SUMIF($O$12:$O$14,$AE13,$N$12:$N$14)</f>
        <v>0</v>
      </c>
      <c r="AI13" s="82">
        <f>SUMIF($F$15:$F$17,$AE13,$E$15:$E$17)+SUMIF($I$15:$I$17,$AE13,$H$15:$H$17)+SUMIF($L$15:$L$17,$AE13,$K$15:$K$17)+SUMIF($O$15:$O$17,$AE13,$N$15:$N$17)</f>
        <v>0</v>
      </c>
      <c r="AJ13" s="82">
        <f>SUMIF($F$18:$F$20,$AE13,$E$18:$E$20)+SUMIF($I$18:$I$20,$AE13,$H$18:$H$20)+SUMIF($L$18:$L$20,$AE13,$K$18:$K$20)+SUMIF($O$18:$O$20,$AE13,$N$18:$N$20)</f>
        <v>0</v>
      </c>
      <c r="AK13" s="82">
        <f>SUMIF($F$21:$F$23,$AE13,$E$21:$E$23)+SUMIF($I$21:$I$23,$AE13,$H$21:$H$23)+SUMIF($L$21:$L$23,$AE13,$K$21:$K$23)+SUMIF($O$21:$O$23,$AE13,$N$21:$N$23)</f>
        <v>0</v>
      </c>
      <c r="AL13" s="82">
        <f>SUMIF($F$24:$F$26,$AE13,$E$24:$E$26)+SUMIF($I$24:$I$26,$AE13,$H$24:$H$26)+SUMIF($L$24:$L$26,$AE13,$K$24:$K$26)+SUMIF($O$24:$O$26,$AE13,$N$24:$N$26)</f>
        <v>0</v>
      </c>
      <c r="AM13" s="82">
        <f>SUMIF($F$27:$F$29,$AE13,$E$27:$E$29)+SUMIF($I$27:$I$29,$AE13,$H$27:$H$29)+SUMIF($L$27:$L$29,$AE13,$K$27:$K$29)+SUMIF($O$27:$O$29,$AE13,$N$27:$N$29)</f>
        <v>0</v>
      </c>
      <c r="AN13" s="83">
        <f>SUM(AG13:AM13)</f>
        <v>0</v>
      </c>
      <c r="AO13" s="74"/>
      <c r="AP13" s="215" t="s">
        <v>27</v>
      </c>
      <c r="AQ13" s="74"/>
      <c r="AR13" s="74"/>
      <c r="AS13" s="74"/>
      <c r="AT13" s="74"/>
      <c r="AU13" s="74"/>
      <c r="AV13" s="74"/>
      <c r="AW13" s="74"/>
      <c r="AX13" s="74"/>
      <c r="AY13" s="83"/>
      <c r="AZ13" s="74"/>
      <c r="BA13" s="74"/>
      <c r="BB13" s="74"/>
      <c r="BC13" s="74"/>
    </row>
    <row r="14" spans="1:69" ht="15" x14ac:dyDescent="0.25">
      <c r="A14" s="13"/>
      <c r="B14" s="339"/>
      <c r="C14" s="221" t="s">
        <v>20</v>
      </c>
      <c r="D14" s="231"/>
      <c r="E14" s="148">
        <v>16500</v>
      </c>
      <c r="F14" s="140">
        <v>2395</v>
      </c>
      <c r="G14" s="355" t="s">
        <v>22</v>
      </c>
      <c r="H14" s="152">
        <f>14448</f>
        <v>14448</v>
      </c>
      <c r="I14" s="140">
        <v>2395</v>
      </c>
      <c r="J14" s="355" t="s">
        <v>22</v>
      </c>
      <c r="K14" s="167">
        <v>30000</v>
      </c>
      <c r="L14" s="359">
        <v>2821</v>
      </c>
      <c r="M14" s="146" t="s">
        <v>23</v>
      </c>
      <c r="N14" s="946">
        <v>28056</v>
      </c>
      <c r="O14" s="359">
        <v>2821</v>
      </c>
      <c r="P14" s="154" t="s">
        <v>23</v>
      </c>
      <c r="Q14" s="248">
        <f t="shared" si="1"/>
        <v>-1944</v>
      </c>
      <c r="R14" s="251"/>
      <c r="S14" s="81"/>
      <c r="T14" s="106">
        <v>6788</v>
      </c>
      <c r="U14" s="107" t="s">
        <v>28</v>
      </c>
      <c r="V14" s="108">
        <f>SUMIF($F$9:$F$29,T14,$E$9:$E$29)+SUMIF($I$9:$I$29,T14,$H$9:$H$29)</f>
        <v>0</v>
      </c>
      <c r="W14" s="108">
        <f>SUMIF($M$9:$M$29,T14,$L$9:$L$29)+SUMIF($P$9:$P$29,T14,$O$9:$O$29)</f>
        <v>0</v>
      </c>
      <c r="X14" s="108">
        <f t="shared" si="2"/>
        <v>0</v>
      </c>
      <c r="Y14" s="108">
        <f>SUMIF($M$9:$M$29,V14,$L$9:$L$29)+SUMIF($P$9:$P$29,V14,$O$9:$O$29)</f>
        <v>0</v>
      </c>
      <c r="Z14" s="108"/>
      <c r="AA14" s="74"/>
      <c r="AB14" s="74"/>
      <c r="AC14" s="74"/>
      <c r="AD14" s="74"/>
      <c r="AE14" s="76">
        <v>6842</v>
      </c>
      <c r="AF14" s="76" t="s">
        <v>29</v>
      </c>
      <c r="AG14" s="82">
        <f>SUMIF($F$9:$F$11,$AE14,$E$9:$E$11)+SUMIF($I$9:$I$11,$AE14,$H$9:$H$11)+SUMIF($L$9:$L$11,$AE14,$K$9:$K$11)+SUMIF($O$9:$O$11,$AE14,$N$9:$N$11)</f>
        <v>0</v>
      </c>
      <c r="AH14" s="82">
        <f>SUMIF($F$12:$F$14,$AE14,$E$12:$E$14)+SUMIF($I$12:$I$14,$AE14,$H$12:$H$14)+SUMIF($L$12:$L$14,$AE14,$K$12:$K$14)+SUMIF($O$12:$O$14,$AE14,$N$12:$N$14)</f>
        <v>0</v>
      </c>
      <c r="AI14" s="82">
        <f>SUMIF($F$15:$F$17,$AE14,$E$15:$E$17)+SUMIF($I$15:$I$17,$AE14,$H$15:$H$17)+SUMIF($L$15:$L$17,$AE14,$K$15:$K$17)+SUMIF($O$15:$O$17,$AE14,$N$15:$N$17)</f>
        <v>0</v>
      </c>
      <c r="AJ14" s="82">
        <f>SUMIF($F$18:$F$20,$AE14,$E$18:$E$20)+SUMIF($I$18:$I$20,$AE14,$H$18:$H$20)+SUMIF($L$18:$L$20,$AE14,$K$18:$K$20)+SUMIF($O$18:$O$20,$AE14,$N$18:$N$20)</f>
        <v>0</v>
      </c>
      <c r="AK14" s="82">
        <f>SUMIF($F$21:$F$23,$AE14,$E$21:$E$23)+SUMIF($I$21:$I$23,$AE14,$H$21:$H$23)+SUMIF($L$21:$L$23,$AE14,$K$21:$K$23)+SUMIF($O$21:$O$23,$AE14,$N$21:$N$23)</f>
        <v>0</v>
      </c>
      <c r="AL14" s="82">
        <f>SUMIF($F$24:$F$26,$AE14,$E$24:$E$26)+SUMIF($I$24:$I$26,$AE14,$H$24:$H$26)+SUMIF($L$24:$L$26,$AE14,$K$24:$K$26)+SUMIF($O$24:$O$26,$AE14,$N$24:$N$26)</f>
        <v>0</v>
      </c>
      <c r="AM14" s="82">
        <f>SUMIF($F$27:$F$29,$AE14,$E$27:$E$29)+SUMIF($I$27:$I$29,$AE14,$H$27:$H$29)+SUMIF($L$27:$L$29,$AE14,$K$27:$K$29)+SUMIF($O$27:$O$29,$AE14,$N$27:$N$29)</f>
        <v>0</v>
      </c>
      <c r="AN14" s="83">
        <f>SUM(AG14:AM14)</f>
        <v>0</v>
      </c>
      <c r="AO14" s="74"/>
      <c r="AP14" s="79" t="s">
        <v>7</v>
      </c>
      <c r="AQ14" s="79" t="s">
        <v>8</v>
      </c>
      <c r="AR14" s="80">
        <f>AR9</f>
        <v>46006</v>
      </c>
      <c r="AS14" s="80">
        <f t="shared" ref="AS14:AX14" si="7">AS9</f>
        <v>46007</v>
      </c>
      <c r="AT14" s="80">
        <f t="shared" si="7"/>
        <v>46008</v>
      </c>
      <c r="AU14" s="80">
        <f t="shared" si="7"/>
        <v>46009</v>
      </c>
      <c r="AV14" s="80">
        <f t="shared" si="7"/>
        <v>46010</v>
      </c>
      <c r="AW14" s="80">
        <f t="shared" si="7"/>
        <v>46011</v>
      </c>
      <c r="AX14" s="80">
        <f t="shared" si="7"/>
        <v>46012</v>
      </c>
      <c r="AY14" s="79" t="s">
        <v>17</v>
      </c>
      <c r="AZ14" s="74"/>
      <c r="BA14" s="74"/>
      <c r="BB14" s="74"/>
      <c r="BC14" s="74"/>
    </row>
    <row r="15" spans="1:69" ht="15" x14ac:dyDescent="0.25">
      <c r="A15" s="13"/>
      <c r="B15" s="338">
        <f>+B12+1</f>
        <v>46008</v>
      </c>
      <c r="C15" s="216" t="s">
        <v>10</v>
      </c>
      <c r="D15" s="175"/>
      <c r="E15" s="144"/>
      <c r="F15" s="144"/>
      <c r="G15" s="356" t="s">
        <v>30</v>
      </c>
      <c r="H15" s="144"/>
      <c r="I15" s="144"/>
      <c r="J15" s="144"/>
      <c r="K15" s="202">
        <v>30000</v>
      </c>
      <c r="L15" s="205">
        <v>2821</v>
      </c>
      <c r="M15" s="145" t="s">
        <v>23</v>
      </c>
      <c r="N15" s="229">
        <v>19320</v>
      </c>
      <c r="O15" s="205">
        <v>2821</v>
      </c>
      <c r="P15" s="153" t="s">
        <v>23</v>
      </c>
      <c r="Q15" s="248">
        <f t="shared" si="1"/>
        <v>-10680</v>
      </c>
      <c r="R15" s="252"/>
      <c r="S15" s="81"/>
      <c r="T15" s="109">
        <v>6843</v>
      </c>
      <c r="U15" s="110" t="s">
        <v>21</v>
      </c>
      <c r="V15" s="111">
        <f>SUMIF($F$9:$F$29,T15,$E$9:$E$29)+SUMIF($I$9:$I$29,T15,$H$9:$H$29)</f>
        <v>0</v>
      </c>
      <c r="W15" s="111">
        <f>SUMIF($M$10:$M$30,T15,$L$10:$L$30)</f>
        <v>0</v>
      </c>
      <c r="X15" s="111">
        <f t="shared" si="2"/>
        <v>0</v>
      </c>
      <c r="Y15" s="111">
        <f>SUMIF($R$10:$R$30,U15,$O$10:$O$30)</f>
        <v>0</v>
      </c>
      <c r="Z15" s="111">
        <f>+X15-Y15</f>
        <v>0</v>
      </c>
      <c r="AA15" s="74"/>
      <c r="AB15" s="74"/>
      <c r="AC15" s="74"/>
      <c r="AD15" s="74"/>
      <c r="AG15" s="222">
        <f>SUM(AG10:AG14)</f>
        <v>253136</v>
      </c>
      <c r="AH15" s="222">
        <f t="shared" ref="AH15:AM15" si="8">SUM(AH10:AH14)</f>
        <v>254279</v>
      </c>
      <c r="AI15" s="222">
        <f t="shared" si="8"/>
        <v>163526</v>
      </c>
      <c r="AJ15" s="222">
        <f t="shared" si="8"/>
        <v>136529</v>
      </c>
      <c r="AK15" s="222">
        <f t="shared" si="8"/>
        <v>266408</v>
      </c>
      <c r="AL15" s="222">
        <f t="shared" si="8"/>
        <v>235546</v>
      </c>
      <c r="AM15" s="222">
        <f t="shared" si="8"/>
        <v>262812</v>
      </c>
      <c r="AN15" s="83">
        <f>SUM(AN10:AN14)</f>
        <v>1572236</v>
      </c>
      <c r="AO15" s="74"/>
      <c r="AP15" s="76">
        <v>1564</v>
      </c>
      <c r="AQ15" s="76" t="s">
        <v>11</v>
      </c>
      <c r="AR15" s="185">
        <f>SUMIF($O$9:$O$11,$AP15,$N$9:$N$11)+SUMIF($L$9:$L$11,$AP15,$K$9:$K$11)</f>
        <v>0</v>
      </c>
      <c r="AS15" s="185">
        <f>SUMIF($O$12:$O$14,$AP15,$N$12:$N$14)+SUMIF($L$12:$L$14,$AP15,$K$12:$K$14)</f>
        <v>0</v>
      </c>
      <c r="AT15" s="185">
        <f>SUMIF($O$15:$O$17,$AP15,$N$15:$N$17)+SUMIF($L$15:$L$17,$AP15,$K$15:$K$17)</f>
        <v>57882</v>
      </c>
      <c r="AU15" s="185">
        <f>SUMIF($O$18:$O$20,$AP15,$N$18:$N$20)+SUMIF($L$18:$L$20,$AP15,$K$18:$K$20)</f>
        <v>39408</v>
      </c>
      <c r="AV15" s="185">
        <f>SUMIF($O$21:$O$23,$AP15,$N$21:$N$23)+SUMIF($L$21:$L$23,$AP15,$K$21:$K$23)</f>
        <v>175848</v>
      </c>
      <c r="AW15" s="185">
        <f>SUMIF($O$24:$O$26,$AP15,$N$24:$N$26)+SUMIF($L$24:$L$26,$AP15,$K$24:$K$26)</f>
        <v>153118</v>
      </c>
      <c r="AX15" s="185">
        <f>SUMIF($O$27:$O$29,$AP15,$N$27:$N$29)+SUMIF($L$27:$L$29,$AP15,$K$27:$K$29)</f>
        <v>0</v>
      </c>
      <c r="AY15" s="220">
        <f>SUM(AR15:AX15)</f>
        <v>426256</v>
      </c>
      <c r="AZ15" s="74"/>
      <c r="BA15" s="74"/>
      <c r="BB15" s="74"/>
      <c r="BC15" s="74"/>
    </row>
    <row r="16" spans="1:69" ht="15" x14ac:dyDescent="0.25">
      <c r="A16" s="13"/>
      <c r="B16" s="338" t="s">
        <v>79</v>
      </c>
      <c r="C16" s="216" t="s">
        <v>19</v>
      </c>
      <c r="D16" s="179"/>
      <c r="E16" s="151"/>
      <c r="F16" s="151"/>
      <c r="G16" s="165" t="s">
        <v>30</v>
      </c>
      <c r="H16" s="151"/>
      <c r="I16" s="151"/>
      <c r="J16" s="151"/>
      <c r="K16" s="134">
        <v>7500</v>
      </c>
      <c r="L16" s="145">
        <v>2821</v>
      </c>
      <c r="M16" s="145" t="s">
        <v>23</v>
      </c>
      <c r="N16" s="235">
        <f>29568+828</f>
        <v>30396</v>
      </c>
      <c r="O16" s="145">
        <v>2821</v>
      </c>
      <c r="P16" s="153" t="s">
        <v>23</v>
      </c>
      <c r="Q16" s="248">
        <f t="shared" si="1"/>
        <v>22896</v>
      </c>
      <c r="R16" s="253"/>
      <c r="S16" s="81"/>
      <c r="T16" s="112">
        <v>6842</v>
      </c>
      <c r="U16" s="113" t="s">
        <v>29</v>
      </c>
      <c r="V16" s="114">
        <f>SUMIF($F$9:$F$29,T16,$E$9:$E$29)+SUMIF($I$9:$I$29,T16,$H$9:$H$29)</f>
        <v>0</v>
      </c>
      <c r="W16" s="114">
        <f>SUMIF($M$9:$M$29,T16,$L$9:$L$29)+SUMIF($P$9:$P$29,T16,$O$9:$O$29)</f>
        <v>0</v>
      </c>
      <c r="X16" s="114">
        <f t="shared" si="2"/>
        <v>0</v>
      </c>
      <c r="Y16" s="114">
        <f>SUM(W16:X16)</f>
        <v>0</v>
      </c>
      <c r="Z16" s="114"/>
      <c r="AA16" s="74"/>
      <c r="AB16" s="74"/>
      <c r="AC16" s="74"/>
      <c r="AD16" s="74"/>
      <c r="AO16" s="74"/>
      <c r="AP16" s="76">
        <v>2821</v>
      </c>
      <c r="AQ16" s="76" t="s">
        <v>23</v>
      </c>
      <c r="AR16" s="185">
        <f t="shared" ref="AR16:AR18" si="9">SUMIF($O$9:$O$11,$AP16,$N$9:$N$11)+SUMIF($L$9:$L$11,$AP16,$K$9:$K$11)</f>
        <v>175008</v>
      </c>
      <c r="AS16" s="185">
        <f t="shared" ref="AS16:AS18" si="10">SUMIF($O$12:$O$14,$AP16,$N$12:$N$14)+SUMIF($L$12:$L$14,$AP16,$K$12:$K$14)</f>
        <v>172152</v>
      </c>
      <c r="AT16" s="185">
        <f t="shared" ref="AT16:AT18" si="11">SUMIF($O$15:$O$17,$AP16,$N$15:$N$17)+SUMIF($L$15:$L$17,$AP16,$K$15:$K$17)</f>
        <v>87216</v>
      </c>
      <c r="AU16" s="185">
        <f t="shared" ref="AU16:AU18" si="12">SUMIF($O$18:$O$20,$AP16,$N$18:$N$20)+SUMIF($L$18:$L$20,$AP16,$K$18:$K$20)</f>
        <v>0</v>
      </c>
      <c r="AV16" s="185">
        <f t="shared" ref="AV16:AV18" si="13">SUMIF($O$21:$O$23,$AP16,$N$21:$N$23)+SUMIF($L$21:$L$23,$AP16,$K$21:$K$23)</f>
        <v>0</v>
      </c>
      <c r="AW16" s="185">
        <f t="shared" ref="AW16:AW18" si="14">SUMIF($O$24:$O$26,$AP16,$N$24:$N$26)+SUMIF($L$24:$L$26,$AP16,$K$24:$K$26)</f>
        <v>0</v>
      </c>
      <c r="AX16" s="185">
        <f t="shared" ref="AX16:AX18" si="15">SUMIF($O$27:$O$29,$AP16,$N$27:$N$29)+SUMIF($L$27:$L$29,$AP16,$K$27:$K$29)</f>
        <v>171816</v>
      </c>
      <c r="AY16" s="220">
        <f t="shared" ref="AY16:AY18" si="16">SUM(AR16:AX16)</f>
        <v>606192</v>
      </c>
      <c r="AZ16" s="74"/>
      <c r="BA16" s="74"/>
      <c r="BB16" s="74"/>
      <c r="BC16" s="74"/>
    </row>
    <row r="17" spans="1:55" ht="17.25" x14ac:dyDescent="0.25">
      <c r="A17" s="13"/>
      <c r="B17" s="339"/>
      <c r="C17" s="221" t="s">
        <v>20</v>
      </c>
      <c r="D17" s="182"/>
      <c r="E17" s="148">
        <v>8000</v>
      </c>
      <c r="F17" s="140">
        <v>2395</v>
      </c>
      <c r="G17" s="140" t="s">
        <v>22</v>
      </c>
      <c r="H17" s="152">
        <f>10416+12</f>
        <v>10428</v>
      </c>
      <c r="I17" s="140">
        <v>2395</v>
      </c>
      <c r="J17" s="140" t="s">
        <v>22</v>
      </c>
      <c r="K17" s="357">
        <v>30000</v>
      </c>
      <c r="L17" s="161">
        <v>1564</v>
      </c>
      <c r="M17" s="141" t="s">
        <v>11</v>
      </c>
      <c r="N17" s="238">
        <f>19488+8394</f>
        <v>27882</v>
      </c>
      <c r="O17" s="161">
        <v>1564</v>
      </c>
      <c r="P17" s="141" t="s">
        <v>11</v>
      </c>
      <c r="Q17" s="248">
        <f t="shared" si="1"/>
        <v>-2118</v>
      </c>
      <c r="R17" s="251"/>
      <c r="S17" s="81"/>
      <c r="T17" s="74"/>
      <c r="U17" s="92" t="s">
        <v>32</v>
      </c>
      <c r="V17" s="93">
        <f>SUM(V10:V16)</f>
        <v>279500</v>
      </c>
      <c r="W17" s="93">
        <f>SUM(W10:W16)</f>
        <v>532500</v>
      </c>
      <c r="X17" s="93">
        <f>SUM(X10:X16)</f>
        <v>812000</v>
      </c>
      <c r="Y17" s="127">
        <f>SUM(Y10:Y16)</f>
        <v>760236</v>
      </c>
      <c r="Z17" s="127">
        <f>SUM(Z10:Z16)</f>
        <v>51764</v>
      </c>
      <c r="AA17" s="74"/>
      <c r="AB17" s="74"/>
      <c r="AC17" s="74"/>
      <c r="AD17" s="74"/>
      <c r="AE17" s="215" t="s">
        <v>33</v>
      </c>
      <c r="AF17" s="74"/>
      <c r="AG17" s="74"/>
      <c r="AH17" s="74"/>
      <c r="AI17" s="74"/>
      <c r="AJ17" s="74"/>
      <c r="AK17" s="74"/>
      <c r="AL17" s="74"/>
      <c r="AM17" s="74"/>
      <c r="AN17" s="74"/>
      <c r="AO17" s="76"/>
      <c r="AP17" s="76">
        <v>6843</v>
      </c>
      <c r="AQ17" s="76" t="s">
        <v>26</v>
      </c>
      <c r="AR17" s="185">
        <f t="shared" si="9"/>
        <v>0</v>
      </c>
      <c r="AS17" s="185">
        <f t="shared" si="10"/>
        <v>0</v>
      </c>
      <c r="AT17" s="185">
        <f t="shared" si="11"/>
        <v>0</v>
      </c>
      <c r="AU17" s="185">
        <f t="shared" si="12"/>
        <v>0</v>
      </c>
      <c r="AV17" s="185">
        <f t="shared" si="13"/>
        <v>0</v>
      </c>
      <c r="AW17" s="185">
        <f t="shared" si="14"/>
        <v>0</v>
      </c>
      <c r="AX17" s="185">
        <f t="shared" si="15"/>
        <v>0</v>
      </c>
      <c r="AY17" s="220">
        <f t="shared" si="16"/>
        <v>0</v>
      </c>
      <c r="AZ17" s="74"/>
      <c r="BA17" s="74"/>
      <c r="BB17" s="74"/>
      <c r="BC17" s="74"/>
    </row>
    <row r="18" spans="1:55" ht="15" x14ac:dyDescent="0.25">
      <c r="A18" s="13"/>
      <c r="B18" s="338">
        <f>+B15+1</f>
        <v>46009</v>
      </c>
      <c r="C18" s="87" t="s">
        <v>10</v>
      </c>
      <c r="D18" s="175"/>
      <c r="E18" s="134">
        <v>16500</v>
      </c>
      <c r="F18" s="135">
        <v>2395</v>
      </c>
      <c r="G18" s="135" t="s">
        <v>22</v>
      </c>
      <c r="H18" s="144">
        <f>10920+3437</f>
        <v>14357</v>
      </c>
      <c r="I18" s="135">
        <v>2395</v>
      </c>
      <c r="J18" s="135" t="s">
        <v>22</v>
      </c>
      <c r="K18" s="201"/>
      <c r="L18" s="144"/>
      <c r="M18" s="158" t="s">
        <v>30</v>
      </c>
      <c r="N18" s="229"/>
      <c r="O18" s="217"/>
      <c r="P18" s="364"/>
      <c r="Q18" s="248">
        <f t="shared" si="1"/>
        <v>0</v>
      </c>
      <c r="R18" s="252"/>
      <c r="S18" s="81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9" t="s">
        <v>7</v>
      </c>
      <c r="AF18" s="79" t="s">
        <v>8</v>
      </c>
      <c r="AG18" s="80">
        <f>AG9</f>
        <v>46006</v>
      </c>
      <c r="AH18" s="80">
        <f t="shared" ref="AH18:AM18" si="17">AH9</f>
        <v>46007</v>
      </c>
      <c r="AI18" s="80">
        <f t="shared" si="17"/>
        <v>46008</v>
      </c>
      <c r="AJ18" s="80">
        <f t="shared" si="17"/>
        <v>46009</v>
      </c>
      <c r="AK18" s="80">
        <f t="shared" si="17"/>
        <v>46010</v>
      </c>
      <c r="AL18" s="80">
        <f t="shared" si="17"/>
        <v>46011</v>
      </c>
      <c r="AM18" s="80">
        <f t="shared" si="17"/>
        <v>46012</v>
      </c>
      <c r="AN18" s="79" t="s">
        <v>34</v>
      </c>
      <c r="AO18" s="74"/>
      <c r="AP18" s="76">
        <v>6842</v>
      </c>
      <c r="AQ18" s="76" t="s">
        <v>29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185">
        <f t="shared" si="15"/>
        <v>0</v>
      </c>
      <c r="AY18" s="220">
        <f t="shared" si="16"/>
        <v>0</v>
      </c>
      <c r="AZ18" s="74"/>
      <c r="BA18" s="74"/>
      <c r="BB18" s="74"/>
      <c r="BC18" s="74"/>
    </row>
    <row r="19" spans="1:55" ht="15" x14ac:dyDescent="0.25">
      <c r="A19" s="13"/>
      <c r="B19" s="338" t="s">
        <v>35</v>
      </c>
      <c r="C19" s="85" t="s">
        <v>19</v>
      </c>
      <c r="D19" s="179"/>
      <c r="E19" s="147">
        <v>16500</v>
      </c>
      <c r="F19" s="137">
        <v>2395</v>
      </c>
      <c r="G19" s="135" t="s">
        <v>22</v>
      </c>
      <c r="H19" s="151">
        <v>16464</v>
      </c>
      <c r="I19" s="137">
        <v>2395</v>
      </c>
      <c r="J19" s="135" t="s">
        <v>22</v>
      </c>
      <c r="K19" s="151"/>
      <c r="L19" s="144"/>
      <c r="M19" s="158" t="s">
        <v>30</v>
      </c>
      <c r="N19" s="235"/>
      <c r="O19" s="219"/>
      <c r="P19" s="365"/>
      <c r="Q19" s="248">
        <f t="shared" si="1"/>
        <v>0</v>
      </c>
      <c r="R19" s="253"/>
      <c r="S19" s="81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6">
        <v>1564</v>
      </c>
      <c r="AF19" s="76" t="s">
        <v>11</v>
      </c>
      <c r="AG19" s="82">
        <f t="shared" ref="AG19:AM19" si="18">AG10/(1/12/0.65*100)</f>
        <v>6093.9840000000004</v>
      </c>
      <c r="AH19" s="82">
        <f t="shared" si="18"/>
        <v>1774.5780000000002</v>
      </c>
      <c r="AI19" s="82">
        <f t="shared" si="18"/>
        <v>4514.7960000000003</v>
      </c>
      <c r="AJ19" s="82">
        <f t="shared" si="18"/>
        <v>3073.8240000000001</v>
      </c>
      <c r="AK19" s="82">
        <f t="shared" si="18"/>
        <v>13716.144000000002</v>
      </c>
      <c r="AL19" s="82">
        <f t="shared" si="18"/>
        <v>11943.204000000002</v>
      </c>
      <c r="AM19" s="82">
        <f t="shared" si="18"/>
        <v>0</v>
      </c>
      <c r="AN19" s="83">
        <f>SUM(AG19:AM19)</f>
        <v>41116.53</v>
      </c>
      <c r="AO19" s="74"/>
      <c r="AP19" s="74"/>
      <c r="AQ19" s="74"/>
      <c r="AR19" s="224">
        <f>SUM(AR15:AR18)</f>
        <v>175008</v>
      </c>
      <c r="AS19" s="224">
        <f t="shared" ref="AS19:AX19" si="19">SUM(AS15:AS18)</f>
        <v>172152</v>
      </c>
      <c r="AT19" s="224">
        <f t="shared" si="19"/>
        <v>145098</v>
      </c>
      <c r="AU19" s="224">
        <f t="shared" si="19"/>
        <v>39408</v>
      </c>
      <c r="AV19" s="224">
        <f t="shared" si="19"/>
        <v>175848</v>
      </c>
      <c r="AW19" s="224">
        <f t="shared" si="19"/>
        <v>153118</v>
      </c>
      <c r="AX19" s="224">
        <f t="shared" si="19"/>
        <v>171816</v>
      </c>
      <c r="AY19" s="224">
        <f>SUM(AY15:AY18)</f>
        <v>1032448</v>
      </c>
      <c r="AZ19" s="74"/>
      <c r="BA19" s="74"/>
      <c r="BB19" s="74"/>
      <c r="BC19" s="74"/>
    </row>
    <row r="20" spans="1:55" ht="18.75" x14ac:dyDescent="0.25">
      <c r="A20" s="13"/>
      <c r="B20" s="339"/>
      <c r="C20" s="86" t="s">
        <v>20</v>
      </c>
      <c r="D20" s="182"/>
      <c r="E20" s="148">
        <v>16500</v>
      </c>
      <c r="F20" s="140">
        <v>2395</v>
      </c>
      <c r="G20" s="140" t="s">
        <v>22</v>
      </c>
      <c r="H20" s="152">
        <v>16800</v>
      </c>
      <c r="I20" s="140">
        <v>2395</v>
      </c>
      <c r="J20" s="140" t="s">
        <v>22</v>
      </c>
      <c r="K20" s="148">
        <v>30000</v>
      </c>
      <c r="L20" s="141">
        <v>1564</v>
      </c>
      <c r="M20" s="141" t="s">
        <v>11</v>
      </c>
      <c r="N20" s="238">
        <v>9408</v>
      </c>
      <c r="O20" s="141">
        <v>1564</v>
      </c>
      <c r="P20" s="141" t="s">
        <v>11</v>
      </c>
      <c r="Q20" s="248">
        <f t="shared" si="1"/>
        <v>-20592</v>
      </c>
      <c r="R20" s="251"/>
      <c r="S20" s="81"/>
      <c r="T20" s="115" t="s">
        <v>36</v>
      </c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6">
        <v>2395</v>
      </c>
      <c r="AF20" s="76" t="s">
        <v>22</v>
      </c>
      <c r="AG20" s="82">
        <f t="shared" ref="AG20:AM20" si="20">AG11/(1/12/0.62*100)</f>
        <v>0</v>
      </c>
      <c r="AH20" s="82">
        <f t="shared" si="20"/>
        <v>4417.5744000000004</v>
      </c>
      <c r="AI20" s="82">
        <f t="shared" si="20"/>
        <v>1371.0432000000001</v>
      </c>
      <c r="AJ20" s="82">
        <f t="shared" si="20"/>
        <v>7225.8024000000005</v>
      </c>
      <c r="AK20" s="82">
        <f t="shared" si="20"/>
        <v>6737.6640000000007</v>
      </c>
      <c r="AL20" s="82">
        <f t="shared" si="20"/>
        <v>6132.6432000000004</v>
      </c>
      <c r="AM20" s="82">
        <f t="shared" si="20"/>
        <v>6770.1024000000007</v>
      </c>
      <c r="AN20" s="83">
        <f>SUM(AG20:AM20)</f>
        <v>32654.829600000001</v>
      </c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ht="15.75" x14ac:dyDescent="0.25">
      <c r="A21" s="13"/>
      <c r="B21" s="338">
        <f>+B18+1</f>
        <v>46010</v>
      </c>
      <c r="C21" s="87" t="s">
        <v>10</v>
      </c>
      <c r="D21" s="175"/>
      <c r="E21" s="134">
        <v>16500</v>
      </c>
      <c r="F21" s="135">
        <v>2395</v>
      </c>
      <c r="G21" s="135" t="s">
        <v>22</v>
      </c>
      <c r="H21" s="144">
        <v>18144</v>
      </c>
      <c r="I21" s="135">
        <v>2395</v>
      </c>
      <c r="J21" s="135" t="s">
        <v>22</v>
      </c>
      <c r="K21" s="134">
        <v>30000</v>
      </c>
      <c r="L21" s="136">
        <v>1564</v>
      </c>
      <c r="M21" s="136" t="s">
        <v>11</v>
      </c>
      <c r="N21" s="229">
        <v>30072</v>
      </c>
      <c r="O21" s="136">
        <v>1564</v>
      </c>
      <c r="P21" s="136" t="s">
        <v>11</v>
      </c>
      <c r="Q21" s="248">
        <f t="shared" si="1"/>
        <v>72</v>
      </c>
      <c r="R21" s="252"/>
      <c r="S21" s="81"/>
      <c r="T21" s="92" t="s">
        <v>7</v>
      </c>
      <c r="U21" s="92" t="s">
        <v>8</v>
      </c>
      <c r="V21" s="92" t="s">
        <v>37</v>
      </c>
      <c r="W21" s="92" t="s">
        <v>38</v>
      </c>
      <c r="X21" s="92" t="s">
        <v>39</v>
      </c>
      <c r="Y21" s="92" t="s">
        <v>40</v>
      </c>
      <c r="Z21" s="92" t="s">
        <v>41</v>
      </c>
      <c r="AA21" s="74"/>
      <c r="AB21" s="74"/>
      <c r="AC21" s="74"/>
      <c r="AD21" s="74"/>
      <c r="AE21" s="76">
        <v>2821</v>
      </c>
      <c r="AF21" s="76" t="s">
        <v>23</v>
      </c>
      <c r="AG21" s="82">
        <f t="shared" ref="AG21:AM21" si="21">AG12/(1/12/0.63*100)</f>
        <v>13230.604800000001</v>
      </c>
      <c r="AH21" s="82">
        <f t="shared" si="21"/>
        <v>13014.691200000001</v>
      </c>
      <c r="AI21" s="82">
        <f t="shared" si="21"/>
        <v>6593.5296000000008</v>
      </c>
      <c r="AJ21" s="82">
        <f t="shared" si="21"/>
        <v>0</v>
      </c>
      <c r="AK21" s="82">
        <f t="shared" si="21"/>
        <v>0</v>
      </c>
      <c r="AL21" s="82">
        <f t="shared" si="21"/>
        <v>0</v>
      </c>
      <c r="AM21" s="82">
        <f t="shared" si="21"/>
        <v>12989.289600000002</v>
      </c>
      <c r="AN21" s="83">
        <f>SUM(AG21:AM21)</f>
        <v>45828.115200000007</v>
      </c>
      <c r="AO21" s="74"/>
      <c r="AP21" s="215" t="s">
        <v>9</v>
      </c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ht="15" x14ac:dyDescent="0.25">
      <c r="A22" s="13"/>
      <c r="B22" s="338" t="s">
        <v>42</v>
      </c>
      <c r="C22" s="85" t="s">
        <v>19</v>
      </c>
      <c r="D22" s="179"/>
      <c r="E22" s="134">
        <v>16500</v>
      </c>
      <c r="F22" s="135">
        <v>2395</v>
      </c>
      <c r="G22" s="135" t="s">
        <v>22</v>
      </c>
      <c r="H22" s="151">
        <v>15120</v>
      </c>
      <c r="I22" s="135">
        <v>2395</v>
      </c>
      <c r="J22" s="135" t="s">
        <v>22</v>
      </c>
      <c r="K22" s="147">
        <v>30000</v>
      </c>
      <c r="L22" s="136">
        <v>1564</v>
      </c>
      <c r="M22" s="136" t="s">
        <v>11</v>
      </c>
      <c r="N22" s="176">
        <v>29064</v>
      </c>
      <c r="O22" s="136">
        <v>1564</v>
      </c>
      <c r="P22" s="136" t="s">
        <v>11</v>
      </c>
      <c r="Q22" s="248">
        <f t="shared" si="1"/>
        <v>-936</v>
      </c>
      <c r="R22" s="253"/>
      <c r="S22" s="81"/>
      <c r="T22" s="94">
        <v>1564</v>
      </c>
      <c r="U22" s="95" t="s">
        <v>11</v>
      </c>
      <c r="V22" s="96">
        <f>V10*12*0.65/100</f>
        <v>3822</v>
      </c>
      <c r="W22" s="96">
        <f>W10*12*0.65/100</f>
        <v>17550</v>
      </c>
      <c r="X22" s="96">
        <f>SUM(V22:W22)</f>
        <v>21372</v>
      </c>
      <c r="Y22" s="96">
        <v>28782</v>
      </c>
      <c r="Z22" s="96">
        <f>X22-Y22</f>
        <v>-7410</v>
      </c>
      <c r="AA22" s="74"/>
      <c r="AB22" s="74"/>
      <c r="AC22" s="74"/>
      <c r="AD22" s="74"/>
      <c r="AE22" s="76">
        <v>6843</v>
      </c>
      <c r="AF22" s="76" t="s">
        <v>26</v>
      </c>
      <c r="AG22" s="82">
        <f t="shared" ref="AG22:AM23" si="22">AG13/(1/12/0.62*100)</f>
        <v>0</v>
      </c>
      <c r="AH22" s="82">
        <f t="shared" si="22"/>
        <v>0</v>
      </c>
      <c r="AI22" s="82">
        <f t="shared" si="22"/>
        <v>0</v>
      </c>
      <c r="AJ22" s="82">
        <f t="shared" si="22"/>
        <v>0</v>
      </c>
      <c r="AK22" s="82">
        <f t="shared" si="22"/>
        <v>0</v>
      </c>
      <c r="AL22" s="82">
        <f t="shared" si="22"/>
        <v>0</v>
      </c>
      <c r="AM22" s="82">
        <f t="shared" si="22"/>
        <v>0</v>
      </c>
      <c r="AN22" s="83">
        <f>SUM(AG22:AM22)</f>
        <v>0</v>
      </c>
      <c r="AO22" s="74"/>
      <c r="AP22" s="79" t="s">
        <v>7</v>
      </c>
      <c r="AQ22" s="79" t="s">
        <v>8</v>
      </c>
      <c r="AR22" s="80">
        <f>AR9</f>
        <v>46006</v>
      </c>
      <c r="AS22" s="80">
        <f t="shared" ref="AS22:AX22" si="23">AS9</f>
        <v>46007</v>
      </c>
      <c r="AT22" s="80">
        <f t="shared" si="23"/>
        <v>46008</v>
      </c>
      <c r="AU22" s="80">
        <f t="shared" si="23"/>
        <v>46009</v>
      </c>
      <c r="AV22" s="80">
        <f t="shared" si="23"/>
        <v>46010</v>
      </c>
      <c r="AW22" s="80">
        <f t="shared" si="23"/>
        <v>46011</v>
      </c>
      <c r="AX22" s="80">
        <f t="shared" si="23"/>
        <v>46012</v>
      </c>
      <c r="AY22" s="79" t="s">
        <v>34</v>
      </c>
      <c r="AZ22" s="74"/>
      <c r="BA22" s="74"/>
      <c r="BB22" s="74"/>
      <c r="BC22" s="74"/>
    </row>
    <row r="23" spans="1:55" ht="15.75" x14ac:dyDescent="0.25">
      <c r="A23" s="13"/>
      <c r="B23" s="339"/>
      <c r="C23" s="86" t="s">
        <v>20</v>
      </c>
      <c r="D23" s="182"/>
      <c r="E23" s="357">
        <v>8000</v>
      </c>
      <c r="F23" s="355">
        <v>2395</v>
      </c>
      <c r="G23" s="355" t="s">
        <v>22</v>
      </c>
      <c r="H23" s="152">
        <v>16296</v>
      </c>
      <c r="I23" s="355">
        <v>2395</v>
      </c>
      <c r="J23" s="355" t="s">
        <v>22</v>
      </c>
      <c r="K23" s="357">
        <v>30000</v>
      </c>
      <c r="L23" s="247">
        <v>1564</v>
      </c>
      <c r="M23" s="141" t="s">
        <v>11</v>
      </c>
      <c r="N23" s="183">
        <v>26712</v>
      </c>
      <c r="O23" s="136">
        <v>1564</v>
      </c>
      <c r="P23" s="136" t="s">
        <v>11</v>
      </c>
      <c r="Q23" s="248">
        <f t="shared" si="1"/>
        <v>-3288</v>
      </c>
      <c r="R23" s="251"/>
      <c r="S23" s="81"/>
      <c r="T23" s="97">
        <v>2395</v>
      </c>
      <c r="U23" s="98" t="s">
        <v>22</v>
      </c>
      <c r="V23" s="99">
        <f>V11*12*0.62/100</f>
        <v>17149.2</v>
      </c>
      <c r="W23" s="99">
        <f>W11*12*0.62/100</f>
        <v>0</v>
      </c>
      <c r="X23" s="99">
        <f t="shared" ref="X23:X28" si="24">SUM(V23:W23)</f>
        <v>17149.2</v>
      </c>
      <c r="Y23" s="99">
        <v>10416</v>
      </c>
      <c r="Z23" s="99">
        <f t="shared" ref="Z23:Z28" si="25">X23-Y23</f>
        <v>6733.2000000000007</v>
      </c>
      <c r="AA23" s="82"/>
      <c r="AB23" s="92" t="s">
        <v>43</v>
      </c>
      <c r="AC23" s="92" t="s">
        <v>33</v>
      </c>
      <c r="AD23" s="74"/>
      <c r="AE23" s="76">
        <v>6842</v>
      </c>
      <c r="AF23" s="76" t="s">
        <v>29</v>
      </c>
      <c r="AG23" s="82">
        <f t="shared" si="22"/>
        <v>0</v>
      </c>
      <c r="AH23" s="82">
        <f t="shared" si="22"/>
        <v>0</v>
      </c>
      <c r="AI23" s="82">
        <f t="shared" si="22"/>
        <v>0</v>
      </c>
      <c r="AJ23" s="82">
        <f t="shared" si="22"/>
        <v>0</v>
      </c>
      <c r="AK23" s="82">
        <f t="shared" si="22"/>
        <v>0</v>
      </c>
      <c r="AL23" s="82">
        <f t="shared" si="22"/>
        <v>0</v>
      </c>
      <c r="AM23" s="82">
        <f t="shared" si="22"/>
        <v>0</v>
      </c>
      <c r="AN23" s="83">
        <f>SUM(AG23:AM23)</f>
        <v>0</v>
      </c>
      <c r="AO23" s="74"/>
      <c r="AP23" s="76">
        <v>1564</v>
      </c>
      <c r="AQ23" s="76" t="s">
        <v>11</v>
      </c>
      <c r="AR23" s="185">
        <f>AR10*12*0.65/100</f>
        <v>6093.9840000000004</v>
      </c>
      <c r="AS23" s="185">
        <f t="shared" ref="AS23:AX23" si="26">AS10*12*0.65/100</f>
        <v>1774.5780000000002</v>
      </c>
      <c r="AT23" s="185">
        <f t="shared" si="26"/>
        <v>0</v>
      </c>
      <c r="AU23" s="185">
        <f t="shared" si="26"/>
        <v>0</v>
      </c>
      <c r="AV23" s="185">
        <f t="shared" si="26"/>
        <v>0</v>
      </c>
      <c r="AW23" s="185">
        <f t="shared" si="26"/>
        <v>0</v>
      </c>
      <c r="AX23" s="185">
        <f t="shared" si="26"/>
        <v>0</v>
      </c>
      <c r="AY23" s="220">
        <f>SUM(AR23:AX23)</f>
        <v>7868.5620000000008</v>
      </c>
      <c r="AZ23" s="74"/>
      <c r="BA23" s="74"/>
      <c r="BB23" s="74"/>
      <c r="BC23" s="74"/>
    </row>
    <row r="24" spans="1:55" ht="15" x14ac:dyDescent="0.25">
      <c r="A24" s="13"/>
      <c r="B24" s="338">
        <f>+B21+1</f>
        <v>46011</v>
      </c>
      <c r="C24" s="87" t="s">
        <v>10</v>
      </c>
      <c r="D24" s="175"/>
      <c r="E24" s="202">
        <v>16500</v>
      </c>
      <c r="F24" s="203">
        <v>2395</v>
      </c>
      <c r="G24" s="203" t="s">
        <v>22</v>
      </c>
      <c r="H24" s="144">
        <v>2688</v>
      </c>
      <c r="I24" s="203">
        <v>2395</v>
      </c>
      <c r="J24" s="203" t="s">
        <v>22</v>
      </c>
      <c r="K24" s="202">
        <v>30000</v>
      </c>
      <c r="L24" s="204">
        <v>1564</v>
      </c>
      <c r="M24" s="136" t="s">
        <v>11</v>
      </c>
      <c r="N24" s="229">
        <v>28056</v>
      </c>
      <c r="O24" s="204">
        <v>1564</v>
      </c>
      <c r="P24" s="136" t="s">
        <v>11</v>
      </c>
      <c r="Q24" s="248">
        <f t="shared" si="1"/>
        <v>-1944</v>
      </c>
      <c r="R24" s="252"/>
      <c r="S24" s="81"/>
      <c r="T24" s="100">
        <v>2821</v>
      </c>
      <c r="U24" s="101" t="s">
        <v>23</v>
      </c>
      <c r="V24" s="102">
        <f>V12*12*0.63/100</f>
        <v>0</v>
      </c>
      <c r="W24" s="102">
        <f>W12*12*0.63/100</f>
        <v>23247</v>
      </c>
      <c r="X24" s="102">
        <f t="shared" si="24"/>
        <v>23247</v>
      </c>
      <c r="Y24" s="102">
        <v>10962</v>
      </c>
      <c r="Z24" s="102">
        <f t="shared" si="25"/>
        <v>12285</v>
      </c>
      <c r="AA24" s="74"/>
      <c r="AB24" s="116" t="s">
        <v>44</v>
      </c>
      <c r="AC24" s="117">
        <f>X22+X25</f>
        <v>21372</v>
      </c>
      <c r="AD24" s="74"/>
      <c r="AE24" s="74"/>
      <c r="AF24" s="74"/>
      <c r="AG24" s="83">
        <f t="shared" ref="AG24:AM24" si="27">+SUM(AG19:AG23)</f>
        <v>19324.588800000001</v>
      </c>
      <c r="AH24" s="83">
        <f t="shared" si="27"/>
        <v>19206.8436</v>
      </c>
      <c r="AI24" s="83">
        <f t="shared" si="27"/>
        <v>12479.3688</v>
      </c>
      <c r="AJ24" s="83">
        <f t="shared" si="27"/>
        <v>10299.626400000001</v>
      </c>
      <c r="AK24" s="83">
        <f t="shared" si="27"/>
        <v>20453.808000000005</v>
      </c>
      <c r="AL24" s="83">
        <f t="shared" si="27"/>
        <v>18075.847200000004</v>
      </c>
      <c r="AM24" s="83">
        <f t="shared" si="27"/>
        <v>19759.392000000003</v>
      </c>
      <c r="AN24" s="83">
        <f>SUM(AN19:AN23)</f>
        <v>119599.4748</v>
      </c>
      <c r="AO24" s="74"/>
      <c r="AP24" s="76">
        <v>2395</v>
      </c>
      <c r="AQ24" s="76" t="s">
        <v>22</v>
      </c>
      <c r="AR24" s="185">
        <f>AR11*12*0.62/100</f>
        <v>0</v>
      </c>
      <c r="AS24" s="185">
        <f t="shared" ref="AS24:AX24" si="28">AS11*12*0.62/100</f>
        <v>4417.5744000000004</v>
      </c>
      <c r="AT24" s="185">
        <f t="shared" si="28"/>
        <v>1371.0432000000001</v>
      </c>
      <c r="AU24" s="185">
        <f t="shared" si="28"/>
        <v>7225.8023999999996</v>
      </c>
      <c r="AV24" s="185">
        <f t="shared" si="28"/>
        <v>6737.6640000000007</v>
      </c>
      <c r="AW24" s="185">
        <f t="shared" si="28"/>
        <v>6132.6431999999995</v>
      </c>
      <c r="AX24" s="185">
        <f t="shared" si="28"/>
        <v>6770.1023999999998</v>
      </c>
      <c r="AY24" s="220">
        <f t="shared" ref="AY24" si="29">SUM(AR24:AX24)</f>
        <v>32654.829600000001</v>
      </c>
      <c r="AZ24" s="74"/>
      <c r="BA24" s="74"/>
      <c r="BB24" s="74"/>
      <c r="BC24" s="74"/>
    </row>
    <row r="25" spans="1:55" ht="15" x14ac:dyDescent="0.25">
      <c r="A25" s="13"/>
      <c r="B25" s="338" t="s">
        <v>45</v>
      </c>
      <c r="C25" s="85" t="s">
        <v>19</v>
      </c>
      <c r="D25" s="179"/>
      <c r="E25" s="134">
        <v>16500</v>
      </c>
      <c r="F25" s="135">
        <v>2395</v>
      </c>
      <c r="G25" s="135" t="s">
        <v>22</v>
      </c>
      <c r="H25" s="151">
        <v>14952</v>
      </c>
      <c r="I25" s="135">
        <v>2395</v>
      </c>
      <c r="J25" s="135" t="s">
        <v>22</v>
      </c>
      <c r="K25" s="147">
        <v>30000</v>
      </c>
      <c r="L25" s="136">
        <v>1564</v>
      </c>
      <c r="M25" s="136" t="s">
        <v>11</v>
      </c>
      <c r="N25" s="235">
        <v>28056</v>
      </c>
      <c r="O25" s="136">
        <v>1564</v>
      </c>
      <c r="P25" s="136" t="s">
        <v>11</v>
      </c>
      <c r="Q25" s="248">
        <f t="shared" si="1"/>
        <v>-1944</v>
      </c>
      <c r="R25" s="253"/>
      <c r="S25" s="81"/>
      <c r="T25" s="103">
        <v>5037</v>
      </c>
      <c r="U25" s="104" t="s">
        <v>25</v>
      </c>
      <c r="V25" s="105">
        <f>V13*12/100</f>
        <v>0</v>
      </c>
      <c r="W25" s="105">
        <f>W13*12/100</f>
        <v>0</v>
      </c>
      <c r="X25" s="105">
        <f t="shared" si="24"/>
        <v>0</v>
      </c>
      <c r="Y25" s="105">
        <v>0</v>
      </c>
      <c r="Z25" s="105">
        <f t="shared" si="25"/>
        <v>0</v>
      </c>
      <c r="AA25" s="74"/>
      <c r="AB25" s="118" t="s">
        <v>46</v>
      </c>
      <c r="AC25" s="119">
        <f>X23+X26</f>
        <v>17149.2</v>
      </c>
      <c r="AD25" s="74"/>
      <c r="AO25" s="74"/>
      <c r="AP25" s="74"/>
      <c r="AQ25" s="74"/>
      <c r="AR25" s="185">
        <f>SUM(AR23:AR24)</f>
        <v>6093.9840000000004</v>
      </c>
      <c r="AS25" s="185">
        <f t="shared" ref="AS25:AY25" si="30">SUM(AS23:AS24)</f>
        <v>6192.1524000000009</v>
      </c>
      <c r="AT25" s="185">
        <f t="shared" si="30"/>
        <v>1371.0432000000001</v>
      </c>
      <c r="AU25" s="185">
        <f t="shared" si="30"/>
        <v>7225.8023999999996</v>
      </c>
      <c r="AV25" s="185">
        <f t="shared" si="30"/>
        <v>6737.6640000000007</v>
      </c>
      <c r="AW25" s="185">
        <f t="shared" si="30"/>
        <v>6132.6431999999995</v>
      </c>
      <c r="AX25" s="185">
        <f t="shared" si="30"/>
        <v>6770.1023999999998</v>
      </c>
      <c r="AY25" s="220">
        <f t="shared" si="30"/>
        <v>40523.391600000003</v>
      </c>
      <c r="AZ25" s="74"/>
      <c r="BA25" s="74"/>
      <c r="BB25" s="74"/>
      <c r="BC25" s="74"/>
    </row>
    <row r="26" spans="1:55" ht="15" x14ac:dyDescent="0.25">
      <c r="A26" s="13"/>
      <c r="B26" s="339"/>
      <c r="C26" s="86" t="s">
        <v>20</v>
      </c>
      <c r="D26" s="182"/>
      <c r="E26" s="148">
        <v>16500</v>
      </c>
      <c r="F26" s="140">
        <v>2395</v>
      </c>
      <c r="G26" s="355" t="s">
        <v>22</v>
      </c>
      <c r="H26" s="152">
        <v>15288</v>
      </c>
      <c r="I26" s="140">
        <v>2395</v>
      </c>
      <c r="J26" s="355" t="s">
        <v>22</v>
      </c>
      <c r="K26" s="148">
        <v>15000</v>
      </c>
      <c r="L26" s="141">
        <v>1564</v>
      </c>
      <c r="M26" s="141" t="s">
        <v>11</v>
      </c>
      <c r="N26" s="237">
        <v>22006</v>
      </c>
      <c r="O26" s="141">
        <v>1564</v>
      </c>
      <c r="P26" s="141" t="s">
        <v>11</v>
      </c>
      <c r="Q26" s="248">
        <f t="shared" si="1"/>
        <v>7006</v>
      </c>
      <c r="R26" s="251"/>
      <c r="S26" s="81"/>
      <c r="T26" s="106">
        <v>6788</v>
      </c>
      <c r="U26" s="107" t="s">
        <v>28</v>
      </c>
      <c r="V26" s="108">
        <f>V14*12/100</f>
        <v>0</v>
      </c>
      <c r="W26" s="108">
        <f>W14*12/100</f>
        <v>0</v>
      </c>
      <c r="X26" s="108">
        <f t="shared" si="24"/>
        <v>0</v>
      </c>
      <c r="Y26" s="108">
        <v>0</v>
      </c>
      <c r="Z26" s="108">
        <f t="shared" si="25"/>
        <v>0</v>
      </c>
      <c r="AA26" s="74"/>
      <c r="AB26" s="120" t="s">
        <v>47</v>
      </c>
      <c r="AC26" s="121">
        <f>X24</f>
        <v>23247</v>
      </c>
      <c r="AD26" s="74"/>
      <c r="AO26" s="76"/>
      <c r="AP26" s="215" t="s">
        <v>27</v>
      </c>
      <c r="AQ26" s="74"/>
      <c r="AR26" s="74"/>
      <c r="AS26" s="74"/>
      <c r="AT26" s="74"/>
      <c r="AU26" s="74"/>
      <c r="AV26" s="74"/>
      <c r="AW26" s="74"/>
      <c r="AX26" s="74"/>
      <c r="AY26" s="83"/>
      <c r="AZ26" s="74"/>
      <c r="BA26" s="74"/>
      <c r="BB26" s="74"/>
      <c r="BC26" s="74"/>
    </row>
    <row r="27" spans="1:55" ht="15" x14ac:dyDescent="0.25">
      <c r="A27" s="13"/>
      <c r="B27" s="338">
        <f>+B24+1</f>
        <v>46012</v>
      </c>
      <c r="C27" s="87" t="s">
        <v>10</v>
      </c>
      <c r="D27" s="175"/>
      <c r="E27" s="134">
        <v>16500</v>
      </c>
      <c r="F27" s="135">
        <v>2395</v>
      </c>
      <c r="G27" s="203" t="s">
        <v>22</v>
      </c>
      <c r="H27" s="144">
        <v>14784</v>
      </c>
      <c r="I27" s="135">
        <v>2395</v>
      </c>
      <c r="J27" s="203" t="s">
        <v>22</v>
      </c>
      <c r="K27" s="147">
        <v>30000</v>
      </c>
      <c r="L27" s="145">
        <v>2821</v>
      </c>
      <c r="M27" s="145" t="s">
        <v>23</v>
      </c>
      <c r="N27" s="234">
        <v>26880</v>
      </c>
      <c r="O27" s="145">
        <v>2821</v>
      </c>
      <c r="P27" s="145" t="s">
        <v>23</v>
      </c>
      <c r="Q27" s="248">
        <f t="shared" si="1"/>
        <v>-3120</v>
      </c>
      <c r="R27" s="252"/>
      <c r="S27" s="81"/>
      <c r="T27" s="109">
        <v>6841</v>
      </c>
      <c r="U27" s="110" t="s">
        <v>26</v>
      </c>
      <c r="V27" s="111">
        <f>V15*12*0.62/100</f>
        <v>0</v>
      </c>
      <c r="W27" s="111">
        <f t="shared" ref="W27:W28" si="31">W15*12*0.62/100</f>
        <v>0</v>
      </c>
      <c r="X27" s="111">
        <f t="shared" si="24"/>
        <v>0</v>
      </c>
      <c r="Y27" s="111">
        <v>0</v>
      </c>
      <c r="Z27" s="111">
        <f t="shared" si="25"/>
        <v>0</v>
      </c>
      <c r="AA27" s="74"/>
      <c r="AB27" s="124" t="s">
        <v>48</v>
      </c>
      <c r="AC27" s="125">
        <f>X27</f>
        <v>0</v>
      </c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9" t="s">
        <v>7</v>
      </c>
      <c r="AQ27" s="79" t="s">
        <v>8</v>
      </c>
      <c r="AR27" s="80">
        <f>AR22</f>
        <v>46006</v>
      </c>
      <c r="AS27" s="80">
        <f t="shared" ref="AS27:AX27" si="32">AS22</f>
        <v>46007</v>
      </c>
      <c r="AT27" s="80">
        <f t="shared" si="32"/>
        <v>46008</v>
      </c>
      <c r="AU27" s="80">
        <f t="shared" si="32"/>
        <v>46009</v>
      </c>
      <c r="AV27" s="80">
        <f t="shared" si="32"/>
        <v>46010</v>
      </c>
      <c r="AW27" s="80">
        <f t="shared" si="32"/>
        <v>46011</v>
      </c>
      <c r="AX27" s="80">
        <f t="shared" si="32"/>
        <v>46012</v>
      </c>
      <c r="AY27" s="79" t="s">
        <v>34</v>
      </c>
      <c r="AZ27" s="74"/>
      <c r="BA27" s="74"/>
      <c r="BB27" s="74"/>
      <c r="BC27" s="74"/>
    </row>
    <row r="28" spans="1:55" ht="15" x14ac:dyDescent="0.25">
      <c r="A28" s="13"/>
      <c r="B28" s="338" t="s">
        <v>49</v>
      </c>
      <c r="C28" s="85" t="s">
        <v>19</v>
      </c>
      <c r="D28" s="179"/>
      <c r="E28" s="147">
        <v>16500</v>
      </c>
      <c r="F28" s="137">
        <v>2395</v>
      </c>
      <c r="G28" s="137" t="s">
        <v>22</v>
      </c>
      <c r="H28" s="151">
        <v>12264</v>
      </c>
      <c r="I28" s="137">
        <v>2395</v>
      </c>
      <c r="J28" s="137" t="s">
        <v>22</v>
      </c>
      <c r="K28" s="147">
        <v>30000</v>
      </c>
      <c r="L28" s="145">
        <v>2821</v>
      </c>
      <c r="M28" s="145" t="s">
        <v>23</v>
      </c>
      <c r="N28" s="236">
        <v>28056</v>
      </c>
      <c r="O28" s="145">
        <v>2821</v>
      </c>
      <c r="P28" s="145" t="s">
        <v>23</v>
      </c>
      <c r="Q28" s="248">
        <f t="shared" si="1"/>
        <v>-1944</v>
      </c>
      <c r="R28" s="253"/>
      <c r="S28" s="81"/>
      <c r="T28" s="112">
        <v>6842</v>
      </c>
      <c r="U28" s="113" t="s">
        <v>29</v>
      </c>
      <c r="V28" s="114">
        <f t="shared" ref="V28" si="33">V16*12*0.62/100</f>
        <v>0</v>
      </c>
      <c r="W28" s="114">
        <f t="shared" si="31"/>
        <v>0</v>
      </c>
      <c r="X28" s="114">
        <f t="shared" si="24"/>
        <v>0</v>
      </c>
      <c r="Y28" s="114">
        <v>0</v>
      </c>
      <c r="Z28" s="114">
        <f t="shared" si="25"/>
        <v>0</v>
      </c>
      <c r="AA28" s="74"/>
      <c r="AB28" s="122" t="s">
        <v>50</v>
      </c>
      <c r="AC28" s="123">
        <f>X28</f>
        <v>0</v>
      </c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6">
        <v>1564</v>
      </c>
      <c r="AQ28" s="76" t="s">
        <v>11</v>
      </c>
      <c r="AR28" s="185">
        <f>AR15*12*0.65/100</f>
        <v>0</v>
      </c>
      <c r="AS28" s="185">
        <f t="shared" ref="AS28:AX28" si="34">AS15*12*0.65/100</f>
        <v>0</v>
      </c>
      <c r="AT28" s="185">
        <f t="shared" si="34"/>
        <v>4514.7960000000003</v>
      </c>
      <c r="AU28" s="185">
        <f t="shared" si="34"/>
        <v>3073.8240000000001</v>
      </c>
      <c r="AV28" s="185">
        <f t="shared" si="34"/>
        <v>13716.144000000002</v>
      </c>
      <c r="AW28" s="185">
        <f t="shared" si="34"/>
        <v>11943.204000000002</v>
      </c>
      <c r="AX28" s="185">
        <f t="shared" si="34"/>
        <v>0</v>
      </c>
      <c r="AY28" s="220">
        <f>SUM(AR28:AX28)</f>
        <v>33247.968000000008</v>
      </c>
      <c r="AZ28" s="74"/>
      <c r="BA28" s="74"/>
      <c r="BB28" s="74"/>
      <c r="BC28" s="74"/>
    </row>
    <row r="29" spans="1:55" ht="17.25" x14ac:dyDescent="0.25">
      <c r="A29" s="13"/>
      <c r="B29" s="340"/>
      <c r="C29" s="150" t="s">
        <v>20</v>
      </c>
      <c r="D29" s="341"/>
      <c r="E29" s="148">
        <v>16500</v>
      </c>
      <c r="F29" s="140">
        <v>2395</v>
      </c>
      <c r="G29" s="140" t="s">
        <v>22</v>
      </c>
      <c r="H29" s="342">
        <v>14448</v>
      </c>
      <c r="I29" s="140">
        <v>2395</v>
      </c>
      <c r="J29" s="140" t="s">
        <v>22</v>
      </c>
      <c r="K29" s="148">
        <v>30000</v>
      </c>
      <c r="L29" s="146">
        <v>2821</v>
      </c>
      <c r="M29" s="146" t="s">
        <v>23</v>
      </c>
      <c r="N29" s="343">
        <v>26880</v>
      </c>
      <c r="O29" s="146">
        <v>2821</v>
      </c>
      <c r="P29" s="146" t="s">
        <v>23</v>
      </c>
      <c r="Q29" s="248">
        <f t="shared" si="1"/>
        <v>-3120</v>
      </c>
      <c r="R29" s="253"/>
      <c r="S29" s="81"/>
      <c r="T29" s="74"/>
      <c r="U29" s="126" t="s">
        <v>39</v>
      </c>
      <c r="V29" s="127">
        <f>SUM(V22:V28)</f>
        <v>20971.2</v>
      </c>
      <c r="W29" s="127">
        <f>SUM(W22:W28)</f>
        <v>40797</v>
      </c>
      <c r="X29" s="127">
        <f>SUM(X22:X28)</f>
        <v>61768.2</v>
      </c>
      <c r="Y29" s="127">
        <f>SUM(Y22:Y28)</f>
        <v>50160</v>
      </c>
      <c r="Z29" s="127">
        <f>SUM(Z22:Z28)</f>
        <v>11608.2</v>
      </c>
      <c r="AA29" s="74"/>
      <c r="AB29" s="92" t="s">
        <v>51</v>
      </c>
      <c r="AC29" s="93">
        <f>SUM(AC24:AC28)</f>
        <v>61768.2</v>
      </c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6">
        <v>2821</v>
      </c>
      <c r="AQ29" s="76" t="s">
        <v>23</v>
      </c>
      <c r="AR29" s="185">
        <f>AR16*12*0.63/100</f>
        <v>13230.604799999999</v>
      </c>
      <c r="AS29" s="185">
        <f t="shared" ref="AS29:AX29" si="35">AS16*12*0.63/100</f>
        <v>13014.691200000001</v>
      </c>
      <c r="AT29" s="185">
        <f t="shared" si="35"/>
        <v>6593.5295999999998</v>
      </c>
      <c r="AU29" s="185">
        <f t="shared" si="35"/>
        <v>0</v>
      </c>
      <c r="AV29" s="185">
        <f t="shared" si="35"/>
        <v>0</v>
      </c>
      <c r="AW29" s="185">
        <f t="shared" si="35"/>
        <v>0</v>
      </c>
      <c r="AX29" s="185">
        <f t="shared" si="35"/>
        <v>12989.2896</v>
      </c>
      <c r="AY29" s="220">
        <f t="shared" ref="AY29:AY31" si="36">SUM(AR29:AX29)</f>
        <v>45828.1152</v>
      </c>
      <c r="AZ29" s="74"/>
      <c r="BA29" s="74"/>
      <c r="BB29" s="74"/>
      <c r="BC29" s="74"/>
    </row>
    <row r="30" spans="1:55" ht="15" x14ac:dyDescent="0.2">
      <c r="A30" s="19"/>
      <c r="B30" s="67"/>
      <c r="C30" s="67"/>
      <c r="D30" s="67"/>
      <c r="E30" s="67"/>
      <c r="F30" s="67"/>
      <c r="G30" s="72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214"/>
      <c r="T30" s="82"/>
      <c r="U30" s="82"/>
      <c r="V30" s="74"/>
      <c r="W30" s="74"/>
      <c r="X30" s="74"/>
      <c r="Y30" s="74"/>
      <c r="Z30" s="74"/>
      <c r="AA30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6">
        <v>6843</v>
      </c>
      <c r="AQ30" s="76" t="s">
        <v>26</v>
      </c>
      <c r="AR30" s="185">
        <f>AR17*12*0.62/100</f>
        <v>0</v>
      </c>
      <c r="AS30" s="185">
        <f t="shared" ref="AS30:AX31" si="37">AS17*12*0.62/100</f>
        <v>0</v>
      </c>
      <c r="AT30" s="185">
        <f t="shared" si="37"/>
        <v>0</v>
      </c>
      <c r="AU30" s="185">
        <f t="shared" si="37"/>
        <v>0</v>
      </c>
      <c r="AV30" s="185">
        <f t="shared" si="37"/>
        <v>0</v>
      </c>
      <c r="AW30" s="185">
        <f t="shared" si="37"/>
        <v>0</v>
      </c>
      <c r="AX30" s="185">
        <f t="shared" si="37"/>
        <v>0</v>
      </c>
      <c r="AY30" s="220">
        <f t="shared" si="36"/>
        <v>0</v>
      </c>
      <c r="AZ30" s="74"/>
      <c r="BA30" s="74"/>
      <c r="BB30" s="74"/>
      <c r="BC30" s="74"/>
    </row>
    <row r="31" spans="1:55" s="10" customFormat="1" ht="15" x14ac:dyDescent="0.2">
      <c r="A31" s="9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V31"/>
      <c r="W31"/>
      <c r="X31"/>
      <c r="Y31"/>
      <c r="Z31"/>
      <c r="AA31"/>
      <c r="AB31"/>
      <c r="AP31" s="76">
        <v>6842</v>
      </c>
      <c r="AQ31" s="76" t="s">
        <v>29</v>
      </c>
      <c r="AR31" s="185">
        <f>AR18*12*0.62/100</f>
        <v>0</v>
      </c>
      <c r="AS31" s="185">
        <f t="shared" si="37"/>
        <v>0</v>
      </c>
      <c r="AT31" s="185">
        <f t="shared" si="37"/>
        <v>0</v>
      </c>
      <c r="AU31" s="185">
        <f t="shared" si="37"/>
        <v>0</v>
      </c>
      <c r="AV31" s="185">
        <f t="shared" si="37"/>
        <v>0</v>
      </c>
      <c r="AW31" s="185">
        <f t="shared" si="37"/>
        <v>0</v>
      </c>
      <c r="AX31" s="185">
        <f t="shared" si="37"/>
        <v>0</v>
      </c>
      <c r="AY31" s="220">
        <f t="shared" si="36"/>
        <v>0</v>
      </c>
    </row>
    <row r="32" spans="1:55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V32"/>
      <c r="W32"/>
      <c r="X32"/>
      <c r="Y32"/>
      <c r="Z32"/>
      <c r="AA32"/>
      <c r="AB32"/>
      <c r="AP32" s="74"/>
      <c r="AQ32" s="74"/>
      <c r="AR32" s="224">
        <f>SUM(AR28:AR31)</f>
        <v>13230.604799999999</v>
      </c>
      <c r="AS32" s="224">
        <f t="shared" ref="AS32:AX32" si="38">SUM(AS28:AS31)</f>
        <v>13014.691200000001</v>
      </c>
      <c r="AT32" s="224">
        <f t="shared" si="38"/>
        <v>11108.3256</v>
      </c>
      <c r="AU32" s="224">
        <f t="shared" si="38"/>
        <v>3073.8240000000001</v>
      </c>
      <c r="AV32" s="224">
        <f t="shared" si="38"/>
        <v>13716.144000000002</v>
      </c>
      <c r="AW32" s="224">
        <f t="shared" si="38"/>
        <v>11943.204000000002</v>
      </c>
      <c r="AX32" s="224">
        <f t="shared" si="38"/>
        <v>12989.2896</v>
      </c>
      <c r="AY32" s="224">
        <f>SUM(AY28:AY31)</f>
        <v>79076.083200000008</v>
      </c>
    </row>
    <row r="33" spans="1:28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V33"/>
      <c r="W33"/>
      <c r="X33"/>
      <c r="Y33"/>
      <c r="Z33"/>
      <c r="AA33"/>
      <c r="AB33"/>
    </row>
    <row r="34" spans="1:28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V34"/>
      <c r="W34"/>
      <c r="X34"/>
      <c r="Y34"/>
      <c r="Z34"/>
      <c r="AA34"/>
      <c r="AB34"/>
    </row>
    <row r="35" spans="1:28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V35"/>
      <c r="W35"/>
      <c r="X35"/>
      <c r="Y35"/>
      <c r="Z35"/>
      <c r="AA35"/>
      <c r="AB35"/>
    </row>
    <row r="36" spans="1:28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V36"/>
      <c r="W36"/>
      <c r="X36"/>
      <c r="Y36"/>
      <c r="Z36"/>
      <c r="AA36"/>
      <c r="AB36"/>
    </row>
    <row r="37" spans="1:28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V37"/>
      <c r="W37"/>
      <c r="X37"/>
      <c r="Y37"/>
      <c r="Z37"/>
      <c r="AA37"/>
      <c r="AB37"/>
    </row>
    <row r="38" spans="1:28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V38"/>
      <c r="W38"/>
      <c r="X38"/>
      <c r="Y38"/>
      <c r="Z38"/>
      <c r="AA38"/>
      <c r="AB38"/>
    </row>
    <row r="39" spans="1:28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V39"/>
      <c r="W39"/>
      <c r="X39"/>
      <c r="Y39"/>
      <c r="Z39"/>
      <c r="AA39"/>
      <c r="AB39"/>
    </row>
    <row r="40" spans="1:28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V40"/>
      <c r="W40"/>
      <c r="X40"/>
      <c r="Y40"/>
      <c r="Z40"/>
      <c r="AA40"/>
      <c r="AB40"/>
    </row>
    <row r="41" spans="1:28" s="10" customFormat="1" ht="12.75" customHeight="1" x14ac:dyDescent="0.2">
      <c r="A41" s="9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V41"/>
      <c r="W41"/>
      <c r="X41"/>
      <c r="Y41"/>
      <c r="Z41"/>
      <c r="AA41"/>
      <c r="AB41"/>
    </row>
    <row r="42" spans="1:28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90720</v>
      </c>
      <c r="H42"/>
      <c r="I42"/>
      <c r="J42">
        <f>+J41*4</f>
        <v>0</v>
      </c>
      <c r="K42"/>
      <c r="L42"/>
      <c r="M42"/>
      <c r="N42" s="273">
        <f>SUM(N22:N29)</f>
        <v>215710</v>
      </c>
      <c r="O42"/>
      <c r="P42">
        <v>32000</v>
      </c>
      <c r="Q42"/>
      <c r="R42"/>
      <c r="S42" s="149">
        <f>+N42+G42</f>
        <v>306430</v>
      </c>
      <c r="T42"/>
      <c r="V42"/>
      <c r="W42" s="10" t="s">
        <v>55</v>
      </c>
      <c r="X42"/>
      <c r="Y42"/>
      <c r="Z42"/>
      <c r="AA42"/>
      <c r="AB42"/>
    </row>
    <row r="43" spans="1:28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 t="s">
        <v>59</v>
      </c>
      <c r="P43" t="s">
        <v>57</v>
      </c>
      <c r="Q43"/>
      <c r="R43"/>
      <c r="S43"/>
      <c r="T43"/>
      <c r="V43"/>
      <c r="W43"/>
      <c r="X43"/>
      <c r="Y43"/>
      <c r="Z43"/>
      <c r="AA43"/>
      <c r="AB43"/>
    </row>
    <row r="44" spans="1:28" s="10" customFormat="1" ht="20.25" customHeight="1" x14ac:dyDescent="0.25">
      <c r="A44" s="9"/>
      <c r="B44"/>
      <c r="C44"/>
      <c r="D44"/>
      <c r="E44" s="136" t="s">
        <v>11</v>
      </c>
      <c r="F44" s="149">
        <f>SUM(E9:E11)</f>
        <v>41000</v>
      </c>
      <c r="G44">
        <v>33000</v>
      </c>
      <c r="H44">
        <f>G44/12</f>
        <v>2750</v>
      </c>
      <c r="I44">
        <f>F44/H44</f>
        <v>14.909090909090908</v>
      </c>
      <c r="J44"/>
      <c r="K44"/>
      <c r="L44" s="136" t="s">
        <v>11</v>
      </c>
      <c r="M44" s="149">
        <f>SUM(K17:K29)</f>
        <v>315000</v>
      </c>
      <c r="N44">
        <v>60000</v>
      </c>
      <c r="O44">
        <f>N44/12</f>
        <v>5000</v>
      </c>
      <c r="P44">
        <f>M44/O44</f>
        <v>63</v>
      </c>
      <c r="Q44"/>
      <c r="R44"/>
      <c r="S44"/>
      <c r="T44"/>
      <c r="U44"/>
      <c r="V44"/>
    </row>
    <row r="45" spans="1:28" s="10" customFormat="1" ht="21.75" customHeight="1" x14ac:dyDescent="0.25">
      <c r="A45" s="9"/>
      <c r="B45"/>
      <c r="C45"/>
      <c r="D45"/>
      <c r="E45" s="261" t="s">
        <v>22</v>
      </c>
      <c r="F45" s="149">
        <f>SUM(E15:E29)</f>
        <v>197500</v>
      </c>
      <c r="G45">
        <v>34000</v>
      </c>
      <c r="H45">
        <f>G45/12</f>
        <v>2833.3333333333335</v>
      </c>
      <c r="I45">
        <f>F45/H45</f>
        <v>69.705882352941174</v>
      </c>
      <c r="J45"/>
      <c r="K45"/>
      <c r="L45" s="255" t="s">
        <v>21</v>
      </c>
      <c r="M45" s="149">
        <f>SUM(N11:N14)</f>
        <v>114576</v>
      </c>
      <c r="N45">
        <v>55000</v>
      </c>
      <c r="O45">
        <f t="shared" ref="O45:O46" si="39">N45/12</f>
        <v>4583.333333333333</v>
      </c>
      <c r="P45">
        <f t="shared" ref="P45:P46" si="40">M45/O45</f>
        <v>24.9984</v>
      </c>
      <c r="Q45"/>
      <c r="R45"/>
      <c r="S45"/>
      <c r="T45"/>
      <c r="U45"/>
      <c r="V45"/>
    </row>
    <row r="46" spans="1:28" s="10" customFormat="1" ht="21.75" customHeight="1" x14ac:dyDescent="0.25">
      <c r="A46" s="9"/>
      <c r="B46"/>
      <c r="C46"/>
      <c r="D46"/>
      <c r="E46"/>
      <c r="F46"/>
      <c r="G46"/>
      <c r="H46"/>
      <c r="I46">
        <f>SUM(I44:I45)</f>
        <v>84.61497326203208</v>
      </c>
      <c r="J46"/>
      <c r="K46"/>
      <c r="L46" s="145" t="s">
        <v>23</v>
      </c>
      <c r="M46" s="149">
        <f>SUM(K9:K16)</f>
        <v>217500</v>
      </c>
      <c r="N46">
        <v>60000</v>
      </c>
      <c r="O46">
        <f t="shared" si="39"/>
        <v>5000</v>
      </c>
      <c r="P46">
        <f t="shared" si="40"/>
        <v>43.5</v>
      </c>
      <c r="Q46"/>
      <c r="R46"/>
      <c r="S46" t="s">
        <v>60</v>
      </c>
      <c r="T46"/>
      <c r="U46"/>
      <c r="V46"/>
    </row>
    <row r="47" spans="1:28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131.4984</v>
      </c>
      <c r="Q47"/>
      <c r="R47"/>
      <c r="S47">
        <f>P47+I46</f>
        <v>216.1133732620321</v>
      </c>
      <c r="T47"/>
      <c r="U47"/>
      <c r="V47"/>
    </row>
    <row r="48" spans="1:28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 s="18"/>
    </row>
    <row r="49" spans="1:69" s="10" customFormat="1" ht="24" customHeight="1" x14ac:dyDescent="0.2">
      <c r="A49" s="9"/>
      <c r="B49"/>
      <c r="C49"/>
      <c r="D49"/>
      <c r="E49" t="s">
        <v>61</v>
      </c>
      <c r="F49" s="268" t="s">
        <v>80</v>
      </c>
      <c r="G49" s="315">
        <f>F49*8-12</f>
        <v>140</v>
      </c>
      <c r="H49" t="s">
        <v>62</v>
      </c>
      <c r="I49"/>
      <c r="J49"/>
      <c r="K49"/>
      <c r="L49" t="s">
        <v>63</v>
      </c>
      <c r="M49">
        <f>21-2</f>
        <v>19</v>
      </c>
      <c r="N49" t="s">
        <v>61</v>
      </c>
      <c r="O49">
        <f>M49*8-12</f>
        <v>140</v>
      </c>
      <c r="P49"/>
      <c r="Q49"/>
      <c r="R49"/>
      <c r="S49"/>
      <c r="T49"/>
      <c r="U49"/>
      <c r="V49"/>
    </row>
    <row r="50" spans="1:69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69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69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69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69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69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69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69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69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69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 s="264" t="s">
        <v>64</v>
      </c>
      <c r="T59"/>
    </row>
    <row r="60" spans="1:69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0.60439266615737197</v>
      </c>
      <c r="H60" s="267">
        <v>0.69</v>
      </c>
      <c r="I60"/>
      <c r="J60"/>
      <c r="K60"/>
      <c r="L60"/>
      <c r="M60"/>
      <c r="N60" s="262" t="s">
        <v>66</v>
      </c>
      <c r="O60" s="263">
        <f>P47/O49</f>
        <v>0.93927428571428573</v>
      </c>
      <c r="P60">
        <v>75.58</v>
      </c>
      <c r="Q60"/>
      <c r="S60" s="265">
        <f>S47/(O49+G49)</f>
        <v>0.77183347593582896</v>
      </c>
      <c r="T60"/>
    </row>
    <row r="61" spans="1:69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K61" s="62"/>
      <c r="L61" s="61"/>
      <c r="M61" s="62"/>
      <c r="N61" s="62"/>
      <c r="O61" s="61"/>
      <c r="P61" s="62"/>
      <c r="Q61" s="62"/>
      <c r="R61" s="61"/>
      <c r="S61" s="62"/>
    </row>
    <row r="62" spans="1:69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</row>
    <row r="63" spans="1:69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3"/>
      <c r="R63" s="60"/>
      <c r="S63" s="197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</row>
    <row r="64" spans="1:69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</row>
    <row r="65" spans="1:69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3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</row>
    <row r="66" spans="1:69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3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</row>
    <row r="67" spans="1:69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197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</row>
    <row r="68" spans="1:69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</row>
    <row r="70" spans="1:69" x14ac:dyDescent="0.2">
      <c r="E70" s="188"/>
      <c r="G70" s="18"/>
    </row>
    <row r="73" spans="1:69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V73" s="14" t="s">
        <v>71</v>
      </c>
      <c r="Z73" s="10" t="s">
        <v>57</v>
      </c>
    </row>
    <row r="74" spans="1:69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S74"/>
      <c r="V74" s="10" t="s">
        <v>72</v>
      </c>
      <c r="W74" s="10">
        <v>8000</v>
      </c>
      <c r="X74" s="10">
        <f>W74*6</f>
        <v>48000</v>
      </c>
      <c r="Y74" s="269">
        <v>5400</v>
      </c>
      <c r="Z74" s="10">
        <f>X74/Y74</f>
        <v>8.8888888888888893</v>
      </c>
    </row>
    <row r="75" spans="1:69" ht="15" x14ac:dyDescent="0.25">
      <c r="E75" s="136" t="s">
        <v>11</v>
      </c>
      <c r="F75" s="149">
        <f>SUM(E23:E29)</f>
        <v>107000</v>
      </c>
      <c r="G75">
        <v>33000</v>
      </c>
      <c r="H75">
        <f>G75/12</f>
        <v>2750</v>
      </c>
      <c r="I75">
        <f>F75/H75</f>
        <v>38.909090909090907</v>
      </c>
      <c r="J75"/>
      <c r="K75"/>
      <c r="L75" s="136" t="s">
        <v>11</v>
      </c>
      <c r="M75" s="149">
        <f>SUM(K22:K29)</f>
        <v>225000</v>
      </c>
      <c r="N75">
        <v>60000</v>
      </c>
      <c r="O75">
        <f>N75/12</f>
        <v>5000</v>
      </c>
      <c r="P75">
        <f>M75/O75</f>
        <v>45</v>
      </c>
      <c r="Q75"/>
      <c r="R75"/>
      <c r="S75"/>
      <c r="V75" s="10" t="s">
        <v>73</v>
      </c>
      <c r="W75" s="10">
        <v>4000</v>
      </c>
      <c r="X75" s="10">
        <f>W75*6</f>
        <v>24000</v>
      </c>
      <c r="Y75" s="269">
        <v>6000</v>
      </c>
      <c r="Z75" s="10">
        <f t="shared" ref="Z75:Z76" si="41">X75/Y75</f>
        <v>4</v>
      </c>
    </row>
    <row r="76" spans="1:69" ht="15" x14ac:dyDescent="0.25">
      <c r="E76" s="261" t="s">
        <v>22</v>
      </c>
      <c r="F76" s="149">
        <f>SUM(E21:E22)</f>
        <v>33000</v>
      </c>
      <c r="G76">
        <v>34000</v>
      </c>
      <c r="H76">
        <f>G76/12</f>
        <v>2833.3333333333335</v>
      </c>
      <c r="I76">
        <f>F76/H76</f>
        <v>11.647058823529411</v>
      </c>
      <c r="J76"/>
      <c r="K76"/>
      <c r="L76" s="255" t="s">
        <v>21</v>
      </c>
      <c r="M76" s="149">
        <v>0</v>
      </c>
      <c r="N76">
        <v>55000</v>
      </c>
      <c r="O76">
        <f t="shared" ref="O76:O77" si="42">N76/12</f>
        <v>4583.333333333333</v>
      </c>
      <c r="P76">
        <f t="shared" ref="P76:P77" si="43">M76/O76</f>
        <v>0</v>
      </c>
      <c r="Q76"/>
      <c r="R76"/>
      <c r="S76"/>
      <c r="V76" s="10" t="s">
        <v>74</v>
      </c>
      <c r="W76" s="10">
        <v>1984</v>
      </c>
      <c r="X76" s="10">
        <f>W76*15</f>
        <v>29760</v>
      </c>
      <c r="Y76" s="269">
        <v>12600</v>
      </c>
      <c r="Z76" s="10">
        <f t="shared" si="41"/>
        <v>2.361904761904762</v>
      </c>
    </row>
    <row r="77" spans="1:69" ht="15" x14ac:dyDescent="0.25">
      <c r="E77"/>
      <c r="F77"/>
      <c r="G77"/>
      <c r="H77"/>
      <c r="I77">
        <f>SUM(I75:I76)</f>
        <v>50.55614973262032</v>
      </c>
      <c r="J77"/>
      <c r="K77"/>
      <c r="L77" s="145" t="s">
        <v>23</v>
      </c>
      <c r="M77" s="149">
        <f>SUM(K20:K21)</f>
        <v>60000</v>
      </c>
      <c r="N77">
        <v>60000</v>
      </c>
      <c r="O77">
        <f t="shared" si="42"/>
        <v>5000</v>
      </c>
      <c r="P77">
        <f t="shared" si="43"/>
        <v>12</v>
      </c>
      <c r="Q77"/>
      <c r="R77"/>
      <c r="S77" t="s">
        <v>60</v>
      </c>
      <c r="Z77" s="10">
        <f>SUM(Z74:Z76)</f>
        <v>15.250793650793652</v>
      </c>
    </row>
    <row r="78" spans="1:69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57</v>
      </c>
      <c r="Q78"/>
      <c r="R78"/>
      <c r="S78">
        <f>P78+I77</f>
        <v>107.55614973262033</v>
      </c>
    </row>
    <row r="96" spans="5:5" x14ac:dyDescent="0.2">
      <c r="E96" s="188" t="s">
        <v>75</v>
      </c>
    </row>
    <row r="97" spans="5:19" x14ac:dyDescent="0.2">
      <c r="E97" s="188" t="s">
        <v>9</v>
      </c>
      <c r="G97" s="10">
        <f t="shared" ref="G97:P97" si="44">+G45*12</f>
        <v>408000</v>
      </c>
      <c r="H97" s="10">
        <f t="shared" si="44"/>
        <v>34000</v>
      </c>
      <c r="I97" s="10">
        <f t="shared" si="44"/>
        <v>836.47058823529414</v>
      </c>
      <c r="J97" s="10">
        <f t="shared" si="44"/>
        <v>0</v>
      </c>
      <c r="K97" s="10">
        <f t="shared" si="44"/>
        <v>0</v>
      </c>
      <c r="L97" s="10" t="e">
        <f t="shared" si="44"/>
        <v>#VALUE!</v>
      </c>
      <c r="M97" s="10">
        <f t="shared" si="44"/>
        <v>1374912</v>
      </c>
      <c r="N97" s="10">
        <f t="shared" si="44"/>
        <v>660000</v>
      </c>
      <c r="O97" s="10">
        <f t="shared" si="44"/>
        <v>55000</v>
      </c>
      <c r="P97" s="10">
        <f t="shared" si="44"/>
        <v>299.98079999999999</v>
      </c>
      <c r="S97" s="10" t="e">
        <f>SUM(G97:P97)</f>
        <v>#VALUE!</v>
      </c>
    </row>
    <row r="98" spans="5:19" x14ac:dyDescent="0.2">
      <c r="E98" s="188" t="s">
        <v>27</v>
      </c>
      <c r="G98" s="10">
        <f t="shared" ref="G98:P98" si="45">+G47*12</f>
        <v>0</v>
      </c>
      <c r="H98" s="10">
        <f t="shared" si="45"/>
        <v>0</v>
      </c>
      <c r="I98" s="10">
        <f t="shared" si="45"/>
        <v>0</v>
      </c>
      <c r="J98" s="10">
        <f t="shared" si="45"/>
        <v>0</v>
      </c>
      <c r="K98" s="10">
        <f t="shared" si="45"/>
        <v>0</v>
      </c>
      <c r="L98" s="10">
        <f t="shared" si="45"/>
        <v>0</v>
      </c>
      <c r="M98" s="10">
        <f t="shared" si="45"/>
        <v>0</v>
      </c>
      <c r="N98" s="10">
        <f t="shared" si="45"/>
        <v>0</v>
      </c>
      <c r="O98" s="10">
        <f t="shared" si="45"/>
        <v>0</v>
      </c>
      <c r="P98" s="10">
        <f t="shared" si="45"/>
        <v>1577.9808</v>
      </c>
      <c r="S98" s="10">
        <f>SUM(G98:P98)</f>
        <v>1577.9808</v>
      </c>
    </row>
    <row r="99" spans="5:19" x14ac:dyDescent="0.2">
      <c r="S99" s="10" t="e">
        <f>+S97+S98</f>
        <v>#VALUE!</v>
      </c>
    </row>
    <row r="100" spans="5:19" x14ac:dyDescent="0.2">
      <c r="S100" s="18">
        <v>-6276000</v>
      </c>
    </row>
  </sheetData>
  <mergeCells count="5">
    <mergeCell ref="B1:P1"/>
    <mergeCell ref="B7:B8"/>
    <mergeCell ref="C7:C8"/>
    <mergeCell ref="E7:J7"/>
    <mergeCell ref="K7:P7"/>
  </mergeCells>
  <conditionalFormatting sqref="O18:O19">
    <cfRule type="cellIs" dxfId="112" priority="7" operator="equal">
      <formula>6842</formula>
    </cfRule>
    <cfRule type="cellIs" dxfId="111" priority="8" operator="equal">
      <formula>2821</formula>
    </cfRule>
    <cfRule type="cellIs" dxfId="110" priority="9" operator="equal">
      <formula>2395</formula>
    </cfRule>
    <cfRule type="cellIs" dxfId="109" priority="10" operator="equal">
      <formula>1564</formula>
    </cfRule>
  </conditionalFormatting>
  <conditionalFormatting sqref="P18:P19">
    <cfRule type="containsText" dxfId="108" priority="3" operator="containsText" text="CM620RT-TEL">
      <formula>NOT(ISERROR(SEARCH("CM620RT-TEL",P18)))</formula>
    </cfRule>
    <cfRule type="containsText" dxfId="107" priority="4" operator="containsText" text="PC630RT">
      <formula>NOT(ISERROR(SEARCH("PC630RT",P18)))</formula>
    </cfRule>
    <cfRule type="containsText" dxfId="106" priority="5" operator="containsText" text="PT620RT">
      <formula>NOT(ISERROR(SEARCH("PT620RT",P18)))</formula>
    </cfRule>
    <cfRule type="containsText" dxfId="105" priority="6" operator="containsText" text="CR650RT">
      <formula>NOT(ISERROR(SEARCH("CR650RT",P18)))</formula>
    </cfRule>
  </conditionalFormatting>
  <conditionalFormatting sqref="Q9:Q29">
    <cfRule type="cellIs" dxfId="104" priority="1" operator="lessThan">
      <formula>0</formula>
    </cfRule>
    <cfRule type="cellIs" dxfId="103" priority="2" operator="greaterThan">
      <formula>0</formula>
    </cfRule>
  </conditionalFormatting>
  <dataValidations count="1">
    <dataValidation type="list" allowBlank="1" showInputMessage="1" showErrorMessage="1" sqref="R9:R29 D9:D29" xr:uid="{2BD2BBB0-5ED4-4FEE-A051-4B43C9971E15}">
      <formula1>#REF!</formula1>
    </dataValidation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EC32-DDA7-49EF-A30D-E2932766CE41}">
  <dimension ref="A1:BP100"/>
  <sheetViews>
    <sheetView showGridLines="0" zoomScale="50" zoomScaleNormal="50" workbookViewId="0">
      <selection activeCell="E9" sqref="E9"/>
    </sheetView>
  </sheetViews>
  <sheetFormatPr baseColWidth="10" defaultColWidth="11.42578125" defaultRowHeight="12.75" x14ac:dyDescent="0.2"/>
  <cols>
    <col min="1" max="1" width="1.5703125" style="9" customWidth="1"/>
    <col min="2" max="2" width="13.5703125" style="9" customWidth="1"/>
    <col min="3" max="3" width="3.5703125" style="9" customWidth="1"/>
    <col min="4" max="4" width="1.5703125" style="10" customWidth="1"/>
    <col min="5" max="5" width="12.5703125" style="10" customWidth="1"/>
    <col min="6" max="6" width="8.5703125" style="10" customWidth="1"/>
    <col min="7" max="7" width="14.42578125" style="10" customWidth="1"/>
    <col min="8" max="8" width="12.5703125" style="10" customWidth="1"/>
    <col min="9" max="9" width="15.42578125" style="10" customWidth="1"/>
    <col min="10" max="10" width="14.5703125" style="10" customWidth="1"/>
    <col min="11" max="11" width="12.5703125" style="10" customWidth="1"/>
    <col min="12" max="12" width="8.5703125" style="10" customWidth="1"/>
    <col min="13" max="13" width="15.140625" style="10" customWidth="1"/>
    <col min="14" max="14" width="12.5703125" style="10" customWidth="1"/>
    <col min="15" max="15" width="8.5703125" style="10" customWidth="1"/>
    <col min="16" max="16" width="14.5703125" style="10" customWidth="1"/>
    <col min="17" max="17" width="5.42578125" style="10" customWidth="1"/>
    <col min="18" max="18" width="13.5703125" style="10" customWidth="1"/>
    <col min="19" max="19" width="8" style="10" customWidth="1"/>
    <col min="20" max="20" width="10.42578125" style="10" bestFit="1" customWidth="1"/>
    <col min="21" max="21" width="12.5703125" style="10" customWidth="1"/>
    <col min="22" max="22" width="9.140625" style="10"/>
    <col min="23" max="23" width="13.85546875" style="10" customWidth="1"/>
    <col min="24" max="24" width="12.7109375" style="10" customWidth="1"/>
    <col min="25" max="25" width="11.140625" style="10" customWidth="1"/>
    <col min="26" max="26" width="5.7109375" style="10" customWidth="1" collapsed="1"/>
    <col min="27" max="68" width="11.42578125" style="10"/>
  </cols>
  <sheetData>
    <row r="1" spans="1:68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</row>
    <row r="2" spans="1:68" ht="30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</row>
    <row r="3" spans="1:68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52</v>
      </c>
      <c r="K3" s="4"/>
      <c r="L3" s="7"/>
      <c r="M3" s="7"/>
      <c r="N3" s="7"/>
      <c r="O3" s="7"/>
      <c r="P3" s="7"/>
      <c r="Q3" s="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</row>
    <row r="5" spans="1:68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22/12/YYYY al 28/12/YYYY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</row>
    <row r="6" spans="1:68" x14ac:dyDescent="0.2">
      <c r="B6" s="333" t="s">
        <v>2</v>
      </c>
      <c r="C6" s="334" t="s">
        <v>3</v>
      </c>
      <c r="D6" s="335">
        <v>2</v>
      </c>
      <c r="E6" s="335">
        <v>1</v>
      </c>
      <c r="F6" s="335">
        <v>1</v>
      </c>
      <c r="G6" s="335">
        <v>1</v>
      </c>
      <c r="H6" s="335">
        <v>1</v>
      </c>
      <c r="I6" s="335">
        <v>1</v>
      </c>
      <c r="J6" s="335">
        <v>1</v>
      </c>
      <c r="K6" s="335">
        <v>3</v>
      </c>
      <c r="L6" s="335">
        <v>3</v>
      </c>
      <c r="M6" s="335">
        <v>3</v>
      </c>
      <c r="N6" s="335">
        <v>3</v>
      </c>
      <c r="O6" s="335">
        <v>3</v>
      </c>
      <c r="P6" s="336">
        <v>3</v>
      </c>
    </row>
    <row r="7" spans="1:68" ht="31.5" x14ac:dyDescent="0.2">
      <c r="A7" s="13"/>
      <c r="B7" s="1002" t="s">
        <v>2</v>
      </c>
      <c r="C7" s="997" t="s">
        <v>3</v>
      </c>
      <c r="D7" s="172"/>
      <c r="E7" s="999" t="s">
        <v>4</v>
      </c>
      <c r="F7" s="1000"/>
      <c r="G7" s="1000"/>
      <c r="H7" s="1000"/>
      <c r="I7" s="1000"/>
      <c r="J7" s="1001"/>
      <c r="K7" s="999" t="s">
        <v>5</v>
      </c>
      <c r="L7" s="1000"/>
      <c r="M7" s="1000"/>
      <c r="N7" s="1000"/>
      <c r="O7" s="1000"/>
      <c r="P7" s="1004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68" ht="18.75" x14ac:dyDescent="0.2">
      <c r="A8" s="13"/>
      <c r="B8" s="1003"/>
      <c r="C8" s="998"/>
      <c r="D8" s="174"/>
      <c r="E8" s="174" t="s">
        <v>6</v>
      </c>
      <c r="F8" s="174" t="s">
        <v>7</v>
      </c>
      <c r="G8" s="174" t="s">
        <v>8</v>
      </c>
      <c r="H8" s="174" t="s">
        <v>6</v>
      </c>
      <c r="I8" s="174" t="s">
        <v>7</v>
      </c>
      <c r="J8" s="174" t="s">
        <v>8</v>
      </c>
      <c r="K8" s="174" t="s">
        <v>6</v>
      </c>
      <c r="L8" s="174" t="s">
        <v>7</v>
      </c>
      <c r="M8" s="174" t="s">
        <v>8</v>
      </c>
      <c r="N8" s="174" t="s">
        <v>6</v>
      </c>
      <c r="O8" s="174" t="s">
        <v>7</v>
      </c>
      <c r="P8" s="337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215" t="s">
        <v>6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215" t="s">
        <v>9</v>
      </c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</row>
    <row r="9" spans="1:68" ht="15.75" x14ac:dyDescent="0.25">
      <c r="A9" s="13"/>
      <c r="B9" s="338">
        <v>46013</v>
      </c>
      <c r="C9" s="216" t="s">
        <v>10</v>
      </c>
      <c r="D9" s="231"/>
      <c r="E9" s="147">
        <v>8000</v>
      </c>
      <c r="F9" s="135">
        <v>2395</v>
      </c>
      <c r="G9" s="135" t="s">
        <v>22</v>
      </c>
      <c r="H9" s="144">
        <v>9620</v>
      </c>
      <c r="I9" s="135">
        <v>2395</v>
      </c>
      <c r="J9" s="135" t="s">
        <v>22</v>
      </c>
      <c r="K9" s="147">
        <v>30000</v>
      </c>
      <c r="L9" s="145">
        <v>2821</v>
      </c>
      <c r="M9" s="145" t="s">
        <v>23</v>
      </c>
      <c r="N9" s="144">
        <v>21672</v>
      </c>
      <c r="O9" s="145">
        <v>2821</v>
      </c>
      <c r="P9" s="145" t="s">
        <v>23</v>
      </c>
      <c r="Q9" s="225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/>
      <c r="AB9" s="74"/>
      <c r="AC9" s="74"/>
      <c r="AD9" s="79" t="s">
        <v>7</v>
      </c>
      <c r="AE9" s="79" t="s">
        <v>8</v>
      </c>
      <c r="AF9" s="80">
        <f>B9</f>
        <v>46013</v>
      </c>
      <c r="AG9" s="80">
        <f>B12</f>
        <v>46014</v>
      </c>
      <c r="AH9" s="80">
        <f>B15</f>
        <v>46015</v>
      </c>
      <c r="AI9" s="80">
        <f>B18</f>
        <v>46016</v>
      </c>
      <c r="AJ9" s="80">
        <f>B21</f>
        <v>46017</v>
      </c>
      <c r="AK9" s="80">
        <f>B24</f>
        <v>46018</v>
      </c>
      <c r="AL9" s="80">
        <f>B27</f>
        <v>46019</v>
      </c>
      <c r="AM9" s="79" t="s">
        <v>17</v>
      </c>
      <c r="AN9" s="74"/>
      <c r="AO9" s="79" t="s">
        <v>7</v>
      </c>
      <c r="AP9" s="79" t="s">
        <v>8</v>
      </c>
      <c r="AQ9" s="80">
        <f>AF9</f>
        <v>46013</v>
      </c>
      <c r="AR9" s="80">
        <f t="shared" ref="AR9:AW9" si="0">AG9</f>
        <v>46014</v>
      </c>
      <c r="AS9" s="80">
        <f t="shared" si="0"/>
        <v>46015</v>
      </c>
      <c r="AT9" s="80">
        <f t="shared" si="0"/>
        <v>46016</v>
      </c>
      <c r="AU9" s="80">
        <f t="shared" si="0"/>
        <v>46017</v>
      </c>
      <c r="AV9" s="80">
        <f t="shared" si="0"/>
        <v>46018</v>
      </c>
      <c r="AW9" s="80">
        <f t="shared" si="0"/>
        <v>46019</v>
      </c>
      <c r="AX9" s="79" t="s">
        <v>17</v>
      </c>
      <c r="AY9" s="74"/>
      <c r="AZ9" s="74"/>
      <c r="BA9" s="74"/>
      <c r="BB9" s="74"/>
    </row>
    <row r="10" spans="1:68" ht="15" x14ac:dyDescent="0.25">
      <c r="A10" s="13"/>
      <c r="B10" s="338" t="s">
        <v>18</v>
      </c>
      <c r="C10" s="216" t="s">
        <v>19</v>
      </c>
      <c r="D10" s="231"/>
      <c r="E10" s="147">
        <v>16500</v>
      </c>
      <c r="F10" s="137">
        <v>2395</v>
      </c>
      <c r="G10" s="137" t="s">
        <v>22</v>
      </c>
      <c r="H10" s="151">
        <v>11088</v>
      </c>
      <c r="I10" s="137">
        <v>2395</v>
      </c>
      <c r="J10" s="137" t="s">
        <v>22</v>
      </c>
      <c r="K10" s="147">
        <v>30000</v>
      </c>
      <c r="L10" s="145">
        <v>2821</v>
      </c>
      <c r="M10" s="145" t="s">
        <v>23</v>
      </c>
      <c r="N10" s="151">
        <v>28560</v>
      </c>
      <c r="O10" s="145">
        <v>2821</v>
      </c>
      <c r="P10" s="145" t="s">
        <v>23</v>
      </c>
      <c r="Q10" s="350"/>
      <c r="R10" s="81"/>
      <c r="S10" s="94">
        <v>1564</v>
      </c>
      <c r="T10" s="95" t="s">
        <v>11</v>
      </c>
      <c r="U10" s="96">
        <f>SUMIF($F$9:$F$29,S10,$E$9:$E$29)</f>
        <v>90000</v>
      </c>
      <c r="V10" s="96">
        <f>SUMIF($M$9:$M$29,T10,$K$9:$K$29)</f>
        <v>262000</v>
      </c>
      <c r="W10" s="96">
        <f t="shared" ref="W10:W16" si="1">SUM(U10:V10)</f>
        <v>352000</v>
      </c>
      <c r="X10" s="96">
        <f>(SUMIF($J$9:$J$29,T10,$H$9:$H$29))+(SUMIF($P$9:$P$29,T10,$N$9:$N$29))</f>
        <v>352168</v>
      </c>
      <c r="Y10" s="96">
        <f>+W10-X10</f>
        <v>-168</v>
      </c>
      <c r="Z10" s="74"/>
      <c r="AA10" s="74"/>
      <c r="AB10" s="74"/>
      <c r="AC10" s="74"/>
      <c r="AD10" s="76">
        <v>1564</v>
      </c>
      <c r="AE10" s="76" t="s">
        <v>11</v>
      </c>
      <c r="AF10" s="82">
        <f>SUMIF($F$9:$F$11,$AD10,$E$9:$E$11)+SUMIF($I$9:$I$11,$AD10,$H$9:$H$11)+SUMIF($L$9:$L$11,$AD10,$K$9:$K$11)+SUMIF($O$9:$O$11,$AD10,$N$9:$N$11)</f>
        <v>0</v>
      </c>
      <c r="AG10" s="82">
        <f>SUMIF($F$12:$F$14,$AD10,$E$12:$E$14)+SUMIF($I$12:$I$14,$AD10,$H$12:$H$14)+SUMIF($L$12:$L$14,$AD10,$K$12:$K$14)+SUMIF($O$12:$O$14,$AD10,$N$12:$N$14)</f>
        <v>29784</v>
      </c>
      <c r="AH10" s="82">
        <f>SUMIF($F$15:$F$17,$AD10,$E$15:$E$17)+SUMIF($I$15:$I$17,$AD10,$H$15:$H$17)+SUMIF($L$15:$L$17,$AD10,$K$15:$K$17)+SUMIF($O$15:$O$17,$AD10,$N$15:$N$17)</f>
        <v>81228</v>
      </c>
      <c r="AI10" s="82">
        <f>SUMIF($F$18:$F$20,$AD10,$E$18:$E$20)+SUMIF($I$18:$I$20,$AD10,$H$18:$H$20)+SUMIF($L$18:$L$20,$AD10,$K$18:$K$20)+SUMIF($O$18:$O$20,$AD10,$N$18:$N$20)</f>
        <v>0</v>
      </c>
      <c r="AJ10" s="82">
        <f>SUMIF($F$21:$F$23,$AD10,$E$21:$E$23)+SUMIF($I$21:$I$23,$AD10,$H$21:$H$23)+SUMIF($L$21:$L$23,$AD10,$K$21:$K$23)+SUMIF($O$21:$O$23,$AD10,$N$21:$N$23)</f>
        <v>256260</v>
      </c>
      <c r="AK10" s="82">
        <f>SUMIF($F$24:$F$26,$AD10,$E$24:$E$26)+SUMIF($I$24:$I$26,$AD10,$H$24:$H$26)+SUMIF($L$24:$L$26,$AD10,$K$24:$K$26)+SUMIF($O$24:$O$26,$AD10,$N$24:$N$26)</f>
        <v>242424</v>
      </c>
      <c r="AL10" s="82">
        <f>SUMIF($F$27:$F$29,$AD10,$E$27:$E$29)+SUMIF($I$27:$I$29,$AD10,$H$27:$H$29)+SUMIF($L$27:$L$29,$AD10,$K$27:$K$29)+SUMIF($O$27:$O$29,$AD10,$N$27:$N$29)</f>
        <v>94472</v>
      </c>
      <c r="AM10" s="83">
        <f>SUM(AF10:AL10)</f>
        <v>704168</v>
      </c>
      <c r="AN10" s="74"/>
      <c r="AO10" s="76">
        <v>1564</v>
      </c>
      <c r="AP10" s="76" t="s">
        <v>11</v>
      </c>
      <c r="AQ10" s="185">
        <f>SUMIF($I$9:$I$11,$AO10,$H$9:$H$11)+SUMIF($F$9:$F$11,$AO10,$E$9:$E$11)</f>
        <v>0</v>
      </c>
      <c r="AR10" s="185">
        <f>SUMIF($I$12:$I$14,$AO10,$H$12:$H$14)+SUMIF($F$12:$F$14,$AO10,$E$12:$E$14)</f>
        <v>0</v>
      </c>
      <c r="AS10" s="185">
        <f>SUMIF($I$15:$I$17,$AO10,$H$15:$H$17)+SUMIF($F$15:$F$17,$AO10,$E$15:$E$17)</f>
        <v>0</v>
      </c>
      <c r="AT10" s="185">
        <f>SUMIF($I$18:$I$20,$AO10,$H$18:$H$20)+SUMIF($F$18:$F$20,$AO10,$E$18:$E$20)</f>
        <v>0</v>
      </c>
      <c r="AU10" s="185">
        <f>SUMIF($I$21:$I$23,$AO10,$H$21:$H$23)+SUMIF($F$21:$F$23,$AO10,$E$21:$E$23)</f>
        <v>85956</v>
      </c>
      <c r="AV10" s="185">
        <f>SUMIF($I$24:$I$26,$AO10,$H$24:$H$26)+SUMIF($F$24:$F$26,$AO10,$E$24:$E$26)</f>
        <v>73968</v>
      </c>
      <c r="AW10" s="185">
        <f>SUMIF($I$27:$I$29,$AO10,$H$27:$H$29)+SUMIF($F$27:$F$29,$AO10,$E$27:$E$29)</f>
        <v>0</v>
      </c>
      <c r="AX10" s="220">
        <f>SUM(AQ10:AW10)</f>
        <v>159924</v>
      </c>
      <c r="AY10" s="74"/>
      <c r="AZ10" s="74"/>
      <c r="BA10" s="74"/>
      <c r="BB10" s="74"/>
    </row>
    <row r="11" spans="1:68" ht="15" x14ac:dyDescent="0.25">
      <c r="A11" s="13"/>
      <c r="B11" s="339"/>
      <c r="C11" s="221" t="s">
        <v>20</v>
      </c>
      <c r="D11" s="231"/>
      <c r="E11" s="148">
        <v>16500</v>
      </c>
      <c r="F11" s="140">
        <v>2395</v>
      </c>
      <c r="G11" s="140" t="s">
        <v>22</v>
      </c>
      <c r="H11" s="152">
        <v>17136</v>
      </c>
      <c r="I11" s="140">
        <v>2395</v>
      </c>
      <c r="J11" s="140" t="s">
        <v>22</v>
      </c>
      <c r="K11" s="167">
        <v>30000</v>
      </c>
      <c r="L11" s="168">
        <v>2821</v>
      </c>
      <c r="M11" s="168" t="s">
        <v>23</v>
      </c>
      <c r="N11" s="152">
        <v>30072</v>
      </c>
      <c r="O11" s="168">
        <v>2821</v>
      </c>
      <c r="P11" s="168" t="s">
        <v>23</v>
      </c>
      <c r="Q11" s="351"/>
      <c r="R11" s="81"/>
      <c r="S11" s="97">
        <v>2395</v>
      </c>
      <c r="T11" s="98" t="s">
        <v>22</v>
      </c>
      <c r="U11" s="99">
        <f>SUMIF($F$9:$F$29,S11,$E$9:$E$29)</f>
        <v>160500</v>
      </c>
      <c r="V11" s="99">
        <f>SUMIF($M$9:$M$29,S11,$L$9:$L$29)+SUMIF($P$9:$P$29,S11,$O$9:$O$29)</f>
        <v>0</v>
      </c>
      <c r="W11" s="99">
        <f t="shared" si="1"/>
        <v>160500</v>
      </c>
      <c r="X11" s="99">
        <f>SUMIF($J$9:$J$29,T11,$H$9:$H$29)</f>
        <v>139050</v>
      </c>
      <c r="Y11" s="99">
        <f>+W11-X11</f>
        <v>21450</v>
      </c>
      <c r="Z11" s="74"/>
      <c r="AA11" s="185"/>
      <c r="AB11" s="74"/>
      <c r="AC11" s="74"/>
      <c r="AD11" s="76">
        <v>2395</v>
      </c>
      <c r="AE11" s="76" t="s">
        <v>22</v>
      </c>
      <c r="AF11" s="82">
        <f>SUMIF($F$9:$F$11,$AD11,$E$9:$E$11)+SUMIF($I$9:$I$11,$AD11,$H$9:$H$11)+SUMIF($L$9:$L$11,$AD11,$K$9:$K$11)+SUMIF($O$9:$O$11,$AD11,$N$9:$N$11)</f>
        <v>78844</v>
      </c>
      <c r="AG11" s="82">
        <f>SUMIF($F$12:$F$14,$AD11,$E$12:$E$14)+SUMIF($I$12:$I$14,$AD11,$H$12:$H$14)+SUMIF($L$12:$L$14,$AD11,$K$12:$K$14)+SUMIF($O$12:$O$14,$AD11,$N$12:$N$14)</f>
        <v>91668</v>
      </c>
      <c r="AH11" s="82">
        <f>SUMIF($F$15:$F$17,$AD11,$E$15:$E$17)+SUMIF($I$15:$I$17,$AD11,$H$15:$H$17)+SUMIF($L$15:$L$17,$AD11,$K$15:$K$17)+SUMIF($O$15:$O$17,$AD11,$N$15:$N$17)</f>
        <v>38042</v>
      </c>
      <c r="AI11" s="82">
        <f>SUMIF($F$18:$F$20,$AD11,$E$18:$E$20)+SUMIF($I$18:$I$20,$AD11,$H$18:$H$20)+SUMIF($L$18:$L$20,$AD11,$K$18:$K$20)+SUMIF($O$18:$O$20,$AD11,$N$18:$N$20)</f>
        <v>0</v>
      </c>
      <c r="AJ11" s="82">
        <f>SUMIF($F$21:$F$23,$AD11,$E$21:$E$23)+SUMIF($I$21:$I$23,$AD11,$H$21:$H$23)+SUMIF($L$21:$L$23,$AD11,$K$21:$K$23)+SUMIF($O$21:$O$23,$AD11,$N$21:$N$23)</f>
        <v>0</v>
      </c>
      <c r="AK11" s="82">
        <f>SUMIF($F$24:$F$26,$AD11,$E$24:$E$26)+SUMIF($I$24:$I$26,$AD11,$H$24:$H$26)+SUMIF($L$24:$L$26,$AD11,$K$24:$K$26)+SUMIF($O$24:$O$26,$AD11,$N$24:$N$26)</f>
        <v>0</v>
      </c>
      <c r="AL11" s="82">
        <f>SUMIF($F$27:$F$29,$AD11,$E$27:$E$29)+SUMIF($I$27:$I$29,$AD11,$H$27:$H$29)+SUMIF($L$27:$L$29,$AD11,$K$27:$K$29)+SUMIF($O$27:$O$29,$AD11,$N$27:$N$29)</f>
        <v>90996</v>
      </c>
      <c r="AM11" s="83">
        <f t="shared" ref="AM11:AM12" si="2">SUM(AF11:AL11)</f>
        <v>299550</v>
      </c>
      <c r="AN11" s="74"/>
      <c r="AO11" s="76">
        <v>2395</v>
      </c>
      <c r="AP11" s="76" t="s">
        <v>22</v>
      </c>
      <c r="AQ11" s="185">
        <f t="shared" ref="AQ11" si="3">SUMIF($I$9:$I$11,$AO11,$H$9:$H$11)+SUMIF($F$9:$F$11,$AO11,$E$9:$E$11)</f>
        <v>78844</v>
      </c>
      <c r="AR11" s="185">
        <f>SUMIF($I$12:$I$14,$AO11,$H$12:$H$14)+SUMIF($F$12:$F$14,$AO11,$E$12:$E$14)</f>
        <v>91668</v>
      </c>
      <c r="AS11" s="185">
        <f>SUMIF($I$15:$I$17,$AO11,$H$15:$H$17)+SUMIF($F$15:$F$17,$AO11,$E$15:$E$17)</f>
        <v>38042</v>
      </c>
      <c r="AT11" s="185">
        <f>SUMIF($I$18:$I$20,$AO11,$H$18:$H$20)+SUMIF($F$18:$F$20,$AO11,$E$18:$E$20)</f>
        <v>0</v>
      </c>
      <c r="AU11" s="185">
        <f>SUMIF($I$21:$I$23,$AO11,$H$21:$H$23)+SUMIF($F$21:$F$23,$AO11,$E$21:$E$23)</f>
        <v>0</v>
      </c>
      <c r="AV11" s="185">
        <f>SUMIF($I$24:$I$26,$AO11,$H$24:$H$26)+SUMIF($F$24:$F$26,$AO11,$E$24:$E$26)</f>
        <v>0</v>
      </c>
      <c r="AW11" s="185">
        <f>SUMIF($I$27:$I$29,$AO11,$H$27:$H$29)+SUMIF($F$27:$F$29,$AO11,$E$27:$E$29)</f>
        <v>90996</v>
      </c>
      <c r="AX11" s="220">
        <f t="shared" ref="AX11" si="4">SUM(AQ11:AW11)</f>
        <v>299550</v>
      </c>
      <c r="AY11" s="74"/>
      <c r="AZ11" s="74"/>
      <c r="BA11" s="74"/>
      <c r="BB11" s="74"/>
    </row>
    <row r="12" spans="1:68" ht="15" x14ac:dyDescent="0.25">
      <c r="A12" s="13"/>
      <c r="B12" s="338">
        <f>+B9+1</f>
        <v>46014</v>
      </c>
      <c r="C12" s="216" t="s">
        <v>10</v>
      </c>
      <c r="D12" s="231"/>
      <c r="E12" s="134">
        <v>16500</v>
      </c>
      <c r="F12" s="135">
        <v>2395</v>
      </c>
      <c r="G12" s="135" t="s">
        <v>22</v>
      </c>
      <c r="H12" s="144">
        <v>12096</v>
      </c>
      <c r="I12" s="135">
        <v>2395</v>
      </c>
      <c r="J12" s="135" t="s">
        <v>22</v>
      </c>
      <c r="K12" s="202">
        <v>30000</v>
      </c>
      <c r="L12" s="205">
        <v>2821</v>
      </c>
      <c r="M12" s="205" t="s">
        <v>23</v>
      </c>
      <c r="N12" s="144">
        <v>22512</v>
      </c>
      <c r="O12" s="205">
        <v>2821</v>
      </c>
      <c r="P12" s="205" t="s">
        <v>23</v>
      </c>
      <c r="Q12" s="225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195000</v>
      </c>
      <c r="W12" s="102">
        <f t="shared" si="1"/>
        <v>195000</v>
      </c>
      <c r="X12" s="102">
        <f>SUMIF($P$9:$P$29,T12,$N$9:$N$29)</f>
        <v>159798</v>
      </c>
      <c r="Y12" s="102">
        <f>+W12-X12</f>
        <v>35202</v>
      </c>
      <c r="Z12" s="74"/>
      <c r="AA12" s="74"/>
      <c r="AB12" s="74"/>
      <c r="AC12" s="74"/>
      <c r="AD12" s="76">
        <v>2821</v>
      </c>
      <c r="AE12" s="76" t="s">
        <v>23</v>
      </c>
      <c r="AF12" s="82">
        <f>SUMIF($F$9:$F$11,$AD12,$E$9:$E$11)+SUMIF($I$9:$I$11,$AD12,$H$9:$H$11)+SUMIF($L$9:$L$11,$AD12,$K$9:$K$11)+SUMIF($O$9:$O$11,$AD12,$N$9:$N$11)</f>
        <v>170304</v>
      </c>
      <c r="AG12" s="82">
        <f>SUMIF($F$12:$F$14,$AD12,$E$12:$E$14)+SUMIF($I$12:$I$14,$AD12,$H$12:$H$14)+SUMIF($L$12:$L$14,$AD12,$K$12:$K$14)+SUMIF($O$12:$O$14,$AD12,$N$12:$N$14)</f>
        <v>120342</v>
      </c>
      <c r="AH12" s="82">
        <f>SUMIF($F$15:$F$17,$AD12,$E$15:$E$17)+SUMIF($I$15:$I$17,$AD12,$H$15:$H$17)+SUMIF($L$15:$L$17,$AD12,$K$15:$K$17)+SUMIF($O$15:$O$17,$AD12,$N$15:$N$17)</f>
        <v>0</v>
      </c>
      <c r="AI12" s="82">
        <f>SUMIF($F$18:$F$20,$AD12,$E$18:$E$20)+SUMIF($I$18:$I$20,$AD12,$H$18:$H$20)+SUMIF($L$18:$L$20,$AD12,$K$18:$K$20)+SUMIF($O$18:$O$20,$AD12,$N$18:$N$20)</f>
        <v>0</v>
      </c>
      <c r="AJ12" s="82">
        <f>SUMIF($F$21:$F$23,$AD12,$E$21:$E$23)+SUMIF($I$21:$I$23,$AD12,$H$21:$H$23)+SUMIF($L$21:$L$23,$AD12,$K$21:$K$23)+SUMIF($O$21:$O$23,$AD12,$N$21:$N$23)</f>
        <v>0</v>
      </c>
      <c r="AK12" s="82">
        <f>SUMIF($F$24:$F$26,$AD12,$E$24:$E$26)+SUMIF($I$24:$I$26,$AD12,$H$24:$H$26)+SUMIF($L$24:$L$26,$AD12,$K$24:$K$26)+SUMIF($O$24:$O$26,$AD12,$N$24:$N$26)</f>
        <v>0</v>
      </c>
      <c r="AL12" s="82">
        <f>SUMIF($F$27:$F$29,$AD12,$E$27:$E$29)+SUMIF($I$27:$I$29,$AD12,$H$27:$H$29)+SUMIF($L$27:$L$29,$AD12,$K$27:$K$29)+SUMIF($O$27:$O$29,$AD12,$N$27:$N$29)</f>
        <v>64152</v>
      </c>
      <c r="AM12" s="83">
        <f t="shared" si="2"/>
        <v>354798</v>
      </c>
      <c r="AN12" s="74"/>
      <c r="AO12" s="74"/>
      <c r="AP12" s="74"/>
      <c r="AQ12" s="185">
        <f>SUM(AQ10:AQ11)</f>
        <v>78844</v>
      </c>
      <c r="AR12" s="185">
        <f t="shared" ref="AR12:AX12" si="5">SUM(AR10:AR11)</f>
        <v>91668</v>
      </c>
      <c r="AS12" s="185">
        <f t="shared" si="5"/>
        <v>38042</v>
      </c>
      <c r="AT12" s="185">
        <f t="shared" si="5"/>
        <v>0</v>
      </c>
      <c r="AU12" s="185">
        <f t="shared" si="5"/>
        <v>85956</v>
      </c>
      <c r="AV12" s="185">
        <f t="shared" si="5"/>
        <v>73968</v>
      </c>
      <c r="AW12" s="185">
        <f t="shared" si="5"/>
        <v>90996</v>
      </c>
      <c r="AX12" s="220">
        <f t="shared" si="5"/>
        <v>459474</v>
      </c>
      <c r="AY12" s="74"/>
      <c r="AZ12" s="74"/>
      <c r="BA12" s="74"/>
      <c r="BB12" s="74"/>
    </row>
    <row r="13" spans="1:68" ht="15" x14ac:dyDescent="0.25">
      <c r="A13" s="13"/>
      <c r="B13" s="338" t="s">
        <v>24</v>
      </c>
      <c r="C13" s="216" t="s">
        <v>19</v>
      </c>
      <c r="D13" s="231"/>
      <c r="E13" s="147">
        <v>16500</v>
      </c>
      <c r="F13" s="135">
        <v>2395</v>
      </c>
      <c r="G13" s="135" t="s">
        <v>22</v>
      </c>
      <c r="H13" s="151">
        <v>15120</v>
      </c>
      <c r="I13" s="135">
        <v>2395</v>
      </c>
      <c r="J13" s="135" t="s">
        <v>22</v>
      </c>
      <c r="K13" s="147">
        <v>30000</v>
      </c>
      <c r="L13" s="145">
        <v>2821</v>
      </c>
      <c r="M13" s="145" t="s">
        <v>23</v>
      </c>
      <c r="N13" s="148">
        <f>31248+6582</f>
        <v>37830</v>
      </c>
      <c r="O13" s="145">
        <v>2821</v>
      </c>
      <c r="P13" s="145" t="s">
        <v>23</v>
      </c>
      <c r="Q13" s="350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1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6">
        <v>6843</v>
      </c>
      <c r="AE13" s="76" t="s">
        <v>26</v>
      </c>
      <c r="AF13" s="82">
        <f>SUMIF($F$9:$F$11,$AD13,$E$9:$E$11)+SUMIF($I$9:$I$11,$AD13,$H$9:$H$11)+SUMIF($L$9:$L$11,$AD13,$K$9:$K$11)+SUMIF($O$9:$O$11,$AD13,$N$9:$N$11)</f>
        <v>0</v>
      </c>
      <c r="AG13" s="82">
        <f>SUMIF($F$12:$F$14,$AD13,$E$12:$E$14)+SUMIF($I$12:$I$14,$AD13,$H$12:$H$14)+SUMIF($L$12:$L$14,$AD13,$K$12:$K$14)+SUMIF($O$12:$O$14,$AD13,$N$12:$N$14)</f>
        <v>0</v>
      </c>
      <c r="AH13" s="82">
        <f>SUMIF($F$15:$F$17,$AD13,$E$15:$E$17)+SUMIF($I$15:$I$17,$AD13,$H$15:$H$17)+SUMIF($L$15:$L$17,$AD13,$K$15:$K$17)+SUMIF($O$15:$O$17,$AD13,$N$15:$N$17)</f>
        <v>0</v>
      </c>
      <c r="AI13" s="82">
        <f>SUMIF($F$18:$F$20,$AD13,$E$18:$E$20)+SUMIF($I$18:$I$20,$AD13,$H$18:$H$20)+SUMIF($L$18:$L$20,$AD13,$K$18:$K$20)+SUMIF($O$18:$O$20,$AD13,$N$18:$N$20)</f>
        <v>0</v>
      </c>
      <c r="AJ13" s="82">
        <f>SUMIF($F$21:$F$23,$AD13,$E$21:$E$23)+SUMIF($I$21:$I$23,$AD13,$H$21:$H$23)+SUMIF($L$21:$L$23,$AD13,$K$21:$K$23)+SUMIF($O$21:$O$23,$AD13,$N$21:$N$23)</f>
        <v>0</v>
      </c>
      <c r="AK13" s="82">
        <f>SUMIF($F$24:$F$26,$AD13,$E$24:$E$26)+SUMIF($I$24:$I$26,$AD13,$H$24:$H$26)+SUMIF($L$24:$L$26,$AD13,$K$24:$K$26)+SUMIF($O$24:$O$26,$AD13,$N$24:$N$26)</f>
        <v>0</v>
      </c>
      <c r="AL13" s="82">
        <f>SUMIF($F$27:$F$29,$AD13,$E$27:$E$29)+SUMIF($I$27:$I$29,$AD13,$H$27:$H$29)+SUMIF($L$27:$L$29,$AD13,$K$27:$K$29)+SUMIF($O$27:$O$29,$AD13,$N$27:$N$29)</f>
        <v>0</v>
      </c>
      <c r="AM13" s="83">
        <f>SUM(AF13:AL13)</f>
        <v>0</v>
      </c>
      <c r="AN13" s="74"/>
      <c r="AO13" s="215" t="s">
        <v>27</v>
      </c>
      <c r="AP13" s="74"/>
      <c r="AQ13" s="74"/>
      <c r="AR13" s="74"/>
      <c r="AS13" s="74"/>
      <c r="AT13" s="74"/>
      <c r="AU13" s="74"/>
      <c r="AV13" s="74"/>
      <c r="AW13" s="74"/>
      <c r="AX13" s="83"/>
      <c r="AY13" s="74"/>
      <c r="AZ13" s="74"/>
      <c r="BA13" s="74"/>
      <c r="BB13" s="74"/>
    </row>
    <row r="14" spans="1:68" ht="15" x14ac:dyDescent="0.25">
      <c r="A14" s="13"/>
      <c r="B14" s="339"/>
      <c r="C14" s="221" t="s">
        <v>20</v>
      </c>
      <c r="D14" s="231"/>
      <c r="E14" s="148">
        <v>16500</v>
      </c>
      <c r="F14" s="140">
        <v>2395</v>
      </c>
      <c r="G14" s="135" t="s">
        <v>22</v>
      </c>
      <c r="H14" s="152">
        <v>14952</v>
      </c>
      <c r="I14" s="140">
        <v>2395</v>
      </c>
      <c r="J14" s="135" t="s">
        <v>22</v>
      </c>
      <c r="K14" s="148">
        <v>15000</v>
      </c>
      <c r="L14" s="141">
        <v>1564</v>
      </c>
      <c r="M14" s="141" t="s">
        <v>11</v>
      </c>
      <c r="N14" s="152">
        <v>14784</v>
      </c>
      <c r="O14" s="141">
        <v>1564</v>
      </c>
      <c r="P14" s="141" t="s">
        <v>11</v>
      </c>
      <c r="Q14" s="351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1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6">
        <v>6842</v>
      </c>
      <c r="AE14" s="76" t="s">
        <v>29</v>
      </c>
      <c r="AF14" s="82">
        <f>SUMIF($F$9:$F$11,$AD14,$E$9:$E$11)+SUMIF($I$9:$I$11,$AD14,$H$9:$H$11)+SUMIF($L$9:$L$11,$AD14,$K$9:$K$11)+SUMIF($O$9:$O$11,$AD14,$N$9:$N$11)</f>
        <v>0</v>
      </c>
      <c r="AG14" s="82">
        <f>SUMIF($F$12:$F$14,$AD14,$E$12:$E$14)+SUMIF($I$12:$I$14,$AD14,$H$12:$H$14)+SUMIF($L$12:$L$14,$AD14,$K$12:$K$14)+SUMIF($O$12:$O$14,$AD14,$N$12:$N$14)</f>
        <v>0</v>
      </c>
      <c r="AH14" s="82">
        <f>SUMIF($F$15:$F$17,$AD14,$E$15:$E$17)+SUMIF($I$15:$I$17,$AD14,$H$15:$H$17)+SUMIF($L$15:$L$17,$AD14,$K$15:$K$17)+SUMIF($O$15:$O$17,$AD14,$N$15:$N$17)</f>
        <v>0</v>
      </c>
      <c r="AI14" s="82">
        <f>SUMIF($F$18:$F$20,$AD14,$E$18:$E$20)+SUMIF($I$18:$I$20,$AD14,$H$18:$H$20)+SUMIF($L$18:$L$20,$AD14,$K$18:$K$20)+SUMIF($O$18:$O$20,$AD14,$N$18:$N$20)</f>
        <v>0</v>
      </c>
      <c r="AJ14" s="82">
        <f>SUMIF($F$21:$F$23,$AD14,$E$21:$E$23)+SUMIF($I$21:$I$23,$AD14,$H$21:$H$23)+SUMIF($L$21:$L$23,$AD14,$K$21:$K$23)+SUMIF($O$21:$O$23,$AD14,$N$21:$N$23)</f>
        <v>0</v>
      </c>
      <c r="AK14" s="82">
        <f>SUMIF($F$24:$F$26,$AD14,$E$24:$E$26)+SUMIF($I$24:$I$26,$AD14,$H$24:$H$26)+SUMIF($L$24:$L$26,$AD14,$K$24:$K$26)+SUMIF($O$24:$O$26,$AD14,$N$24:$N$26)</f>
        <v>0</v>
      </c>
      <c r="AL14" s="82">
        <f>SUMIF($F$27:$F$29,$AD14,$E$27:$E$29)+SUMIF($I$27:$I$29,$AD14,$H$27:$H$29)+SUMIF($L$27:$L$29,$AD14,$K$27:$K$29)+SUMIF($O$27:$O$29,$AD14,$N$27:$N$29)</f>
        <v>0</v>
      </c>
      <c r="AM14" s="83">
        <f>SUM(AF14:AL14)</f>
        <v>0</v>
      </c>
      <c r="AN14" s="74"/>
      <c r="AO14" s="79" t="s">
        <v>7</v>
      </c>
      <c r="AP14" s="79" t="s">
        <v>8</v>
      </c>
      <c r="AQ14" s="80">
        <f>AQ9</f>
        <v>46013</v>
      </c>
      <c r="AR14" s="80">
        <f t="shared" ref="AR14:AW14" si="6">AR9</f>
        <v>46014</v>
      </c>
      <c r="AS14" s="80">
        <f t="shared" si="6"/>
        <v>46015</v>
      </c>
      <c r="AT14" s="80">
        <f t="shared" si="6"/>
        <v>46016</v>
      </c>
      <c r="AU14" s="80">
        <f t="shared" si="6"/>
        <v>46017</v>
      </c>
      <c r="AV14" s="80">
        <f t="shared" si="6"/>
        <v>46018</v>
      </c>
      <c r="AW14" s="80">
        <f t="shared" si="6"/>
        <v>46019</v>
      </c>
      <c r="AX14" s="79" t="s">
        <v>17</v>
      </c>
      <c r="AY14" s="74"/>
      <c r="AZ14" s="74"/>
      <c r="BA14" s="74"/>
      <c r="BB14" s="74"/>
    </row>
    <row r="15" spans="1:68" ht="15" x14ac:dyDescent="0.25">
      <c r="A15" s="13"/>
      <c r="B15" s="338">
        <f>+B12+1</f>
        <v>46015</v>
      </c>
      <c r="C15" s="216" t="s">
        <v>10</v>
      </c>
      <c r="D15" s="175"/>
      <c r="E15" s="134">
        <v>16500</v>
      </c>
      <c r="F15" s="135">
        <v>2395</v>
      </c>
      <c r="G15" s="135" t="s">
        <v>22</v>
      </c>
      <c r="H15" s="144">
        <v>10752</v>
      </c>
      <c r="I15" s="135">
        <v>2395</v>
      </c>
      <c r="J15" s="135" t="s">
        <v>22</v>
      </c>
      <c r="K15" s="134">
        <v>30000</v>
      </c>
      <c r="L15" s="136">
        <v>1564</v>
      </c>
      <c r="M15" s="136" t="s">
        <v>11</v>
      </c>
      <c r="N15" s="144">
        <v>29400</v>
      </c>
      <c r="O15" s="136">
        <v>1564</v>
      </c>
      <c r="P15" s="136" t="s">
        <v>11</v>
      </c>
      <c r="Q15" s="225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>SUMIF($M$10:$M$30,S15,$L$10:$L$30)</f>
        <v>0</v>
      </c>
      <c r="W15" s="111">
        <f t="shared" si="1"/>
        <v>0</v>
      </c>
      <c r="X15" s="111">
        <f>SUMIF($R$10:$R$30,T15,$O$10:$O$30)</f>
        <v>0</v>
      </c>
      <c r="Y15" s="111">
        <f>+W15-X15</f>
        <v>0</v>
      </c>
      <c r="Z15" s="74"/>
      <c r="AA15" s="74"/>
      <c r="AB15" s="74"/>
      <c r="AC15" s="74"/>
      <c r="AF15" s="222">
        <f>SUM(AF10:AF14)</f>
        <v>249148</v>
      </c>
      <c r="AG15" s="222">
        <f t="shared" ref="AG15:AL15" si="7">SUM(AG10:AG14)</f>
        <v>241794</v>
      </c>
      <c r="AH15" s="222">
        <f t="shared" si="7"/>
        <v>119270</v>
      </c>
      <c r="AI15" s="222">
        <f t="shared" si="7"/>
        <v>0</v>
      </c>
      <c r="AJ15" s="222">
        <f t="shared" si="7"/>
        <v>256260</v>
      </c>
      <c r="AK15" s="222">
        <f t="shared" si="7"/>
        <v>242424</v>
      </c>
      <c r="AL15" s="222">
        <f t="shared" si="7"/>
        <v>249620</v>
      </c>
      <c r="AM15" s="83">
        <f>SUM(AM10:AM14)</f>
        <v>1358516</v>
      </c>
      <c r="AN15" s="74"/>
      <c r="AO15" s="76">
        <v>1564</v>
      </c>
      <c r="AP15" s="76" t="s">
        <v>11</v>
      </c>
      <c r="AQ15" s="185">
        <f>SUMIF($O$9:$O$11,$AO15,$N$9:$N$11)+SUMIF($L$9:$L$11,$AO15,$K$9:$K$11)</f>
        <v>0</v>
      </c>
      <c r="AR15" s="185">
        <f>SUMIF($O$12:$O$14,$AO15,$N$12:$N$14)+SUMIF($L$12:$L$14,$AO15,$K$12:$K$14)</f>
        <v>29784</v>
      </c>
      <c r="AS15" s="185">
        <f>SUMIF($O$15:$O$17,$AO15,$N$15:$N$17)+SUMIF($L$15:$L$17,$AO15,$K$15:$K$17)</f>
        <v>81228</v>
      </c>
      <c r="AT15" s="185">
        <f>SUMIF($O$18:$O$20,$AO15,$N$18:$N$20)+SUMIF($L$18:$L$20,$AO15,$K$18:$K$20)</f>
        <v>0</v>
      </c>
      <c r="AU15" s="185">
        <f>SUMIF($O$21:$O$23,$AO15,$N$21:$N$23)+SUMIF($L$21:$L$23,$AO15,$K$21:$K$23)</f>
        <v>170304</v>
      </c>
      <c r="AV15" s="185">
        <f>SUMIF($O$24:$O$26,$AO15,$N$24:$N$26)+SUMIF($L$24:$L$26,$AO15,$K$24:$K$26)</f>
        <v>168456</v>
      </c>
      <c r="AW15" s="185">
        <f>SUMIF($O$27:$O$29,$AO15,$N$27:$N$29)+SUMIF($L$27:$L$29,$AO15,$K$27:$K$29)</f>
        <v>94472</v>
      </c>
      <c r="AX15" s="220">
        <f>SUM(AQ15:AW15)</f>
        <v>544244</v>
      </c>
      <c r="AY15" s="74"/>
      <c r="AZ15" s="74"/>
      <c r="BA15" s="74"/>
      <c r="BB15" s="74"/>
    </row>
    <row r="16" spans="1:68" ht="15" x14ac:dyDescent="0.25">
      <c r="A16" s="13"/>
      <c r="B16" s="338" t="s">
        <v>79</v>
      </c>
      <c r="C16" s="216" t="s">
        <v>19</v>
      </c>
      <c r="D16" s="179"/>
      <c r="E16" s="147">
        <v>4000</v>
      </c>
      <c r="F16" s="137">
        <v>2395</v>
      </c>
      <c r="G16" s="137" t="s">
        <v>22</v>
      </c>
      <c r="H16" s="151">
        <v>6790</v>
      </c>
      <c r="I16" s="137">
        <v>2395</v>
      </c>
      <c r="J16" s="137" t="s">
        <v>22</v>
      </c>
      <c r="K16" s="134">
        <v>7000</v>
      </c>
      <c r="L16" s="138">
        <v>1564</v>
      </c>
      <c r="M16" s="138" t="s">
        <v>11</v>
      </c>
      <c r="N16" s="151">
        <v>14828</v>
      </c>
      <c r="O16" s="138">
        <v>1564</v>
      </c>
      <c r="P16" s="138" t="s">
        <v>11</v>
      </c>
      <c r="Q16" s="350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1"/>
        <v>0</v>
      </c>
      <c r="X16" s="114">
        <f>SUM(V16:W16)</f>
        <v>0</v>
      </c>
      <c r="Y16" s="114"/>
      <c r="Z16" s="74"/>
      <c r="AA16" s="74"/>
      <c r="AB16" s="74"/>
      <c r="AC16" s="74"/>
      <c r="AN16" s="74"/>
      <c r="AO16" s="76">
        <v>2821</v>
      </c>
      <c r="AP16" s="76" t="s">
        <v>23</v>
      </c>
      <c r="AQ16" s="185">
        <f t="shared" ref="AQ16:AQ18" si="8">SUMIF($O$9:$O$11,$AO16,$N$9:$N$11)+SUMIF($L$9:$L$11,$AO16,$K$9:$K$11)</f>
        <v>170304</v>
      </c>
      <c r="AR16" s="185">
        <f t="shared" ref="AR16:AR18" si="9">SUMIF($O$12:$O$14,$AO16,$N$12:$N$14)+SUMIF($L$12:$L$14,$AO16,$K$12:$K$14)</f>
        <v>120342</v>
      </c>
      <c r="AS16" s="185">
        <f t="shared" ref="AS16:AS18" si="10">SUMIF($O$15:$O$17,$AO16,$N$15:$N$17)+SUMIF($L$15:$L$17,$AO16,$K$15:$K$17)</f>
        <v>0</v>
      </c>
      <c r="AT16" s="185">
        <f t="shared" ref="AT16:AT18" si="11">SUMIF($O$18:$O$20,$AO16,$N$18:$N$20)+SUMIF($L$18:$L$20,$AO16,$K$18:$K$20)</f>
        <v>0</v>
      </c>
      <c r="AU16" s="185">
        <f t="shared" ref="AU16:AU18" si="12">SUMIF($O$21:$O$23,$AO16,$N$21:$N$23)+SUMIF($L$21:$L$23,$AO16,$K$21:$K$23)</f>
        <v>0</v>
      </c>
      <c r="AV16" s="185">
        <f t="shared" ref="AV16:AV18" si="13">SUMIF($O$24:$O$26,$AO16,$N$24:$N$26)+SUMIF($L$24:$L$26,$AO16,$K$24:$K$26)</f>
        <v>0</v>
      </c>
      <c r="AW16" s="185">
        <f t="shared" ref="AW16:AW18" si="14">SUMIF($O$27:$O$29,$AO16,$N$27:$N$29)+SUMIF($L$27:$L$29,$AO16,$K$27:$K$29)</f>
        <v>64152</v>
      </c>
      <c r="AX16" s="220">
        <f t="shared" ref="AX16:AX18" si="15">SUM(AQ16:AW16)</f>
        <v>354798</v>
      </c>
      <c r="AY16" s="74"/>
      <c r="AZ16" s="74"/>
      <c r="BA16" s="74"/>
      <c r="BB16" s="74"/>
    </row>
    <row r="17" spans="1:54" ht="17.25" x14ac:dyDescent="0.25">
      <c r="A17" s="13"/>
      <c r="B17" s="339"/>
      <c r="C17" s="221" t="s">
        <v>20</v>
      </c>
      <c r="D17" s="182"/>
      <c r="E17" s="166"/>
      <c r="F17" s="166"/>
      <c r="G17" s="366" t="s">
        <v>81</v>
      </c>
      <c r="H17" s="166"/>
      <c r="I17" s="166"/>
      <c r="J17" s="166"/>
      <c r="K17" s="370"/>
      <c r="L17" s="166"/>
      <c r="M17" s="366" t="s">
        <v>81</v>
      </c>
      <c r="N17" s="166"/>
      <c r="O17" s="166"/>
      <c r="P17" s="344"/>
      <c r="Q17" s="351"/>
      <c r="R17" s="81"/>
      <c r="S17" s="74"/>
      <c r="T17" s="92" t="s">
        <v>32</v>
      </c>
      <c r="U17" s="93">
        <f>SUM(U10:U16)</f>
        <v>250500</v>
      </c>
      <c r="V17" s="93">
        <f>SUM(V10:V16)</f>
        <v>457000</v>
      </c>
      <c r="W17" s="93">
        <f>SUM(W10:W16)</f>
        <v>707500</v>
      </c>
      <c r="X17" s="127">
        <f>SUM(X10:X16)</f>
        <v>651016</v>
      </c>
      <c r="Y17" s="127">
        <f>SUM(Y10:Y16)</f>
        <v>56484</v>
      </c>
      <c r="Z17" s="74"/>
      <c r="AA17" s="74"/>
      <c r="AB17" s="74"/>
      <c r="AC17" s="74"/>
      <c r="AD17" s="215" t="s">
        <v>33</v>
      </c>
      <c r="AE17" s="74"/>
      <c r="AF17" s="74"/>
      <c r="AG17" s="74"/>
      <c r="AH17" s="74"/>
      <c r="AI17" s="74"/>
      <c r="AJ17" s="74"/>
      <c r="AK17" s="74"/>
      <c r="AL17" s="74"/>
      <c r="AM17" s="74"/>
      <c r="AN17" s="76"/>
      <c r="AO17" s="76">
        <v>6843</v>
      </c>
      <c r="AP17" s="76" t="s">
        <v>26</v>
      </c>
      <c r="AQ17" s="185">
        <f t="shared" si="8"/>
        <v>0</v>
      </c>
      <c r="AR17" s="185">
        <f t="shared" si="9"/>
        <v>0</v>
      </c>
      <c r="AS17" s="185">
        <f t="shared" si="10"/>
        <v>0</v>
      </c>
      <c r="AT17" s="185">
        <f t="shared" si="11"/>
        <v>0</v>
      </c>
      <c r="AU17" s="185">
        <f t="shared" si="12"/>
        <v>0</v>
      </c>
      <c r="AV17" s="185">
        <f t="shared" si="13"/>
        <v>0</v>
      </c>
      <c r="AW17" s="185">
        <f t="shared" si="14"/>
        <v>0</v>
      </c>
      <c r="AX17" s="220">
        <f t="shared" si="15"/>
        <v>0</v>
      </c>
      <c r="AY17" s="74"/>
      <c r="AZ17" s="74"/>
      <c r="BA17" s="74"/>
      <c r="BB17" s="74"/>
    </row>
    <row r="18" spans="1:54" ht="15" x14ac:dyDescent="0.25">
      <c r="A18" s="13"/>
      <c r="B18" s="345">
        <f>+B15+1</f>
        <v>46016</v>
      </c>
      <c r="C18" s="128" t="s">
        <v>10</v>
      </c>
      <c r="D18" s="198"/>
      <c r="E18" s="162"/>
      <c r="F18" s="162"/>
      <c r="G18" s="367" t="s">
        <v>81</v>
      </c>
      <c r="H18" s="162"/>
      <c r="I18" s="162"/>
      <c r="J18" s="162"/>
      <c r="K18" s="371"/>
      <c r="L18" s="162"/>
      <c r="M18" s="367" t="s">
        <v>81</v>
      </c>
      <c r="N18" s="162"/>
      <c r="O18" s="162"/>
      <c r="P18" s="346"/>
      <c r="Q18" s="225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9" t="s">
        <v>7</v>
      </c>
      <c r="AE18" s="79" t="s">
        <v>8</v>
      </c>
      <c r="AF18" s="80">
        <f>AF9</f>
        <v>46013</v>
      </c>
      <c r="AG18" s="80">
        <f t="shared" ref="AG18:AL18" si="16">AG9</f>
        <v>46014</v>
      </c>
      <c r="AH18" s="80">
        <f t="shared" si="16"/>
        <v>46015</v>
      </c>
      <c r="AI18" s="80">
        <f t="shared" si="16"/>
        <v>46016</v>
      </c>
      <c r="AJ18" s="80">
        <f t="shared" si="16"/>
        <v>46017</v>
      </c>
      <c r="AK18" s="80">
        <f t="shared" si="16"/>
        <v>46018</v>
      </c>
      <c r="AL18" s="80">
        <f t="shared" si="16"/>
        <v>46019</v>
      </c>
      <c r="AM18" s="79" t="s">
        <v>34</v>
      </c>
      <c r="AN18" s="74"/>
      <c r="AO18" s="76">
        <v>6842</v>
      </c>
      <c r="AP18" s="76" t="s">
        <v>29</v>
      </c>
      <c r="AQ18" s="185">
        <f t="shared" si="8"/>
        <v>0</v>
      </c>
      <c r="AR18" s="185">
        <f t="shared" si="9"/>
        <v>0</v>
      </c>
      <c r="AS18" s="185">
        <f t="shared" si="10"/>
        <v>0</v>
      </c>
      <c r="AT18" s="185">
        <f t="shared" si="11"/>
        <v>0</v>
      </c>
      <c r="AU18" s="185">
        <f t="shared" si="12"/>
        <v>0</v>
      </c>
      <c r="AV18" s="185">
        <f t="shared" si="13"/>
        <v>0</v>
      </c>
      <c r="AW18" s="185">
        <f t="shared" si="14"/>
        <v>0</v>
      </c>
      <c r="AX18" s="220">
        <f t="shared" si="15"/>
        <v>0</v>
      </c>
      <c r="AY18" s="74"/>
      <c r="AZ18" s="74"/>
      <c r="BA18" s="74"/>
      <c r="BB18" s="74"/>
    </row>
    <row r="19" spans="1:54" ht="15" x14ac:dyDescent="0.25">
      <c r="A19" s="13"/>
      <c r="B19" s="345" t="s">
        <v>35</v>
      </c>
      <c r="C19" s="129" t="s">
        <v>19</v>
      </c>
      <c r="D19" s="199"/>
      <c r="E19" s="163"/>
      <c r="F19" s="163"/>
      <c r="G19" s="367" t="s">
        <v>81</v>
      </c>
      <c r="H19" s="163"/>
      <c r="I19" s="163"/>
      <c r="J19" s="163"/>
      <c r="K19" s="163"/>
      <c r="L19" s="162"/>
      <c r="M19" s="367" t="s">
        <v>81</v>
      </c>
      <c r="N19" s="163"/>
      <c r="O19" s="163"/>
      <c r="P19" s="347"/>
      <c r="Q19" s="350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6">
        <v>1564</v>
      </c>
      <c r="AE19" s="76" t="s">
        <v>11</v>
      </c>
      <c r="AF19" s="82">
        <f t="shared" ref="AF19:AL19" si="17">AF10/(1/12/0.65*100)</f>
        <v>0</v>
      </c>
      <c r="AG19" s="82">
        <f t="shared" si="17"/>
        <v>2323.152</v>
      </c>
      <c r="AH19" s="82">
        <f t="shared" si="17"/>
        <v>6335.7840000000006</v>
      </c>
      <c r="AI19" s="82">
        <f t="shared" si="17"/>
        <v>0</v>
      </c>
      <c r="AJ19" s="82">
        <f t="shared" si="17"/>
        <v>19988.280000000002</v>
      </c>
      <c r="AK19" s="82">
        <f t="shared" si="17"/>
        <v>18909.072</v>
      </c>
      <c r="AL19" s="82">
        <f t="shared" si="17"/>
        <v>7368.8160000000007</v>
      </c>
      <c r="AM19" s="83">
        <f>SUM(AF19:AL19)</f>
        <v>54925.103999999999</v>
      </c>
      <c r="AN19" s="74"/>
      <c r="AO19" s="74"/>
      <c r="AP19" s="74"/>
      <c r="AQ19" s="224">
        <f>SUM(AQ15:AQ18)</f>
        <v>170304</v>
      </c>
      <c r="AR19" s="224">
        <f t="shared" ref="AR19:AW19" si="18">SUM(AR15:AR18)</f>
        <v>150126</v>
      </c>
      <c r="AS19" s="224">
        <f t="shared" si="18"/>
        <v>81228</v>
      </c>
      <c r="AT19" s="224">
        <f t="shared" si="18"/>
        <v>0</v>
      </c>
      <c r="AU19" s="224">
        <f t="shared" si="18"/>
        <v>170304</v>
      </c>
      <c r="AV19" s="224">
        <f t="shared" si="18"/>
        <v>168456</v>
      </c>
      <c r="AW19" s="224">
        <f t="shared" si="18"/>
        <v>158624</v>
      </c>
      <c r="AX19" s="224">
        <f>SUM(AX15:AX18)</f>
        <v>899042</v>
      </c>
      <c r="AY19" s="74"/>
      <c r="AZ19" s="74"/>
      <c r="BA19" s="74"/>
      <c r="BB19" s="74"/>
    </row>
    <row r="20" spans="1:54" ht="18.75" x14ac:dyDescent="0.25">
      <c r="A20" s="13"/>
      <c r="B20" s="348"/>
      <c r="C20" s="130" t="s">
        <v>20</v>
      </c>
      <c r="D20" s="200"/>
      <c r="E20" s="164"/>
      <c r="F20" s="164"/>
      <c r="G20" s="368" t="s">
        <v>81</v>
      </c>
      <c r="H20" s="164">
        <v>5376</v>
      </c>
      <c r="I20" s="164"/>
      <c r="J20" s="164"/>
      <c r="K20" s="164"/>
      <c r="L20" s="164"/>
      <c r="M20" s="366" t="s">
        <v>81</v>
      </c>
      <c r="N20" s="164"/>
      <c r="O20" s="164"/>
      <c r="P20" s="349"/>
      <c r="Q20" s="351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6">
        <v>2395</v>
      </c>
      <c r="AE20" s="76" t="s">
        <v>22</v>
      </c>
      <c r="AF20" s="82">
        <f t="shared" ref="AF20:AL20" si="19">AF11/(1/12/0.62*100)</f>
        <v>5865.9936000000007</v>
      </c>
      <c r="AG20" s="82">
        <f t="shared" si="19"/>
        <v>6820.0992000000006</v>
      </c>
      <c r="AH20" s="82">
        <f t="shared" si="19"/>
        <v>2830.3248000000003</v>
      </c>
      <c r="AI20" s="82">
        <f t="shared" si="19"/>
        <v>0</v>
      </c>
      <c r="AJ20" s="82">
        <f t="shared" si="19"/>
        <v>0</v>
      </c>
      <c r="AK20" s="82">
        <f t="shared" si="19"/>
        <v>0</v>
      </c>
      <c r="AL20" s="82">
        <f t="shared" si="19"/>
        <v>6770.1024000000007</v>
      </c>
      <c r="AM20" s="83">
        <f>SUM(AF20:AL20)</f>
        <v>22286.520000000004</v>
      </c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</row>
    <row r="21" spans="1:54" ht="15.75" x14ac:dyDescent="0.25">
      <c r="A21" s="13"/>
      <c r="B21" s="338">
        <f>+B18+1</f>
        <v>46017</v>
      </c>
      <c r="C21" s="87" t="s">
        <v>10</v>
      </c>
      <c r="D21" s="175"/>
      <c r="E21" s="134">
        <v>16500</v>
      </c>
      <c r="F21" s="138">
        <v>1564</v>
      </c>
      <c r="G21" s="204" t="s">
        <v>11</v>
      </c>
      <c r="H21" s="144">
        <v>9072</v>
      </c>
      <c r="I21" s="138">
        <v>1564</v>
      </c>
      <c r="J21" s="204" t="s">
        <v>11</v>
      </c>
      <c r="K21" s="357">
        <v>30000</v>
      </c>
      <c r="L21" s="141">
        <v>1564</v>
      </c>
      <c r="M21" s="141" t="s">
        <v>11</v>
      </c>
      <c r="N21" s="144">
        <v>21000</v>
      </c>
      <c r="O21" s="138">
        <v>1564</v>
      </c>
      <c r="P21" s="204" t="s">
        <v>11</v>
      </c>
      <c r="Q21" s="225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6">
        <v>2821</v>
      </c>
      <c r="AE21" s="76" t="s">
        <v>23</v>
      </c>
      <c r="AF21" s="82">
        <f t="shared" ref="AF21:AL21" si="20">AF12/(1/12/0.63*100)</f>
        <v>12874.982400000001</v>
      </c>
      <c r="AG21" s="82">
        <f t="shared" si="20"/>
        <v>9097.8552000000018</v>
      </c>
      <c r="AH21" s="82">
        <f t="shared" si="20"/>
        <v>0</v>
      </c>
      <c r="AI21" s="82">
        <f t="shared" si="20"/>
        <v>0</v>
      </c>
      <c r="AJ21" s="82">
        <f t="shared" si="20"/>
        <v>0</v>
      </c>
      <c r="AK21" s="82">
        <f t="shared" si="20"/>
        <v>0</v>
      </c>
      <c r="AL21" s="82">
        <f t="shared" si="20"/>
        <v>4849.8912000000009</v>
      </c>
      <c r="AM21" s="83">
        <f>SUM(AF21:AL21)</f>
        <v>26822.728800000004</v>
      </c>
      <c r="AN21" s="74"/>
      <c r="AO21" s="215" t="s">
        <v>9</v>
      </c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</row>
    <row r="22" spans="1:54" ht="15" x14ac:dyDescent="0.25">
      <c r="A22" s="13"/>
      <c r="B22" s="338" t="s">
        <v>42</v>
      </c>
      <c r="C22" s="85" t="s">
        <v>19</v>
      </c>
      <c r="D22" s="179"/>
      <c r="E22" s="147">
        <v>16500</v>
      </c>
      <c r="F22" s="138">
        <v>1564</v>
      </c>
      <c r="G22" s="138" t="s">
        <v>11</v>
      </c>
      <c r="H22" s="151">
        <v>13944</v>
      </c>
      <c r="I22" s="138">
        <v>1564</v>
      </c>
      <c r="J22" s="138" t="s">
        <v>11</v>
      </c>
      <c r="K22" s="147">
        <v>30000</v>
      </c>
      <c r="L22" s="136">
        <v>1564</v>
      </c>
      <c r="M22" s="136" t="s">
        <v>11</v>
      </c>
      <c r="N22" s="151">
        <v>30408</v>
      </c>
      <c r="O22" s="138">
        <v>1564</v>
      </c>
      <c r="P22" s="138" t="s">
        <v>11</v>
      </c>
      <c r="Q22" s="350"/>
      <c r="R22" s="81"/>
      <c r="S22" s="94">
        <v>1564</v>
      </c>
      <c r="T22" s="95" t="s">
        <v>11</v>
      </c>
      <c r="U22" s="96">
        <f>U10*12*0.65/100</f>
        <v>7020</v>
      </c>
      <c r="V22" s="96">
        <f>V10*12*0.65/100</f>
        <v>20436</v>
      </c>
      <c r="W22" s="96">
        <f>SUM(U22:V22)</f>
        <v>27456</v>
      </c>
      <c r="X22" s="96">
        <v>28782</v>
      </c>
      <c r="Y22" s="96">
        <f>W22-X22</f>
        <v>-1326</v>
      </c>
      <c r="Z22" s="74"/>
      <c r="AA22" s="74"/>
      <c r="AB22" s="74"/>
      <c r="AC22" s="74"/>
      <c r="AD22" s="76">
        <v>6843</v>
      </c>
      <c r="AE22" s="76" t="s">
        <v>26</v>
      </c>
      <c r="AF22" s="82">
        <f t="shared" ref="AF22:AL23" si="21">AF13/(1/12/0.62*100)</f>
        <v>0</v>
      </c>
      <c r="AG22" s="82">
        <f t="shared" si="21"/>
        <v>0</v>
      </c>
      <c r="AH22" s="82">
        <f t="shared" si="21"/>
        <v>0</v>
      </c>
      <c r="AI22" s="82">
        <f t="shared" si="21"/>
        <v>0</v>
      </c>
      <c r="AJ22" s="82">
        <f t="shared" si="21"/>
        <v>0</v>
      </c>
      <c r="AK22" s="82">
        <f t="shared" si="21"/>
        <v>0</v>
      </c>
      <c r="AL22" s="82">
        <f t="shared" si="21"/>
        <v>0</v>
      </c>
      <c r="AM22" s="83">
        <f>SUM(AF22:AL22)</f>
        <v>0</v>
      </c>
      <c r="AN22" s="74"/>
      <c r="AO22" s="79" t="s">
        <v>7</v>
      </c>
      <c r="AP22" s="79" t="s">
        <v>8</v>
      </c>
      <c r="AQ22" s="80">
        <f>AQ9</f>
        <v>46013</v>
      </c>
      <c r="AR22" s="80">
        <f t="shared" ref="AR22:AW22" si="22">AR9</f>
        <v>46014</v>
      </c>
      <c r="AS22" s="80">
        <f t="shared" si="22"/>
        <v>46015</v>
      </c>
      <c r="AT22" s="80">
        <f t="shared" si="22"/>
        <v>46016</v>
      </c>
      <c r="AU22" s="80">
        <f t="shared" si="22"/>
        <v>46017</v>
      </c>
      <c r="AV22" s="80">
        <f t="shared" si="22"/>
        <v>46018</v>
      </c>
      <c r="AW22" s="80">
        <f t="shared" si="22"/>
        <v>46019</v>
      </c>
      <c r="AX22" s="79" t="s">
        <v>34</v>
      </c>
      <c r="AY22" s="74"/>
      <c r="AZ22" s="74"/>
      <c r="BA22" s="74"/>
      <c r="BB22" s="74"/>
    </row>
    <row r="23" spans="1:54" ht="15.75" x14ac:dyDescent="0.25">
      <c r="A23" s="13"/>
      <c r="B23" s="339"/>
      <c r="C23" s="86" t="s">
        <v>20</v>
      </c>
      <c r="D23" s="182"/>
      <c r="E23" s="148">
        <v>16500</v>
      </c>
      <c r="F23" s="369">
        <v>1564</v>
      </c>
      <c r="G23" s="369" t="s">
        <v>11</v>
      </c>
      <c r="H23" s="152">
        <v>13440</v>
      </c>
      <c r="I23" s="369">
        <v>1564</v>
      </c>
      <c r="J23" s="369" t="s">
        <v>11</v>
      </c>
      <c r="K23" s="148">
        <v>30000</v>
      </c>
      <c r="L23" s="138">
        <v>1564</v>
      </c>
      <c r="M23" s="138" t="s">
        <v>11</v>
      </c>
      <c r="N23" s="152">
        <v>28896</v>
      </c>
      <c r="O23" s="369">
        <v>1564</v>
      </c>
      <c r="P23" s="369" t="s">
        <v>11</v>
      </c>
      <c r="Q23" s="351"/>
      <c r="R23" s="81"/>
      <c r="S23" s="97">
        <v>2395</v>
      </c>
      <c r="T23" s="98" t="s">
        <v>22</v>
      </c>
      <c r="U23" s="99">
        <f>U11*12*0.62/100</f>
        <v>11941.2</v>
      </c>
      <c r="V23" s="99">
        <f>V11*12*0.62/100</f>
        <v>0</v>
      </c>
      <c r="W23" s="99">
        <f t="shared" ref="W23:W28" si="23">SUM(U23:V23)</f>
        <v>11941.2</v>
      </c>
      <c r="X23" s="99">
        <v>10416</v>
      </c>
      <c r="Y23" s="99">
        <f t="shared" ref="Y23:Y28" si="24">W23-X23</f>
        <v>1525.2000000000007</v>
      </c>
      <c r="Z23" s="82"/>
      <c r="AA23" s="92" t="s">
        <v>43</v>
      </c>
      <c r="AB23" s="92" t="s">
        <v>33</v>
      </c>
      <c r="AC23" s="74"/>
      <c r="AD23" s="76">
        <v>6842</v>
      </c>
      <c r="AE23" s="76" t="s">
        <v>29</v>
      </c>
      <c r="AF23" s="82">
        <f t="shared" si="21"/>
        <v>0</v>
      </c>
      <c r="AG23" s="82">
        <f t="shared" si="21"/>
        <v>0</v>
      </c>
      <c r="AH23" s="82">
        <f t="shared" si="21"/>
        <v>0</v>
      </c>
      <c r="AI23" s="82">
        <f t="shared" si="21"/>
        <v>0</v>
      </c>
      <c r="AJ23" s="82">
        <f t="shared" si="21"/>
        <v>0</v>
      </c>
      <c r="AK23" s="82">
        <f t="shared" si="21"/>
        <v>0</v>
      </c>
      <c r="AL23" s="82">
        <f t="shared" si="21"/>
        <v>0</v>
      </c>
      <c r="AM23" s="83">
        <f>SUM(AF23:AL23)</f>
        <v>0</v>
      </c>
      <c r="AN23" s="74"/>
      <c r="AO23" s="76">
        <v>1564</v>
      </c>
      <c r="AP23" s="76" t="s">
        <v>11</v>
      </c>
      <c r="AQ23" s="185">
        <f>AQ10*12*0.65/100</f>
        <v>0</v>
      </c>
      <c r="AR23" s="185">
        <f t="shared" ref="AR23:AW23" si="25">AR10*12*0.65/100</f>
        <v>0</v>
      </c>
      <c r="AS23" s="185">
        <f t="shared" si="25"/>
        <v>0</v>
      </c>
      <c r="AT23" s="185">
        <f t="shared" si="25"/>
        <v>0</v>
      </c>
      <c r="AU23" s="185">
        <f t="shared" si="25"/>
        <v>6704.5680000000002</v>
      </c>
      <c r="AV23" s="185">
        <f t="shared" si="25"/>
        <v>5769.5039999999999</v>
      </c>
      <c r="AW23" s="185">
        <f t="shared" si="25"/>
        <v>0</v>
      </c>
      <c r="AX23" s="220">
        <f>SUM(AQ23:AW23)</f>
        <v>12474.072</v>
      </c>
      <c r="AY23" s="74"/>
      <c r="AZ23" s="74"/>
      <c r="BA23" s="74"/>
      <c r="BB23" s="74"/>
    </row>
    <row r="24" spans="1:54" ht="15" x14ac:dyDescent="0.25">
      <c r="A24" s="13"/>
      <c r="B24" s="338">
        <f>+B21+1</f>
        <v>46018</v>
      </c>
      <c r="C24" s="87" t="s">
        <v>10</v>
      </c>
      <c r="D24" s="175"/>
      <c r="E24" s="134">
        <v>8000</v>
      </c>
      <c r="F24" s="204">
        <v>1564</v>
      </c>
      <c r="G24" s="204" t="s">
        <v>11</v>
      </c>
      <c r="H24" s="144">
        <v>4536</v>
      </c>
      <c r="I24" s="138">
        <v>1564</v>
      </c>
      <c r="J24" s="204" t="s">
        <v>11</v>
      </c>
      <c r="K24" s="134">
        <v>30000</v>
      </c>
      <c r="L24" s="141">
        <v>1564</v>
      </c>
      <c r="M24" s="141" t="s">
        <v>11</v>
      </c>
      <c r="N24" s="144">
        <v>15288</v>
      </c>
      <c r="O24" s="204">
        <v>1564</v>
      </c>
      <c r="P24" s="204" t="s">
        <v>11</v>
      </c>
      <c r="Q24" s="225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14742</v>
      </c>
      <c r="W24" s="102">
        <f t="shared" si="23"/>
        <v>14742</v>
      </c>
      <c r="X24" s="102">
        <v>10962</v>
      </c>
      <c r="Y24" s="102">
        <f t="shared" si="24"/>
        <v>3780</v>
      </c>
      <c r="Z24" s="74"/>
      <c r="AA24" s="116" t="s">
        <v>44</v>
      </c>
      <c r="AB24" s="117">
        <f>W22+W25</f>
        <v>27456</v>
      </c>
      <c r="AC24" s="74"/>
      <c r="AD24" s="74"/>
      <c r="AE24" s="74"/>
      <c r="AF24" s="83">
        <f t="shared" ref="AF24:AL24" si="26">+SUM(AF19:AF23)</f>
        <v>18740.976000000002</v>
      </c>
      <c r="AG24" s="83">
        <f t="shared" si="26"/>
        <v>18241.106400000004</v>
      </c>
      <c r="AH24" s="83">
        <f t="shared" si="26"/>
        <v>9166.1088000000018</v>
      </c>
      <c r="AI24" s="83">
        <f t="shared" si="26"/>
        <v>0</v>
      </c>
      <c r="AJ24" s="83">
        <f t="shared" si="26"/>
        <v>19988.280000000002</v>
      </c>
      <c r="AK24" s="83">
        <f t="shared" si="26"/>
        <v>18909.072</v>
      </c>
      <c r="AL24" s="83">
        <f t="shared" si="26"/>
        <v>18988.809600000004</v>
      </c>
      <c r="AM24" s="83">
        <f>SUM(AM19:AM23)</f>
        <v>104034.35280000002</v>
      </c>
      <c r="AN24" s="74"/>
      <c r="AO24" s="76">
        <v>2395</v>
      </c>
      <c r="AP24" s="76" t="s">
        <v>22</v>
      </c>
      <c r="AQ24" s="185">
        <f>AQ11*12*0.62/100</f>
        <v>5865.9935999999998</v>
      </c>
      <c r="AR24" s="185">
        <f t="shared" ref="AR24:AW24" si="27">AR11*12*0.62/100</f>
        <v>6820.0992000000006</v>
      </c>
      <c r="AS24" s="185">
        <f t="shared" si="27"/>
        <v>2830.3247999999999</v>
      </c>
      <c r="AT24" s="185">
        <f t="shared" si="27"/>
        <v>0</v>
      </c>
      <c r="AU24" s="185">
        <f t="shared" si="27"/>
        <v>0</v>
      </c>
      <c r="AV24" s="185">
        <f t="shared" si="27"/>
        <v>0</v>
      </c>
      <c r="AW24" s="185">
        <f t="shared" si="27"/>
        <v>6770.1023999999998</v>
      </c>
      <c r="AX24" s="220">
        <f t="shared" ref="AX24" si="28">SUM(AQ24:AW24)</f>
        <v>22286.52</v>
      </c>
      <c r="AY24" s="74"/>
      <c r="AZ24" s="74"/>
      <c r="BA24" s="74"/>
      <c r="BB24" s="74"/>
    </row>
    <row r="25" spans="1:54" ht="15" x14ac:dyDescent="0.25">
      <c r="A25" s="13"/>
      <c r="B25" s="338" t="s">
        <v>45</v>
      </c>
      <c r="C25" s="85" t="s">
        <v>19</v>
      </c>
      <c r="D25" s="179"/>
      <c r="E25" s="134">
        <v>16000</v>
      </c>
      <c r="F25" s="138">
        <v>1564</v>
      </c>
      <c r="G25" s="138" t="s">
        <v>11</v>
      </c>
      <c r="H25" s="151">
        <v>16800</v>
      </c>
      <c r="I25" s="138">
        <v>1564</v>
      </c>
      <c r="J25" s="138" t="s">
        <v>11</v>
      </c>
      <c r="K25" s="147">
        <v>30000</v>
      </c>
      <c r="L25" s="136">
        <v>1564</v>
      </c>
      <c r="M25" s="136" t="s">
        <v>11</v>
      </c>
      <c r="N25" s="151">
        <v>32088</v>
      </c>
      <c r="O25" s="138">
        <v>1564</v>
      </c>
      <c r="P25" s="138" t="s">
        <v>11</v>
      </c>
      <c r="Q25" s="350"/>
      <c r="R25" s="81"/>
      <c r="S25" s="103">
        <v>5037</v>
      </c>
      <c r="T25" s="104" t="s">
        <v>25</v>
      </c>
      <c r="U25" s="105">
        <f>U13*12/100</f>
        <v>0</v>
      </c>
      <c r="V25" s="105">
        <f>V13*12/100</f>
        <v>0</v>
      </c>
      <c r="W25" s="105">
        <f t="shared" si="23"/>
        <v>0</v>
      </c>
      <c r="X25" s="105">
        <v>0</v>
      </c>
      <c r="Y25" s="105">
        <f t="shared" si="24"/>
        <v>0</v>
      </c>
      <c r="Z25" s="74"/>
      <c r="AA25" s="118" t="s">
        <v>46</v>
      </c>
      <c r="AB25" s="119">
        <f>W23+W26</f>
        <v>11941.2</v>
      </c>
      <c r="AC25" s="74"/>
      <c r="AN25" s="74"/>
      <c r="AO25" s="74"/>
      <c r="AP25" s="74"/>
      <c r="AQ25" s="185">
        <f>SUM(AQ23:AQ24)</f>
        <v>5865.9935999999998</v>
      </c>
      <c r="AR25" s="185">
        <f t="shared" ref="AR25:AX25" si="29">SUM(AR23:AR24)</f>
        <v>6820.0992000000006</v>
      </c>
      <c r="AS25" s="185">
        <f t="shared" si="29"/>
        <v>2830.3247999999999</v>
      </c>
      <c r="AT25" s="185">
        <f t="shared" si="29"/>
        <v>0</v>
      </c>
      <c r="AU25" s="185">
        <f t="shared" si="29"/>
        <v>6704.5680000000002</v>
      </c>
      <c r="AV25" s="185">
        <f t="shared" si="29"/>
        <v>5769.5039999999999</v>
      </c>
      <c r="AW25" s="185">
        <f t="shared" si="29"/>
        <v>6770.1023999999998</v>
      </c>
      <c r="AX25" s="220">
        <f t="shared" si="29"/>
        <v>34760.592000000004</v>
      </c>
      <c r="AY25" s="74"/>
      <c r="AZ25" s="74"/>
      <c r="BA25" s="74"/>
      <c r="BB25" s="74"/>
    </row>
    <row r="26" spans="1:54" ht="15" x14ac:dyDescent="0.25">
      <c r="A26" s="13"/>
      <c r="B26" s="339"/>
      <c r="C26" s="86" t="s">
        <v>20</v>
      </c>
      <c r="D26" s="182"/>
      <c r="E26" s="148">
        <v>16500</v>
      </c>
      <c r="F26" s="141">
        <v>1564</v>
      </c>
      <c r="G26" s="141" t="s">
        <v>11</v>
      </c>
      <c r="H26" s="152">
        <v>12132</v>
      </c>
      <c r="I26" s="369">
        <v>1564</v>
      </c>
      <c r="J26" s="369" t="s">
        <v>11</v>
      </c>
      <c r="K26" s="148">
        <v>30000</v>
      </c>
      <c r="L26" s="138">
        <v>1564</v>
      </c>
      <c r="M26" s="138" t="s">
        <v>11</v>
      </c>
      <c r="N26" s="152">
        <v>31080</v>
      </c>
      <c r="O26" s="141">
        <v>1564</v>
      </c>
      <c r="P26" s="141" t="s">
        <v>11</v>
      </c>
      <c r="Q26" s="351"/>
      <c r="R26" s="81"/>
      <c r="S26" s="106">
        <v>6788</v>
      </c>
      <c r="T26" s="107" t="s">
        <v>28</v>
      </c>
      <c r="U26" s="108">
        <f>U14*12/100</f>
        <v>0</v>
      </c>
      <c r="V26" s="108">
        <f>V14*12/100</f>
        <v>0</v>
      </c>
      <c r="W26" s="108">
        <f t="shared" si="23"/>
        <v>0</v>
      </c>
      <c r="X26" s="108">
        <v>0</v>
      </c>
      <c r="Y26" s="108">
        <f t="shared" si="24"/>
        <v>0</v>
      </c>
      <c r="Z26" s="74"/>
      <c r="AA26" s="120" t="s">
        <v>47</v>
      </c>
      <c r="AB26" s="121">
        <f>W24</f>
        <v>14742</v>
      </c>
      <c r="AC26" s="74"/>
      <c r="AN26" s="76"/>
      <c r="AO26" s="215" t="s">
        <v>27</v>
      </c>
      <c r="AP26" s="74"/>
      <c r="AQ26" s="74"/>
      <c r="AR26" s="74"/>
      <c r="AS26" s="74"/>
      <c r="AT26" s="74"/>
      <c r="AU26" s="74"/>
      <c r="AV26" s="74"/>
      <c r="AW26" s="74"/>
      <c r="AX26" s="83"/>
      <c r="AY26" s="74"/>
      <c r="AZ26" s="74"/>
      <c r="BA26" s="74"/>
      <c r="BB26" s="74"/>
    </row>
    <row r="27" spans="1:54" ht="15" x14ac:dyDescent="0.25">
      <c r="A27" s="13"/>
      <c r="B27" s="338">
        <f>+B24+1</f>
        <v>46019</v>
      </c>
      <c r="C27" s="87" t="s">
        <v>10</v>
      </c>
      <c r="D27" s="175"/>
      <c r="E27" s="134">
        <v>16500</v>
      </c>
      <c r="F27" s="135">
        <v>2395</v>
      </c>
      <c r="G27" s="135" t="s">
        <v>22</v>
      </c>
      <c r="H27" s="144">
        <v>9072</v>
      </c>
      <c r="I27" s="135">
        <v>2395</v>
      </c>
      <c r="J27" s="135" t="s">
        <v>22</v>
      </c>
      <c r="K27" s="134">
        <v>30000</v>
      </c>
      <c r="L27" s="141">
        <v>1564</v>
      </c>
      <c r="M27" s="141" t="s">
        <v>11</v>
      </c>
      <c r="N27" s="144">
        <v>26040</v>
      </c>
      <c r="O27" s="138">
        <v>1564</v>
      </c>
      <c r="P27" s="204" t="s">
        <v>11</v>
      </c>
      <c r="Q27" s="225"/>
      <c r="R27" s="81"/>
      <c r="S27" s="109">
        <v>6841</v>
      </c>
      <c r="T27" s="110" t="s">
        <v>26</v>
      </c>
      <c r="U27" s="111">
        <f>U15*12*0.62/100</f>
        <v>0</v>
      </c>
      <c r="V27" s="111">
        <f t="shared" ref="V27:V28" si="30">V15*12*0.62/100</f>
        <v>0</v>
      </c>
      <c r="W27" s="111">
        <f t="shared" si="23"/>
        <v>0</v>
      </c>
      <c r="X27" s="111">
        <v>0</v>
      </c>
      <c r="Y27" s="111">
        <f t="shared" si="24"/>
        <v>0</v>
      </c>
      <c r="Z27" s="74"/>
      <c r="AA27" s="124" t="s">
        <v>48</v>
      </c>
      <c r="AB27" s="125">
        <f>W27</f>
        <v>0</v>
      </c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9" t="s">
        <v>7</v>
      </c>
      <c r="AP27" s="79" t="s">
        <v>8</v>
      </c>
      <c r="AQ27" s="80">
        <f>AQ22</f>
        <v>46013</v>
      </c>
      <c r="AR27" s="80">
        <f t="shared" ref="AR27:AW27" si="31">AR22</f>
        <v>46014</v>
      </c>
      <c r="AS27" s="80">
        <f t="shared" si="31"/>
        <v>46015</v>
      </c>
      <c r="AT27" s="80">
        <f t="shared" si="31"/>
        <v>46016</v>
      </c>
      <c r="AU27" s="80">
        <f t="shared" si="31"/>
        <v>46017</v>
      </c>
      <c r="AV27" s="80">
        <f t="shared" si="31"/>
        <v>46018</v>
      </c>
      <c r="AW27" s="80">
        <f t="shared" si="31"/>
        <v>46019</v>
      </c>
      <c r="AX27" s="79" t="s">
        <v>34</v>
      </c>
      <c r="AY27" s="74"/>
      <c r="AZ27" s="74"/>
      <c r="BA27" s="74"/>
      <c r="BB27" s="74"/>
    </row>
    <row r="28" spans="1:54" ht="15" x14ac:dyDescent="0.25">
      <c r="A28" s="13"/>
      <c r="B28" s="338" t="s">
        <v>49</v>
      </c>
      <c r="C28" s="85" t="s">
        <v>19</v>
      </c>
      <c r="D28" s="179"/>
      <c r="E28" s="147">
        <v>16500</v>
      </c>
      <c r="F28" s="135">
        <v>2395</v>
      </c>
      <c r="G28" s="135" t="s">
        <v>22</v>
      </c>
      <c r="H28" s="151">
        <v>16296</v>
      </c>
      <c r="I28" s="135">
        <v>2395</v>
      </c>
      <c r="J28" s="135" t="s">
        <v>22</v>
      </c>
      <c r="K28" s="147">
        <v>15000</v>
      </c>
      <c r="L28" s="145">
        <v>2821</v>
      </c>
      <c r="M28" s="145" t="s">
        <v>23</v>
      </c>
      <c r="N28" s="151">
        <f>32088+6344</f>
        <v>38432</v>
      </c>
      <c r="O28" s="138">
        <v>1564</v>
      </c>
      <c r="P28" s="138" t="s">
        <v>11</v>
      </c>
      <c r="Q28" s="350"/>
      <c r="R28" s="81"/>
      <c r="S28" s="112">
        <v>6842</v>
      </c>
      <c r="T28" s="113" t="s">
        <v>29</v>
      </c>
      <c r="U28" s="114">
        <f t="shared" ref="U28" si="32">U16*12*0.62/100</f>
        <v>0</v>
      </c>
      <c r="V28" s="114">
        <f t="shared" si="30"/>
        <v>0</v>
      </c>
      <c r="W28" s="114">
        <f t="shared" si="23"/>
        <v>0</v>
      </c>
      <c r="X28" s="114">
        <v>0</v>
      </c>
      <c r="Y28" s="114">
        <f t="shared" si="24"/>
        <v>0</v>
      </c>
      <c r="Z28" s="74"/>
      <c r="AA28" s="122" t="s">
        <v>50</v>
      </c>
      <c r="AB28" s="123">
        <f>W28</f>
        <v>0</v>
      </c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6">
        <v>1564</v>
      </c>
      <c r="AP28" s="76" t="s">
        <v>11</v>
      </c>
      <c r="AQ28" s="185">
        <f>AQ15*12*0.65/100</f>
        <v>0</v>
      </c>
      <c r="AR28" s="185">
        <f t="shared" ref="AR28:AW28" si="33">AR15*12*0.65/100</f>
        <v>2323.152</v>
      </c>
      <c r="AS28" s="185">
        <f t="shared" si="33"/>
        <v>6335.7840000000006</v>
      </c>
      <c r="AT28" s="185">
        <f t="shared" si="33"/>
        <v>0</v>
      </c>
      <c r="AU28" s="185">
        <f t="shared" si="33"/>
        <v>13283.712</v>
      </c>
      <c r="AV28" s="185">
        <f t="shared" si="33"/>
        <v>13139.568000000001</v>
      </c>
      <c r="AW28" s="185">
        <f t="shared" si="33"/>
        <v>7368.8159999999998</v>
      </c>
      <c r="AX28" s="220">
        <f>SUM(AQ28:AW28)</f>
        <v>42451.031999999999</v>
      </c>
      <c r="AY28" s="74"/>
      <c r="AZ28" s="74"/>
      <c r="BA28" s="74"/>
      <c r="BB28" s="74"/>
    </row>
    <row r="29" spans="1:54" ht="17.25" x14ac:dyDescent="0.25">
      <c r="A29" s="13"/>
      <c r="B29" s="340"/>
      <c r="C29" s="150" t="s">
        <v>20</v>
      </c>
      <c r="D29" s="341"/>
      <c r="E29" s="148">
        <v>16500</v>
      </c>
      <c r="F29" s="135">
        <v>2395</v>
      </c>
      <c r="G29" s="135" t="s">
        <v>22</v>
      </c>
      <c r="H29" s="152">
        <v>16128</v>
      </c>
      <c r="I29" s="135">
        <v>2395</v>
      </c>
      <c r="J29" s="135" t="s">
        <v>22</v>
      </c>
      <c r="K29" s="139">
        <v>30000</v>
      </c>
      <c r="L29" s="168">
        <v>2821</v>
      </c>
      <c r="M29" s="168" t="s">
        <v>23</v>
      </c>
      <c r="N29" s="342">
        <v>19152</v>
      </c>
      <c r="O29" s="145">
        <v>2821</v>
      </c>
      <c r="P29" s="145" t="s">
        <v>23</v>
      </c>
      <c r="Q29" s="350"/>
      <c r="R29" s="81"/>
      <c r="S29" s="74"/>
      <c r="T29" s="126" t="s">
        <v>39</v>
      </c>
      <c r="U29" s="127">
        <f>SUM(U22:U28)</f>
        <v>18961.2</v>
      </c>
      <c r="V29" s="127">
        <f>SUM(V22:V28)</f>
        <v>35178</v>
      </c>
      <c r="W29" s="127">
        <f>SUM(W22:W28)</f>
        <v>54139.199999999997</v>
      </c>
      <c r="X29" s="127">
        <f>SUM(X22:X28)</f>
        <v>50160</v>
      </c>
      <c r="Y29" s="127">
        <f>SUM(Y22:Y28)</f>
        <v>3979.2000000000007</v>
      </c>
      <c r="Z29" s="74"/>
      <c r="AA29" s="92" t="s">
        <v>51</v>
      </c>
      <c r="AB29" s="93">
        <f>SUM(AB24:AB28)</f>
        <v>54139.199999999997</v>
      </c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6">
        <v>2821</v>
      </c>
      <c r="AP29" s="76" t="s">
        <v>23</v>
      </c>
      <c r="AQ29" s="185">
        <f>AQ16*12*0.63/100</f>
        <v>12874.982400000001</v>
      </c>
      <c r="AR29" s="185">
        <f t="shared" ref="AR29:AW29" si="34">AR16*12*0.63/100</f>
        <v>9097.8552</v>
      </c>
      <c r="AS29" s="185">
        <f t="shared" si="34"/>
        <v>0</v>
      </c>
      <c r="AT29" s="185">
        <f t="shared" si="34"/>
        <v>0</v>
      </c>
      <c r="AU29" s="185">
        <f t="shared" si="34"/>
        <v>0</v>
      </c>
      <c r="AV29" s="185">
        <f t="shared" si="34"/>
        <v>0</v>
      </c>
      <c r="AW29" s="185">
        <f t="shared" si="34"/>
        <v>4849.8912</v>
      </c>
      <c r="AX29" s="220">
        <f t="shared" ref="AX29:AX31" si="35">SUM(AQ29:AW29)</f>
        <v>26822.728799999997</v>
      </c>
      <c r="AY29" s="74"/>
      <c r="AZ29" s="74"/>
      <c r="BA29" s="74"/>
      <c r="BB29" s="74"/>
    </row>
    <row r="30" spans="1:54" ht="15" x14ac:dyDescent="0.2">
      <c r="A30" s="19"/>
      <c r="B30" s="67"/>
      <c r="C30" s="67"/>
      <c r="D30" s="67"/>
      <c r="E30" s="67"/>
      <c r="F30" s="67"/>
      <c r="G30" s="72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14"/>
      <c r="S30" s="82"/>
      <c r="T30" s="82"/>
      <c r="U30" s="74"/>
      <c r="V30" s="74"/>
      <c r="W30" s="74"/>
      <c r="X30" s="74"/>
      <c r="Y30" s="74"/>
      <c r="Z30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6">
        <v>6843</v>
      </c>
      <c r="AP30" s="76" t="s">
        <v>26</v>
      </c>
      <c r="AQ30" s="185">
        <f>AQ17*12*0.62/100</f>
        <v>0</v>
      </c>
      <c r="AR30" s="185">
        <f t="shared" ref="AR30:AW31" si="36">AR17*12*0.62/100</f>
        <v>0</v>
      </c>
      <c r="AS30" s="185">
        <f t="shared" si="36"/>
        <v>0</v>
      </c>
      <c r="AT30" s="185">
        <f t="shared" si="36"/>
        <v>0</v>
      </c>
      <c r="AU30" s="185">
        <f t="shared" si="36"/>
        <v>0</v>
      </c>
      <c r="AV30" s="185">
        <f t="shared" si="36"/>
        <v>0</v>
      </c>
      <c r="AW30" s="185">
        <f t="shared" si="36"/>
        <v>0</v>
      </c>
      <c r="AX30" s="220">
        <f t="shared" si="35"/>
        <v>0</v>
      </c>
      <c r="AY30" s="74"/>
      <c r="AZ30" s="74"/>
      <c r="BA30" s="74"/>
      <c r="BB30" s="74"/>
    </row>
    <row r="31" spans="1:54" s="10" customFormat="1" ht="15" x14ac:dyDescent="0.2">
      <c r="A31" s="9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U31"/>
      <c r="V31"/>
      <c r="W31"/>
      <c r="X31"/>
      <c r="Y31"/>
      <c r="Z31"/>
      <c r="AA31"/>
      <c r="AO31" s="76">
        <v>6842</v>
      </c>
      <c r="AP31" s="76" t="s">
        <v>29</v>
      </c>
      <c r="AQ31" s="185">
        <f>AQ18*12*0.62/100</f>
        <v>0</v>
      </c>
      <c r="AR31" s="185">
        <f t="shared" si="36"/>
        <v>0</v>
      </c>
      <c r="AS31" s="185">
        <f t="shared" si="36"/>
        <v>0</v>
      </c>
      <c r="AT31" s="185">
        <f t="shared" si="36"/>
        <v>0</v>
      </c>
      <c r="AU31" s="185">
        <f t="shared" si="36"/>
        <v>0</v>
      </c>
      <c r="AV31" s="185">
        <f t="shared" si="36"/>
        <v>0</v>
      </c>
      <c r="AW31" s="185">
        <f t="shared" si="36"/>
        <v>0</v>
      </c>
      <c r="AX31" s="220">
        <f t="shared" si="35"/>
        <v>0</v>
      </c>
    </row>
    <row r="32" spans="1:54" s="10" customFormat="1" ht="19.5" hidden="1" customHeight="1" x14ac:dyDescent="0.2">
      <c r="A32" s="9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U32"/>
      <c r="V32"/>
      <c r="W32"/>
      <c r="X32"/>
      <c r="Y32"/>
      <c r="Z32"/>
      <c r="AA32"/>
      <c r="AO32" s="74"/>
      <c r="AP32" s="74"/>
      <c r="AQ32" s="224">
        <f>SUM(AQ28:AQ31)</f>
        <v>12874.982400000001</v>
      </c>
      <c r="AR32" s="224">
        <f t="shared" ref="AR32:AW32" si="37">SUM(AR28:AR31)</f>
        <v>11421.0072</v>
      </c>
      <c r="AS32" s="224">
        <f t="shared" si="37"/>
        <v>6335.7840000000006</v>
      </c>
      <c r="AT32" s="224">
        <f t="shared" si="37"/>
        <v>0</v>
      </c>
      <c r="AU32" s="224">
        <f t="shared" si="37"/>
        <v>13283.712</v>
      </c>
      <c r="AV32" s="224">
        <f t="shared" si="37"/>
        <v>13139.568000000001</v>
      </c>
      <c r="AW32" s="224">
        <f t="shared" si="37"/>
        <v>12218.707200000001</v>
      </c>
      <c r="AX32" s="224">
        <f>SUM(AX28:AX31)</f>
        <v>69273.760799999989</v>
      </c>
    </row>
    <row r="33" spans="1:27" s="10" customFormat="1" ht="12.6" hidden="1" customHeight="1" x14ac:dyDescent="0.2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U33"/>
      <c r="V33"/>
      <c r="W33"/>
      <c r="X33"/>
      <c r="Y33"/>
      <c r="Z33"/>
      <c r="AA33"/>
    </row>
    <row r="34" spans="1:27" s="10" customFormat="1" ht="15" hidden="1" customHeight="1" x14ac:dyDescent="0.2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U34"/>
      <c r="V34"/>
      <c r="W34"/>
      <c r="X34"/>
      <c r="Y34"/>
      <c r="Z34"/>
      <c r="AA34"/>
    </row>
    <row r="35" spans="1:27" s="10" customFormat="1" ht="22.5" hidden="1" customHeight="1" x14ac:dyDescent="0.2">
      <c r="A35" s="9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U35"/>
      <c r="V35"/>
      <c r="W35"/>
      <c r="X35"/>
      <c r="Y35"/>
      <c r="Z35"/>
      <c r="AA35"/>
    </row>
    <row r="36" spans="1:27" s="10" customFormat="1" ht="20.25" hidden="1" customHeight="1" x14ac:dyDescent="0.2">
      <c r="A36" s="9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U36"/>
      <c r="V36"/>
      <c r="W36"/>
      <c r="X36"/>
      <c r="Y36"/>
      <c r="Z36"/>
      <c r="AA36"/>
    </row>
    <row r="37" spans="1:27" s="10" customFormat="1" ht="21" hidden="1" customHeight="1" x14ac:dyDescent="0.2">
      <c r="A37" s="9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U37"/>
      <c r="V37"/>
      <c r="W37"/>
      <c r="X37"/>
      <c r="Y37"/>
      <c r="Z37"/>
      <c r="AA37"/>
    </row>
    <row r="38" spans="1:27" s="10" customFormat="1" ht="21" hidden="1" customHeight="1" x14ac:dyDescent="0.2">
      <c r="A38" s="9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U38"/>
      <c r="V38"/>
      <c r="W38"/>
      <c r="X38"/>
      <c r="Y38"/>
      <c r="Z38"/>
      <c r="AA38"/>
    </row>
    <row r="39" spans="1:27" s="10" customFormat="1" ht="20.25" hidden="1" customHeight="1" collapsed="1" x14ac:dyDescent="0.2">
      <c r="A39" s="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U39"/>
      <c r="V39"/>
      <c r="W39"/>
      <c r="X39"/>
      <c r="Y39"/>
      <c r="Z39"/>
      <c r="AA39"/>
    </row>
    <row r="40" spans="1:27" s="10" customFormat="1" ht="20.25" hidden="1" customHeight="1" collapsed="1" x14ac:dyDescent="0.2">
      <c r="A40" s="9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U40"/>
      <c r="V40"/>
      <c r="W40"/>
      <c r="X40"/>
      <c r="Y40"/>
      <c r="Z40"/>
      <c r="AA40"/>
    </row>
    <row r="41" spans="1:27" s="10" customFormat="1" ht="12.75" customHeight="1" x14ac:dyDescent="0.2">
      <c r="A41" s="9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U41"/>
      <c r="V41"/>
      <c r="W41"/>
      <c r="X41"/>
      <c r="Y41"/>
      <c r="Z41"/>
      <c r="AA41"/>
    </row>
    <row r="42" spans="1:27" s="10" customFormat="1" ht="25.5" customHeight="1" x14ac:dyDescent="0.2">
      <c r="A42" s="9"/>
      <c r="B42"/>
      <c r="C42"/>
      <c r="D42"/>
      <c r="E42" t="s">
        <v>9</v>
      </c>
      <c r="F42"/>
      <c r="G42" s="272">
        <f>SUM(H23:H29)</f>
        <v>88404</v>
      </c>
      <c r="H42"/>
      <c r="I42"/>
      <c r="J42">
        <f>+J41*4</f>
        <v>0</v>
      </c>
      <c r="K42"/>
      <c r="L42"/>
      <c r="M42"/>
      <c r="N42" s="273">
        <f>SUM(N22:N29)</f>
        <v>221384</v>
      </c>
      <c r="O42"/>
      <c r="P42">
        <v>32000</v>
      </c>
      <c r="Q42"/>
      <c r="R42" s="149">
        <f>+N42+G42</f>
        <v>309788</v>
      </c>
      <c r="S42"/>
      <c r="U42"/>
      <c r="V42" s="10" t="s">
        <v>55</v>
      </c>
      <c r="W42"/>
      <c r="X42"/>
      <c r="Y42"/>
      <c r="Z42"/>
      <c r="AA42"/>
    </row>
    <row r="43" spans="1:27" s="10" customFormat="1" x14ac:dyDescent="0.2">
      <c r="A43" s="9"/>
      <c r="B43"/>
      <c r="C43"/>
      <c r="D43"/>
      <c r="E43"/>
      <c r="F43"/>
      <c r="G43" t="s">
        <v>56</v>
      </c>
      <c r="H43" t="s">
        <v>6</v>
      </c>
      <c r="I43" t="s">
        <v>57</v>
      </c>
      <c r="J43"/>
      <c r="K43"/>
      <c r="L43"/>
      <c r="M43" t="s">
        <v>58</v>
      </c>
      <c r="N43" t="s">
        <v>59</v>
      </c>
      <c r="O43" t="s">
        <v>59</v>
      </c>
      <c r="P43" t="s">
        <v>57</v>
      </c>
      <c r="Q43"/>
      <c r="R43"/>
      <c r="S43"/>
      <c r="U43"/>
      <c r="V43"/>
      <c r="W43"/>
      <c r="X43"/>
      <c r="Y43"/>
      <c r="Z43"/>
      <c r="AA43"/>
    </row>
    <row r="44" spans="1:27" s="10" customFormat="1" ht="48.75" customHeight="1" x14ac:dyDescent="0.25">
      <c r="A44" s="9"/>
      <c r="B44"/>
      <c r="C44"/>
      <c r="D44"/>
      <c r="E44" s="136" t="s">
        <v>11</v>
      </c>
      <c r="F44" s="149">
        <f>SUM(H21:H27)</f>
        <v>78996</v>
      </c>
      <c r="G44">
        <v>33000</v>
      </c>
      <c r="H44">
        <f>G44/12</f>
        <v>2750</v>
      </c>
      <c r="I44">
        <f>F44/H44</f>
        <v>28.72581818181818</v>
      </c>
      <c r="J44"/>
      <c r="K44"/>
      <c r="L44" s="136" t="s">
        <v>11</v>
      </c>
      <c r="M44" s="149">
        <f>SUM(N14:N28)</f>
        <v>282244</v>
      </c>
      <c r="N44">
        <v>60000</v>
      </c>
      <c r="O44">
        <f>N44/12</f>
        <v>5000</v>
      </c>
      <c r="P44">
        <f>M44/O44</f>
        <v>56.448799999999999</v>
      </c>
      <c r="Q44"/>
      <c r="R44"/>
      <c r="S44"/>
      <c r="T44"/>
      <c r="U44"/>
    </row>
    <row r="45" spans="1:27" s="10" customFormat="1" ht="21.75" customHeight="1" x14ac:dyDescent="0.25">
      <c r="A45" s="9"/>
      <c r="B45"/>
      <c r="C45"/>
      <c r="D45"/>
      <c r="E45" s="261" t="s">
        <v>22</v>
      </c>
      <c r="F45" s="149">
        <f>SUM(H9:H16,H27:H29)</f>
        <v>139050</v>
      </c>
      <c r="G45">
        <v>34000</v>
      </c>
      <c r="H45">
        <f>G45/12</f>
        <v>2833.3333333333335</v>
      </c>
      <c r="I45">
        <f>F45/H45</f>
        <v>49.076470588235289</v>
      </c>
      <c r="J45"/>
      <c r="K45"/>
      <c r="L45" s="255" t="s">
        <v>21</v>
      </c>
      <c r="M45" s="149"/>
      <c r="N45">
        <v>55000</v>
      </c>
      <c r="O45">
        <f t="shared" ref="O45:O46" si="38">N45/12</f>
        <v>4583.333333333333</v>
      </c>
      <c r="P45">
        <f t="shared" ref="P45:P46" si="39">M45/O45</f>
        <v>0</v>
      </c>
      <c r="Q45"/>
      <c r="R45"/>
      <c r="S45"/>
      <c r="T45"/>
      <c r="U45"/>
    </row>
    <row r="46" spans="1:27" s="10" customFormat="1" ht="21.75" customHeight="1" x14ac:dyDescent="0.25">
      <c r="A46" s="9"/>
      <c r="B46"/>
      <c r="C46"/>
      <c r="D46"/>
      <c r="E46"/>
      <c r="F46" s="149"/>
      <c r="G46"/>
      <c r="H46"/>
      <c r="I46">
        <f>SUM(I44:I45)</f>
        <v>77.802288770053465</v>
      </c>
      <c r="J46"/>
      <c r="K46"/>
      <c r="L46" s="145" t="s">
        <v>23</v>
      </c>
      <c r="M46" s="149">
        <f>SUM(N29,N9:N13)</f>
        <v>159798</v>
      </c>
      <c r="N46">
        <v>60000</v>
      </c>
      <c r="O46">
        <f t="shared" si="38"/>
        <v>5000</v>
      </c>
      <c r="P46">
        <f t="shared" si="39"/>
        <v>31.959599999999998</v>
      </c>
      <c r="Q46"/>
      <c r="R46" t="s">
        <v>60</v>
      </c>
      <c r="S46"/>
      <c r="T46"/>
      <c r="U46"/>
    </row>
    <row r="47" spans="1:27" s="10" customFormat="1" ht="21.75" customHeight="1" x14ac:dyDescent="0.2">
      <c r="A47" s="9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>
        <f>SUM(P44:P46)</f>
        <v>88.4084</v>
      </c>
      <c r="Q47"/>
      <c r="R47">
        <f>P47+I46</f>
        <v>166.21068877005348</v>
      </c>
      <c r="S47"/>
      <c r="T47"/>
      <c r="U47"/>
    </row>
    <row r="48" spans="1:27" s="10" customFormat="1" ht="21.75" customHeight="1" x14ac:dyDescent="0.2">
      <c r="A48" s="9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s="18"/>
    </row>
    <row r="49" spans="1:68" s="10" customFormat="1" ht="24" customHeight="1" x14ac:dyDescent="0.2">
      <c r="A49" s="9"/>
      <c r="B49"/>
      <c r="C49"/>
      <c r="D49"/>
      <c r="E49" t="s">
        <v>61</v>
      </c>
      <c r="F49" s="268" t="s">
        <v>82</v>
      </c>
      <c r="G49" s="315">
        <f>F49*8-24</f>
        <v>112</v>
      </c>
      <c r="H49" t="s">
        <v>62</v>
      </c>
      <c r="I49"/>
      <c r="J49"/>
      <c r="K49"/>
      <c r="L49" t="s">
        <v>63</v>
      </c>
      <c r="M49">
        <f>21-4</f>
        <v>17</v>
      </c>
      <c r="N49" t="s">
        <v>61</v>
      </c>
      <c r="O49" s="315">
        <f>(M49*8)-20</f>
        <v>116</v>
      </c>
      <c r="P49"/>
      <c r="Q49"/>
      <c r="R49"/>
      <c r="S49"/>
      <c r="T49"/>
      <c r="U49"/>
    </row>
    <row r="50" spans="1:68" s="10" customFormat="1" ht="7.5" customHeight="1" x14ac:dyDescent="0.2">
      <c r="A50" s="9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68" s="10" customFormat="1" ht="12.6" hidden="1" customHeight="1" x14ac:dyDescent="0.2">
      <c r="A51" s="9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68" s="10" customFormat="1" ht="12.6" hidden="1" customHeight="1" x14ac:dyDescent="0.2">
      <c r="A52" s="9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68" s="10" customFormat="1" ht="12.6" hidden="1" customHeight="1" x14ac:dyDescent="0.2">
      <c r="A53" s="9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68" s="10" customFormat="1" ht="12.6" hidden="1" customHeight="1" x14ac:dyDescent="0.2">
      <c r="A54" s="9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68" s="10" customFormat="1" ht="12.6" hidden="1" customHeight="1" x14ac:dyDescent="0.2">
      <c r="A55" s="9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68" s="10" customFormat="1" ht="27.75" hidden="1" customHeight="1" x14ac:dyDescent="0.2">
      <c r="A56" s="9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68" s="10" customFormat="1" ht="12.75" hidden="1" customHeight="1" x14ac:dyDescent="0.2">
      <c r="A57" s="9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68" s="10" customFormat="1" ht="30.75" hidden="1" customHeight="1" x14ac:dyDescent="0.2">
      <c r="A58" s="9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68" s="10" customFormat="1" x14ac:dyDescent="0.2">
      <c r="A59" s="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64" t="s">
        <v>64</v>
      </c>
      <c r="S59"/>
    </row>
    <row r="60" spans="1:68" s="60" customFormat="1" x14ac:dyDescent="0.2">
      <c r="A60" s="59"/>
      <c r="B60"/>
      <c r="C60"/>
      <c r="D60"/>
      <c r="E60" s="262" t="s">
        <v>65</v>
      </c>
      <c r="F60" s="262"/>
      <c r="G60" s="266">
        <f>I46/G49</f>
        <v>0.69466329258976312</v>
      </c>
      <c r="H60" s="267">
        <v>0.69</v>
      </c>
      <c r="I60"/>
      <c r="J60"/>
      <c r="K60"/>
      <c r="L60"/>
      <c r="M60"/>
      <c r="N60" s="262" t="s">
        <v>66</v>
      </c>
      <c r="O60" s="263">
        <f>P47/O49</f>
        <v>0.76214137931034487</v>
      </c>
      <c r="P60">
        <v>75.58</v>
      </c>
      <c r="R60" s="265">
        <f>R47/(O49+G49)</f>
        <v>0.72899424899146259</v>
      </c>
      <c r="S60"/>
    </row>
    <row r="61" spans="1:68" s="60" customFormat="1" ht="15" x14ac:dyDescent="0.2">
      <c r="A61" s="59"/>
      <c r="B61" s="59"/>
      <c r="C61" s="59"/>
      <c r="E61" s="61"/>
      <c r="F61" s="61"/>
      <c r="G61" s="62"/>
      <c r="H61" s="62"/>
      <c r="I61" s="61"/>
      <c r="J61" s="62"/>
      <c r="K61" s="62"/>
      <c r="L61" s="61"/>
      <c r="M61" s="62"/>
      <c r="N61" s="62"/>
      <c r="O61" s="61"/>
      <c r="P61" s="62"/>
      <c r="Q61" s="61"/>
      <c r="R61" s="62"/>
    </row>
    <row r="62" spans="1:68" x14ac:dyDescent="0.2">
      <c r="A62" s="59"/>
      <c r="B62" s="59"/>
      <c r="C62" s="59"/>
      <c r="D62" s="60"/>
      <c r="E62" s="60"/>
      <c r="F62" s="60"/>
      <c r="G62" s="60"/>
      <c r="H62" s="63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</row>
    <row r="63" spans="1:68" x14ac:dyDescent="0.2">
      <c r="A63" s="59"/>
      <c r="B63" s="59"/>
      <c r="C63" s="59"/>
      <c r="D63" s="60"/>
      <c r="E63" s="60"/>
      <c r="F63" s="60"/>
      <c r="G63" s="63"/>
      <c r="H63" s="63"/>
      <c r="I63" s="60"/>
      <c r="J63" s="60"/>
      <c r="K63" s="60"/>
      <c r="L63" s="60"/>
      <c r="M63" s="60"/>
      <c r="N63" s="60"/>
      <c r="O63" s="60"/>
      <c r="P63" s="63"/>
      <c r="Q63" s="60"/>
      <c r="R63" s="197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</row>
    <row r="64" spans="1:68" x14ac:dyDescent="0.2">
      <c r="A64" s="59"/>
      <c r="B64" s="59"/>
      <c r="C64" s="59"/>
      <c r="D64" s="60"/>
      <c r="E64" s="60"/>
      <c r="F64" s="60"/>
      <c r="G64" s="63"/>
      <c r="H64" s="60"/>
      <c r="I64" s="60"/>
      <c r="J64" s="63"/>
      <c r="K64" s="63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</row>
    <row r="65" spans="1:68" x14ac:dyDescent="0.2">
      <c r="A65" s="59"/>
      <c r="B65" s="59"/>
      <c r="C65" s="59"/>
      <c r="D65" s="60"/>
      <c r="E65" s="270" t="s">
        <v>67</v>
      </c>
      <c r="F65" s="60"/>
      <c r="G65" s="63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3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</row>
    <row r="66" spans="1:68" x14ac:dyDescent="0.2">
      <c r="A66" s="59"/>
      <c r="B66" s="59"/>
      <c r="C66" s="59"/>
      <c r="D66" s="60"/>
      <c r="E66" s="270" t="s">
        <v>67</v>
      </c>
      <c r="F66" s="270" t="s">
        <v>68</v>
      </c>
      <c r="G66" s="63"/>
      <c r="H66" s="63"/>
      <c r="I66" s="60"/>
      <c r="J66" s="60"/>
      <c r="K66" s="60"/>
      <c r="L66" s="60"/>
      <c r="M66" s="60"/>
      <c r="N66" s="60"/>
      <c r="O66" s="60"/>
      <c r="P66" s="60"/>
      <c r="Q66" s="60"/>
      <c r="R66" s="63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</row>
    <row r="67" spans="1:68" x14ac:dyDescent="0.2">
      <c r="A67" s="59"/>
      <c r="B67" s="59"/>
      <c r="C67" s="59"/>
      <c r="D67" s="60"/>
      <c r="E67" s="270" t="s">
        <v>67</v>
      </c>
      <c r="F67" s="270" t="s">
        <v>69</v>
      </c>
      <c r="G67" s="63"/>
      <c r="H67" s="63"/>
      <c r="I67" s="60"/>
      <c r="J67" s="60"/>
      <c r="K67" s="60"/>
      <c r="L67" s="60"/>
      <c r="M67" s="60"/>
      <c r="N67" s="60"/>
      <c r="O67" s="60"/>
      <c r="P67" s="60"/>
      <c r="Q67" s="60"/>
      <c r="R67" s="197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</row>
    <row r="68" spans="1:68" x14ac:dyDescent="0.2">
      <c r="A68" s="59"/>
      <c r="B68" s="59"/>
      <c r="C68" s="59"/>
      <c r="D68" s="60"/>
      <c r="E68" s="270" t="s">
        <v>67</v>
      </c>
      <c r="F68" s="270" t="s">
        <v>70</v>
      </c>
      <c r="G68" s="63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</row>
    <row r="70" spans="1:68" x14ac:dyDescent="0.2">
      <c r="E70" s="188"/>
      <c r="G70" s="18"/>
    </row>
    <row r="73" spans="1:68" x14ac:dyDescent="0.2">
      <c r="E73" t="s">
        <v>9</v>
      </c>
      <c r="F73"/>
      <c r="G73"/>
      <c r="H73"/>
      <c r="I73"/>
      <c r="J73"/>
      <c r="K73"/>
      <c r="L73"/>
      <c r="M73"/>
      <c r="N73"/>
      <c r="O73"/>
      <c r="P73"/>
      <c r="Q73"/>
      <c r="R73"/>
      <c r="U73" s="14" t="s">
        <v>71</v>
      </c>
      <c r="Y73" s="10" t="s">
        <v>57</v>
      </c>
    </row>
    <row r="74" spans="1:68" x14ac:dyDescent="0.2">
      <c r="E74"/>
      <c r="F74"/>
      <c r="G74" t="s">
        <v>56</v>
      </c>
      <c r="H74" t="s">
        <v>6</v>
      </c>
      <c r="I74" t="s">
        <v>57</v>
      </c>
      <c r="J74"/>
      <c r="K74"/>
      <c r="L74"/>
      <c r="M74" t="s">
        <v>58</v>
      </c>
      <c r="N74" t="s">
        <v>59</v>
      </c>
      <c r="O74" t="s">
        <v>59</v>
      </c>
      <c r="P74" t="s">
        <v>57</v>
      </c>
      <c r="Q74"/>
      <c r="R74"/>
      <c r="U74" s="10" t="s">
        <v>72</v>
      </c>
      <c r="V74" s="10">
        <v>8000</v>
      </c>
      <c r="W74" s="10">
        <f>V74*6</f>
        <v>48000</v>
      </c>
      <c r="X74" s="269">
        <v>5400</v>
      </c>
      <c r="Y74" s="10">
        <f>W74/X74</f>
        <v>8.8888888888888893</v>
      </c>
    </row>
    <row r="75" spans="1:68" ht="15" x14ac:dyDescent="0.25">
      <c r="E75" s="136" t="s">
        <v>11</v>
      </c>
      <c r="F75" s="149">
        <f>SUM(E23:E29)</f>
        <v>106500</v>
      </c>
      <c r="G75">
        <v>33000</v>
      </c>
      <c r="H75">
        <f>G75/12</f>
        <v>2750</v>
      </c>
      <c r="I75">
        <f>F75/H75</f>
        <v>38.727272727272727</v>
      </c>
      <c r="J75"/>
      <c r="K75"/>
      <c r="L75" s="136" t="s">
        <v>11</v>
      </c>
      <c r="M75" s="149">
        <f>SUM(K22:K29)</f>
        <v>225000</v>
      </c>
      <c r="N75">
        <v>60000</v>
      </c>
      <c r="O75">
        <f>N75/12</f>
        <v>5000</v>
      </c>
      <c r="P75">
        <f>M75/O75</f>
        <v>45</v>
      </c>
      <c r="Q75"/>
      <c r="R75"/>
      <c r="U75" s="10" t="s">
        <v>73</v>
      </c>
      <c r="V75" s="10">
        <v>4000</v>
      </c>
      <c r="W75" s="10">
        <f>V75*6</f>
        <v>24000</v>
      </c>
      <c r="X75" s="269">
        <v>6000</v>
      </c>
      <c r="Y75" s="10">
        <f t="shared" ref="Y75:Y76" si="40">W75/X75</f>
        <v>4</v>
      </c>
    </row>
    <row r="76" spans="1:68" ht="15" x14ac:dyDescent="0.25">
      <c r="E76" s="261" t="s">
        <v>22</v>
      </c>
      <c r="F76" s="149">
        <f>SUM(E21:E22)</f>
        <v>33000</v>
      </c>
      <c r="G76">
        <v>34000</v>
      </c>
      <c r="H76">
        <f>G76/12</f>
        <v>2833.3333333333335</v>
      </c>
      <c r="I76">
        <f>F76/H76</f>
        <v>11.647058823529411</v>
      </c>
      <c r="J76"/>
      <c r="K76"/>
      <c r="L76" s="255" t="s">
        <v>21</v>
      </c>
      <c r="M76" s="149">
        <v>0</v>
      </c>
      <c r="N76">
        <v>55000</v>
      </c>
      <c r="O76">
        <f t="shared" ref="O76:O77" si="41">N76/12</f>
        <v>4583.333333333333</v>
      </c>
      <c r="P76">
        <f t="shared" ref="P76:P77" si="42">M76/O76</f>
        <v>0</v>
      </c>
      <c r="Q76"/>
      <c r="R76"/>
      <c r="U76" s="10" t="s">
        <v>74</v>
      </c>
      <c r="V76" s="10">
        <v>1984</v>
      </c>
      <c r="W76" s="10">
        <f>V76*15</f>
        <v>29760</v>
      </c>
      <c r="X76" s="269">
        <v>12600</v>
      </c>
      <c r="Y76" s="10">
        <f t="shared" si="40"/>
        <v>2.361904761904762</v>
      </c>
    </row>
    <row r="77" spans="1:68" ht="15" x14ac:dyDescent="0.25">
      <c r="E77"/>
      <c r="F77"/>
      <c r="G77"/>
      <c r="H77"/>
      <c r="I77">
        <f>SUM(I75:I76)</f>
        <v>50.37433155080214</v>
      </c>
      <c r="J77"/>
      <c r="K77"/>
      <c r="L77" s="145" t="s">
        <v>23</v>
      </c>
      <c r="M77" s="149">
        <f>SUM(K20:K21)</f>
        <v>30000</v>
      </c>
      <c r="N77">
        <v>60000</v>
      </c>
      <c r="O77">
        <f t="shared" si="41"/>
        <v>5000</v>
      </c>
      <c r="P77">
        <f t="shared" si="42"/>
        <v>6</v>
      </c>
      <c r="Q77"/>
      <c r="R77" t="s">
        <v>60</v>
      </c>
      <c r="Y77" s="10">
        <f>SUM(Y74:Y76)</f>
        <v>15.250793650793652</v>
      </c>
    </row>
    <row r="78" spans="1:68" x14ac:dyDescent="0.2">
      <c r="E78"/>
      <c r="F78"/>
      <c r="G78"/>
      <c r="H78"/>
      <c r="I78"/>
      <c r="J78"/>
      <c r="K78"/>
      <c r="L78"/>
      <c r="M78"/>
      <c r="N78"/>
      <c r="O78"/>
      <c r="P78">
        <f>SUM(P75:P77)</f>
        <v>51</v>
      </c>
      <c r="Q78"/>
      <c r="R78">
        <f>P78+I77</f>
        <v>101.37433155080214</v>
      </c>
    </row>
    <row r="96" spans="5:5" x14ac:dyDescent="0.2">
      <c r="E96" s="188" t="s">
        <v>75</v>
      </c>
    </row>
    <row r="97" spans="5:18" x14ac:dyDescent="0.2">
      <c r="E97" s="188" t="s">
        <v>9</v>
      </c>
      <c r="G97" s="10">
        <f t="shared" ref="G97:P97" si="43">+G45*12</f>
        <v>408000</v>
      </c>
      <c r="H97" s="10">
        <f t="shared" si="43"/>
        <v>34000</v>
      </c>
      <c r="I97" s="10">
        <f t="shared" si="43"/>
        <v>588.91764705882349</v>
      </c>
      <c r="J97" s="10">
        <f t="shared" si="43"/>
        <v>0</v>
      </c>
      <c r="K97" s="10">
        <f t="shared" si="43"/>
        <v>0</v>
      </c>
      <c r="L97" s="10" t="e">
        <f t="shared" si="43"/>
        <v>#VALUE!</v>
      </c>
      <c r="M97" s="10">
        <f t="shared" si="43"/>
        <v>0</v>
      </c>
      <c r="N97" s="10">
        <f t="shared" si="43"/>
        <v>660000</v>
      </c>
      <c r="O97" s="10">
        <f t="shared" si="43"/>
        <v>55000</v>
      </c>
      <c r="P97" s="10">
        <f t="shared" si="43"/>
        <v>0</v>
      </c>
      <c r="R97" s="10" t="e">
        <f>SUM(G97:P97)</f>
        <v>#VALUE!</v>
      </c>
    </row>
    <row r="98" spans="5:18" x14ac:dyDescent="0.2">
      <c r="E98" s="188" t="s">
        <v>27</v>
      </c>
      <c r="G98" s="10">
        <f t="shared" ref="G98:P98" si="44">+G47*12</f>
        <v>0</v>
      </c>
      <c r="H98" s="10">
        <f t="shared" si="44"/>
        <v>0</v>
      </c>
      <c r="I98" s="10">
        <f t="shared" si="44"/>
        <v>0</v>
      </c>
      <c r="J98" s="10">
        <f t="shared" si="44"/>
        <v>0</v>
      </c>
      <c r="K98" s="10">
        <f t="shared" si="44"/>
        <v>0</v>
      </c>
      <c r="L98" s="10">
        <f t="shared" si="44"/>
        <v>0</v>
      </c>
      <c r="M98" s="10">
        <f t="shared" si="44"/>
        <v>0</v>
      </c>
      <c r="N98" s="10">
        <f t="shared" si="44"/>
        <v>0</v>
      </c>
      <c r="O98" s="10">
        <f t="shared" si="44"/>
        <v>0</v>
      </c>
      <c r="P98" s="10">
        <f t="shared" si="44"/>
        <v>1060.9007999999999</v>
      </c>
      <c r="R98" s="10">
        <f>SUM(G98:P98)</f>
        <v>1060.9007999999999</v>
      </c>
    </row>
    <row r="99" spans="5:18" x14ac:dyDescent="0.2">
      <c r="R99" s="10" t="e">
        <f>+R97+R98</f>
        <v>#VALUE!</v>
      </c>
    </row>
    <row r="100" spans="5:18" x14ac:dyDescent="0.2">
      <c r="R100" s="18">
        <v>-6276000</v>
      </c>
    </row>
  </sheetData>
  <mergeCells count="5">
    <mergeCell ref="B1:P1"/>
    <mergeCell ref="B7:B8"/>
    <mergeCell ref="C7:C8"/>
    <mergeCell ref="E7:J7"/>
    <mergeCell ref="K7:P7"/>
  </mergeCells>
  <dataValidations count="1">
    <dataValidation type="list" allowBlank="1" showInputMessage="1" showErrorMessage="1" sqref="D9:D29" xr:uid="{46B2C37A-7075-48AE-BC55-4090D571C2A9}">
      <formula1>#REF!</formula1>
    </dataValidation>
  </dataValidation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585F-0B9D-48F2-9F9A-35EB9FFEAA46}">
  <dimension ref="A2:C16"/>
  <sheetViews>
    <sheetView workbookViewId="0">
      <selection activeCell="L48" sqref="L48"/>
    </sheetView>
  </sheetViews>
  <sheetFormatPr baseColWidth="10" defaultColWidth="9.140625" defaultRowHeight="12.75" x14ac:dyDescent="0.2"/>
  <cols>
    <col min="1" max="1" width="14.85546875" customWidth="1"/>
  </cols>
  <sheetData>
    <row r="2" spans="1:3" x14ac:dyDescent="0.2">
      <c r="B2" t="s">
        <v>9</v>
      </c>
    </row>
    <row r="3" spans="1:3" x14ac:dyDescent="0.2">
      <c r="B3">
        <v>16500</v>
      </c>
    </row>
    <row r="5" spans="1:3" x14ac:dyDescent="0.2">
      <c r="B5" t="s">
        <v>84</v>
      </c>
    </row>
    <row r="6" spans="1:3" x14ac:dyDescent="0.2">
      <c r="B6">
        <v>34000</v>
      </c>
    </row>
    <row r="7" spans="1:3" x14ac:dyDescent="0.2">
      <c r="B7">
        <f>+B6/12</f>
        <v>2833.3333333333335</v>
      </c>
    </row>
    <row r="8" spans="1:3" x14ac:dyDescent="0.2">
      <c r="A8" t="s">
        <v>85</v>
      </c>
      <c r="B8">
        <f>B7*8</f>
        <v>22666.666666666668</v>
      </c>
    </row>
    <row r="9" spans="1:3" x14ac:dyDescent="0.2">
      <c r="B9">
        <f>B3/B8</f>
        <v>0.7279411764705882</v>
      </c>
    </row>
    <row r="11" spans="1:3" x14ac:dyDescent="0.2">
      <c r="A11" t="s">
        <v>86</v>
      </c>
      <c r="B11">
        <v>30000</v>
      </c>
    </row>
    <row r="12" spans="1:3" x14ac:dyDescent="0.2">
      <c r="B12">
        <f>B11/12</f>
        <v>2500</v>
      </c>
    </row>
    <row r="13" spans="1:3" x14ac:dyDescent="0.2">
      <c r="B13">
        <f>B12*8</f>
        <v>20000</v>
      </c>
    </row>
    <row r="14" spans="1:3" x14ac:dyDescent="0.2">
      <c r="B14">
        <f>B3/B13</f>
        <v>0.82499999999999996</v>
      </c>
    </row>
    <row r="16" spans="1:3" x14ac:dyDescent="0.2">
      <c r="B16" t="s">
        <v>87</v>
      </c>
      <c r="C16" t="s">
        <v>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2AFB-0999-432B-83CB-A85CE60DB786}">
  <sheetPr codeName="Hoja3">
    <tabColor rgb="FF00B0F0"/>
  </sheetPr>
  <dimension ref="A1:AC216"/>
  <sheetViews>
    <sheetView zoomScale="90" zoomScaleNormal="90" workbookViewId="0">
      <pane xSplit="11" ySplit="9" topLeftCell="N106" activePane="bottomRight" state="frozen"/>
      <selection pane="topRight" activeCell="J1" sqref="J1"/>
      <selection pane="bottomLeft" activeCell="I7" sqref="I7"/>
      <selection pane="bottomRight" activeCell="J1" sqref="J1"/>
    </sheetView>
  </sheetViews>
  <sheetFormatPr baseColWidth="10" defaultColWidth="10.7109375" defaultRowHeight="15" customHeight="1" outlineLevelRow="2" outlineLevelCol="1" x14ac:dyDescent="0.2"/>
  <cols>
    <col min="1" max="1" width="8.85546875" style="619" customWidth="1" outlineLevel="1"/>
    <col min="2" max="2" width="13.5703125" style="619" customWidth="1" outlineLevel="1"/>
    <col min="3" max="4" width="6.5703125" style="619" customWidth="1" outlineLevel="1"/>
    <col min="5" max="5" width="9.7109375" style="619" customWidth="1" outlineLevel="1"/>
    <col min="6" max="6" width="11" style="619" customWidth="1" outlineLevel="1"/>
    <col min="7" max="7" width="9.28515625" style="619" customWidth="1" outlineLevel="1"/>
    <col min="8" max="8" width="9.5703125" style="619" customWidth="1" outlineLevel="1"/>
    <col min="9" max="9" width="10.140625" style="620" customWidth="1" outlineLevel="1"/>
    <col min="10" max="10" width="9.140625" style="619" customWidth="1" outlineLevel="1"/>
    <col min="11" max="11" width="3.5703125" style="619" customWidth="1"/>
    <col min="12" max="12" width="6" style="619" bestFit="1" customWidth="1"/>
    <col min="13" max="13" width="15.5703125" style="619" bestFit="1" customWidth="1"/>
    <col min="14" max="14" width="12.85546875" style="619" bestFit="1" customWidth="1"/>
    <col min="15" max="15" width="13.5703125" style="619" bestFit="1" customWidth="1"/>
    <col min="16" max="16" width="8" style="619" bestFit="1" customWidth="1"/>
    <col min="17" max="17" width="1.5703125" style="619" customWidth="1"/>
    <col min="18" max="18" width="27.5703125" style="626" customWidth="1"/>
    <col min="19" max="19" width="37.140625" style="626" customWidth="1"/>
    <col min="20" max="20" width="30" style="626" bestFit="1" customWidth="1"/>
    <col min="21" max="21" width="3.5703125" style="623" customWidth="1"/>
    <col min="22" max="22" width="23.140625" style="619" customWidth="1"/>
    <col min="23" max="23" width="9.5703125" style="619" bestFit="1" customWidth="1"/>
    <col min="24" max="24" width="12.85546875" style="619" bestFit="1" customWidth="1"/>
    <col min="25" max="25" width="1.5703125" style="619" customWidth="1"/>
    <col min="26" max="26" width="30" style="619" bestFit="1" customWidth="1"/>
    <col min="27" max="27" width="20.42578125" style="619" bestFit="1" customWidth="1"/>
    <col min="28" max="28" width="11" style="619" bestFit="1" customWidth="1"/>
    <col min="29" max="29" width="12.5703125" style="619" bestFit="1" customWidth="1"/>
    <col min="30" max="16384" width="10.7109375" style="619"/>
  </cols>
  <sheetData>
    <row r="1" spans="1:29" ht="17.25" x14ac:dyDescent="0.2">
      <c r="A1" s="948"/>
      <c r="B1" s="948"/>
      <c r="C1" s="948"/>
      <c r="D1" s="948"/>
      <c r="E1" s="948"/>
      <c r="F1" s="948"/>
      <c r="G1" s="948"/>
      <c r="H1" s="948"/>
      <c r="I1" s="949"/>
      <c r="J1" s="948"/>
      <c r="K1" s="948"/>
      <c r="L1" s="810" t="s">
        <v>183</v>
      </c>
      <c r="M1" s="810" t="s">
        <v>184</v>
      </c>
      <c r="N1" s="810">
        <v>1</v>
      </c>
      <c r="O1" s="948"/>
      <c r="P1" s="948"/>
      <c r="Q1" s="948"/>
      <c r="R1" s="532"/>
      <c r="S1" s="532"/>
      <c r="T1" s="532"/>
      <c r="U1" s="950"/>
      <c r="V1" s="948"/>
      <c r="W1" s="948"/>
      <c r="X1" s="948"/>
      <c r="Y1" s="948"/>
      <c r="Z1" s="948"/>
      <c r="AA1" s="948"/>
      <c r="AB1" s="948"/>
      <c r="AC1" s="948"/>
    </row>
    <row r="2" spans="1:29" x14ac:dyDescent="0.2">
      <c r="A2" s="948"/>
      <c r="B2" s="948"/>
      <c r="C2" s="948"/>
      <c r="D2" s="948"/>
      <c r="E2" s="948"/>
      <c r="F2" s="948"/>
      <c r="G2" s="948"/>
      <c r="H2" s="948"/>
      <c r="I2" s="949"/>
      <c r="J2" s="948"/>
      <c r="K2" s="948"/>
      <c r="L2" s="948"/>
      <c r="M2" s="948" t="s">
        <v>185</v>
      </c>
      <c r="N2" s="948">
        <v>31000</v>
      </c>
      <c r="O2" s="948"/>
      <c r="P2" s="948"/>
      <c r="Q2" s="948"/>
      <c r="R2" s="532"/>
      <c r="S2" s="532"/>
      <c r="T2" s="532"/>
      <c r="U2" s="950"/>
      <c r="V2" s="948"/>
      <c r="W2" s="948"/>
      <c r="X2" s="948"/>
      <c r="Y2" s="948"/>
      <c r="Z2" s="948"/>
      <c r="AA2" s="948"/>
      <c r="AB2" s="948"/>
      <c r="AC2" s="948"/>
    </row>
    <row r="3" spans="1:29" x14ac:dyDescent="0.2">
      <c r="A3" s="948"/>
      <c r="B3" s="948"/>
      <c r="C3" s="948"/>
      <c r="D3" s="948"/>
      <c r="E3" s="948"/>
      <c r="F3" s="948"/>
      <c r="G3" s="948"/>
      <c r="H3" s="948"/>
      <c r="I3" s="949"/>
      <c r="J3" s="948"/>
      <c r="K3" s="948"/>
      <c r="L3" s="948"/>
      <c r="M3" s="948" t="s">
        <v>186</v>
      </c>
      <c r="N3" s="948">
        <v>620</v>
      </c>
      <c r="O3" s="948"/>
      <c r="P3" s="948">
        <v>650</v>
      </c>
      <c r="Q3" s="948"/>
      <c r="R3" s="532"/>
      <c r="S3" s="532"/>
      <c r="T3" s="532"/>
      <c r="U3" s="950"/>
      <c r="V3" s="948"/>
      <c r="W3" s="948"/>
      <c r="X3" s="948"/>
      <c r="Y3" s="948"/>
      <c r="Z3" s="948"/>
      <c r="AA3" s="948"/>
      <c r="AB3" s="948"/>
      <c r="AC3" s="948"/>
    </row>
    <row r="4" spans="1:29" x14ac:dyDescent="0.2">
      <c r="A4" s="948"/>
      <c r="B4" s="948"/>
      <c r="C4" s="948"/>
      <c r="D4" s="948"/>
      <c r="E4" s="948"/>
      <c r="F4" s="948"/>
      <c r="G4" s="948"/>
      <c r="H4" s="948"/>
      <c r="I4" s="949"/>
      <c r="J4" s="948"/>
      <c r="K4" s="948"/>
      <c r="L4" s="948"/>
      <c r="M4" s="948">
        <f>N3*N2/100000</f>
        <v>192.2</v>
      </c>
      <c r="N4" s="951" t="s">
        <v>187</v>
      </c>
      <c r="O4" s="948"/>
      <c r="P4" s="948">
        <f>P3*N2/100000</f>
        <v>201.5</v>
      </c>
      <c r="Q4" s="948"/>
      <c r="R4" s="532"/>
      <c r="S4" s="532"/>
      <c r="T4" s="532"/>
      <c r="U4" s="950"/>
      <c r="V4" s="948"/>
      <c r="W4" s="948"/>
      <c r="X4" s="948"/>
      <c r="Y4" s="948"/>
      <c r="Z4" s="948"/>
      <c r="AA4" s="948"/>
      <c r="AB4" s="948"/>
      <c r="AC4" s="948"/>
    </row>
    <row r="5" spans="1:29" x14ac:dyDescent="0.2">
      <c r="A5" s="948"/>
      <c r="B5" s="948"/>
      <c r="C5" s="948"/>
      <c r="D5" s="948"/>
      <c r="E5" s="948"/>
      <c r="F5" s="948"/>
      <c r="G5" s="948"/>
      <c r="H5" s="948"/>
      <c r="I5" s="949"/>
      <c r="J5" s="948"/>
      <c r="K5" s="948"/>
      <c r="L5" s="948"/>
      <c r="M5" s="952">
        <v>7</v>
      </c>
      <c r="N5" s="649" t="s">
        <v>188</v>
      </c>
      <c r="O5" s="615"/>
      <c r="P5" s="948"/>
      <c r="Q5" s="948"/>
      <c r="R5" s="532"/>
      <c r="S5" s="532"/>
      <c r="T5" s="532"/>
      <c r="U5" s="950"/>
      <c r="V5" s="948"/>
      <c r="W5" s="948"/>
      <c r="X5" s="948"/>
      <c r="Y5" s="948"/>
      <c r="Z5" s="948"/>
      <c r="AA5" s="948"/>
      <c r="AB5" s="948"/>
      <c r="AC5" s="948"/>
    </row>
    <row r="6" spans="1:29" x14ac:dyDescent="0.2">
      <c r="A6" s="948"/>
      <c r="B6" s="948"/>
      <c r="C6" s="948"/>
      <c r="D6" s="948"/>
      <c r="E6" s="948"/>
      <c r="F6" s="948"/>
      <c r="G6" s="948"/>
      <c r="H6" s="948"/>
      <c r="I6" s="949"/>
      <c r="J6" s="948"/>
      <c r="K6" s="948"/>
      <c r="L6" s="948"/>
      <c r="M6" s="953">
        <f>M4*M5*100000/(N3*12)</f>
        <v>18083.333333333332</v>
      </c>
      <c r="N6" s="649" t="s">
        <v>189</v>
      </c>
      <c r="O6" s="953"/>
      <c r="P6" s="948"/>
      <c r="Q6" s="948"/>
      <c r="R6" s="532"/>
      <c r="S6" s="532"/>
      <c r="T6" s="532"/>
      <c r="U6" s="950"/>
      <c r="V6" s="948"/>
      <c r="W6" s="948"/>
      <c r="X6" s="948"/>
      <c r="Y6" s="948"/>
      <c r="Z6" s="948"/>
      <c r="AA6" s="948"/>
      <c r="AB6" s="948"/>
      <c r="AC6" s="948"/>
    </row>
    <row r="7" spans="1:29" ht="15" customHeight="1" x14ac:dyDescent="0.2">
      <c r="A7" s="948"/>
      <c r="B7" s="948"/>
      <c r="C7" s="948"/>
      <c r="D7" s="948"/>
      <c r="E7" s="948"/>
      <c r="F7" s="948"/>
      <c r="G7" s="948"/>
      <c r="H7" s="948"/>
      <c r="I7" s="949"/>
      <c r="J7" s="948"/>
      <c r="K7" s="948"/>
      <c r="L7" s="948"/>
      <c r="M7" s="650">
        <v>16500</v>
      </c>
      <c r="N7" s="651">
        <f>+M7/M6</f>
        <v>0.9124423963133641</v>
      </c>
      <c r="O7" s="948"/>
      <c r="P7" s="948"/>
      <c r="Q7" s="948"/>
      <c r="R7" s="532"/>
      <c r="S7" s="532"/>
      <c r="T7" s="532"/>
      <c r="U7" s="950"/>
      <c r="V7" s="948"/>
      <c r="W7" s="948"/>
      <c r="X7" s="948"/>
      <c r="Y7" s="948"/>
      <c r="Z7" s="948"/>
      <c r="AA7" s="948"/>
      <c r="AB7" s="948"/>
      <c r="AC7" s="948"/>
    </row>
    <row r="8" spans="1:29" ht="15" customHeight="1" x14ac:dyDescent="0.2">
      <c r="A8" s="948"/>
      <c r="B8" s="948"/>
      <c r="C8" s="948"/>
      <c r="D8" s="948"/>
      <c r="E8" s="948"/>
      <c r="F8" s="948"/>
      <c r="G8" s="948"/>
      <c r="H8" s="948"/>
      <c r="I8" s="949"/>
      <c r="J8" s="948"/>
      <c r="K8" s="948"/>
      <c r="L8" s="948"/>
      <c r="M8" s="650"/>
      <c r="N8" s="651"/>
      <c r="O8" s="948"/>
      <c r="P8" s="948"/>
      <c r="Q8" s="948"/>
      <c r="R8" s="532"/>
      <c r="S8" s="532"/>
      <c r="T8" s="532"/>
      <c r="U8" s="950"/>
      <c r="V8" s="948"/>
      <c r="W8" s="948"/>
      <c r="X8" s="948"/>
      <c r="Y8" s="948"/>
      <c r="Z8" s="948"/>
      <c r="AA8" s="948"/>
      <c r="AB8" s="948"/>
      <c r="AC8" s="948"/>
    </row>
    <row r="9" spans="1:29" s="620" customFormat="1" ht="15.75" thickBot="1" x14ac:dyDescent="0.25">
      <c r="A9" s="523" t="s">
        <v>190</v>
      </c>
      <c r="B9" s="523" t="s">
        <v>2</v>
      </c>
      <c r="C9" s="523" t="s">
        <v>3</v>
      </c>
      <c r="D9" s="613" t="s">
        <v>191</v>
      </c>
      <c r="E9" s="811" t="s">
        <v>192</v>
      </c>
      <c r="F9" s="523" t="s">
        <v>6</v>
      </c>
      <c r="G9" s="523" t="s">
        <v>186</v>
      </c>
      <c r="H9" s="523" t="s">
        <v>193</v>
      </c>
      <c r="I9" s="523" t="s">
        <v>194</v>
      </c>
      <c r="J9" s="523" t="s">
        <v>187</v>
      </c>
      <c r="K9" s="949"/>
      <c r="L9" t="s">
        <v>195</v>
      </c>
      <c r="M9" s="613" t="s">
        <v>196</v>
      </c>
      <c r="N9" s="613" t="s">
        <v>191</v>
      </c>
      <c r="O9" s="612" t="s">
        <v>197</v>
      </c>
      <c r="P9" s="954"/>
      <c r="Q9" s="954"/>
      <c r="R9" s="812" t="s">
        <v>198</v>
      </c>
      <c r="S9" s="812" t="s">
        <v>199</v>
      </c>
      <c r="T9" s="813" t="s">
        <v>200</v>
      </c>
      <c r="U9" s="955"/>
      <c r="V9" s="949" t="s">
        <v>201</v>
      </c>
      <c r="W9" s="607" t="s">
        <v>202</v>
      </c>
      <c r="X9" s="607" t="s">
        <v>203</v>
      </c>
      <c r="Y9" s="949"/>
      <c r="Z9" s="949" t="s">
        <v>204</v>
      </c>
      <c r="AA9" s="949" t="s">
        <v>205</v>
      </c>
      <c r="AB9" s="949" t="s">
        <v>206</v>
      </c>
      <c r="AC9" s="949" t="s">
        <v>207</v>
      </c>
    </row>
    <row r="10" spans="1:29" s="621" customFormat="1" ht="16.5" thickBot="1" x14ac:dyDescent="0.25">
      <c r="A10" s="497">
        <f>$A$11</f>
        <v>8</v>
      </c>
      <c r="B10" s="595">
        <f>B11</f>
        <v>46069</v>
      </c>
      <c r="C10" s="593"/>
      <c r="D10" s="814"/>
      <c r="E10" s="593"/>
      <c r="F10" s="587">
        <f>+F11+F20+F29</f>
        <v>49500</v>
      </c>
      <c r="G10" s="587"/>
      <c r="H10" s="594">
        <f>+H11+H20+H29</f>
        <v>3682.7999999999997</v>
      </c>
      <c r="I10" s="593">
        <f>+I11+I20+I29</f>
        <v>21</v>
      </c>
      <c r="J10" s="592">
        <f>+J12+J20+J29</f>
        <v>2981.3142857142861</v>
      </c>
      <c r="K10" s="587"/>
      <c r="L10" s="815"/>
      <c r="M10" s="816">
        <f>SUM(M12:M19,M21:M28,M30:M37)</f>
        <v>3682.8000000000006</v>
      </c>
      <c r="N10" s="814"/>
      <c r="O10" s="817">
        <f>SUM(O12:O19,O21:O28,O30:O37)</f>
        <v>4975.6600000000008</v>
      </c>
      <c r="P10" s="818">
        <f>+O10/M10</f>
        <v>1.3510535462148365</v>
      </c>
      <c r="Q10" s="819"/>
      <c r="R10" s="820"/>
      <c r="S10" s="820"/>
      <c r="T10" s="821"/>
      <c r="U10" s="585"/>
      <c r="V10" s="585"/>
      <c r="W10" s="585"/>
      <c r="X10" s="585"/>
      <c r="Y10" s="585"/>
      <c r="Z10" s="585"/>
      <c r="AA10" s="585"/>
      <c r="AB10" s="585"/>
      <c r="AC10" s="585"/>
    </row>
    <row r="11" spans="1:29" hidden="1" outlineLevel="1" x14ac:dyDescent="0.2">
      <c r="A11" s="606">
        <v>8</v>
      </c>
      <c r="B11" s="584">
        <v>46069</v>
      </c>
      <c r="C11" s="583" t="s">
        <v>208</v>
      </c>
      <c r="D11" s="545"/>
      <c r="E11" s="583"/>
      <c r="F11" s="548">
        <v>16500</v>
      </c>
      <c r="G11" s="548">
        <v>620</v>
      </c>
      <c r="H11" s="547">
        <f>+F11*12*G11/100000</f>
        <v>1227.5999999999999</v>
      </c>
      <c r="I11" s="546">
        <f>IF(F11="","0",SUM(I12:I19))</f>
        <v>7</v>
      </c>
      <c r="J11" s="604">
        <f>SUM(J12:J19)</f>
        <v>1402.9714285714288</v>
      </c>
      <c r="K11" s="545"/>
      <c r="L11" s="652" t="str">
        <f>C11</f>
        <v>T1</v>
      </c>
      <c r="M11" s="582">
        <f>SUM(M12:M19)</f>
        <v>1227.6000000000001</v>
      </c>
      <c r="N11" s="545"/>
      <c r="O11" s="565">
        <f>SUM(O12:O19)</f>
        <v>1042.7800000000002</v>
      </c>
      <c r="P11" s="581">
        <f>+O11/M11</f>
        <v>0.8494460736396221</v>
      </c>
      <c r="Q11" s="526"/>
      <c r="R11" s="578"/>
      <c r="S11" s="578"/>
      <c r="T11" s="822"/>
      <c r="U11" s="568"/>
      <c r="V11" s="956"/>
      <c r="W11" s="957"/>
      <c r="X11" s="957"/>
      <c r="Y11" s="948"/>
      <c r="Z11" s="957"/>
      <c r="AA11" s="957"/>
      <c r="AB11" s="957"/>
      <c r="AC11" s="958"/>
    </row>
    <row r="12" spans="1:29" hidden="1" outlineLevel="2" x14ac:dyDescent="0.2">
      <c r="A12" s="497">
        <f t="shared" ref="A12:A43" si="0">$A$11</f>
        <v>8</v>
      </c>
      <c r="B12" s="524"/>
      <c r="C12" s="523"/>
      <c r="D12" s="959">
        <v>0.33333333333333331</v>
      </c>
      <c r="E12" s="523"/>
      <c r="F12" s="948"/>
      <c r="G12" s="948"/>
      <c r="H12" s="960"/>
      <c r="I12" s="961">
        <v>1</v>
      </c>
      <c r="J12" s="962">
        <f>IF(F11=0,"0",H11/I11)</f>
        <v>175.37142857142857</v>
      </c>
      <c r="K12" s="948"/>
      <c r="L12" s="963">
        <v>0.29166666666666669</v>
      </c>
      <c r="M12" s="642">
        <f t="shared" ref="M12:M19" si="1">IF(N12="","",J12*I12)</f>
        <v>175.37142857142857</v>
      </c>
      <c r="N12" s="959">
        <v>0.33333333333333331</v>
      </c>
      <c r="O12" s="964">
        <v>149.75</v>
      </c>
      <c r="P12" s="643">
        <f t="shared" ref="P12:P19" si="2">IF(N12="","",O12/M12)</f>
        <v>0.8539019224503096</v>
      </c>
      <c r="Q12" s="643"/>
      <c r="R12" s="654" t="s">
        <v>209</v>
      </c>
      <c r="S12" s="823"/>
      <c r="T12" s="824"/>
      <c r="U12" s="568"/>
      <c r="V12" s="965"/>
      <c r="W12" s="948"/>
      <c r="X12" s="948"/>
      <c r="Y12" s="948"/>
      <c r="Z12" s="948"/>
      <c r="AA12" s="948"/>
      <c r="AB12" s="948"/>
      <c r="AC12" s="966"/>
    </row>
    <row r="13" spans="1:29" hidden="1" outlineLevel="2" x14ac:dyDescent="0.2">
      <c r="A13" s="497">
        <f t="shared" si="0"/>
        <v>8</v>
      </c>
      <c r="B13" s="524"/>
      <c r="C13" s="523"/>
      <c r="D13" s="967">
        <v>0.375</v>
      </c>
      <c r="E13" s="523"/>
      <c r="F13" s="948"/>
      <c r="G13" s="948"/>
      <c r="H13" s="960"/>
      <c r="I13" s="961">
        <v>0.5</v>
      </c>
      <c r="J13" s="962">
        <f>IF(F11=0,"0",H11/I11)</f>
        <v>175.37142857142857</v>
      </c>
      <c r="K13" s="948"/>
      <c r="L13" s="968">
        <f t="shared" ref="L13:L19" si="3">N12</f>
        <v>0.33333333333333331</v>
      </c>
      <c r="M13" s="529">
        <f t="shared" si="1"/>
        <v>87.685714285714283</v>
      </c>
      <c r="N13" s="967">
        <v>0.375</v>
      </c>
      <c r="O13" s="969">
        <v>66.98</v>
      </c>
      <c r="P13" s="526">
        <f t="shared" si="2"/>
        <v>0.76386445096122524</v>
      </c>
      <c r="Q13" s="526"/>
      <c r="R13" s="578"/>
      <c r="S13" s="578"/>
      <c r="T13" s="822"/>
      <c r="U13" s="568"/>
      <c r="V13" s="965"/>
      <c r="W13" s="948"/>
      <c r="X13" s="948"/>
      <c r="Y13" s="948"/>
      <c r="Z13" s="948"/>
      <c r="AA13" s="948"/>
      <c r="AB13" s="948"/>
      <c r="AC13" s="966"/>
    </row>
    <row r="14" spans="1:29" hidden="1" outlineLevel="2" x14ac:dyDescent="0.2">
      <c r="A14" s="497">
        <f t="shared" si="0"/>
        <v>8</v>
      </c>
      <c r="B14" s="524"/>
      <c r="C14" s="523"/>
      <c r="D14" s="959">
        <v>0.41666666666666669</v>
      </c>
      <c r="E14" s="523"/>
      <c r="F14" s="948"/>
      <c r="G14" s="948"/>
      <c r="H14" s="960"/>
      <c r="I14" s="961">
        <v>1</v>
      </c>
      <c r="J14" s="962">
        <f>IF(F11=0,"0",H11/I11)</f>
        <v>175.37142857142857</v>
      </c>
      <c r="K14" s="948"/>
      <c r="L14" s="963">
        <f t="shared" si="3"/>
        <v>0.375</v>
      </c>
      <c r="M14" s="642">
        <f t="shared" si="1"/>
        <v>175.37142857142857</v>
      </c>
      <c r="N14" s="959">
        <v>0.41666666666666669</v>
      </c>
      <c r="O14" s="964">
        <v>98.7</v>
      </c>
      <c r="P14" s="643">
        <f t="shared" si="2"/>
        <v>0.56280547409579673</v>
      </c>
      <c r="Q14" s="643"/>
      <c r="R14" s="823"/>
      <c r="S14" s="823"/>
      <c r="T14" s="824"/>
      <c r="U14" s="568"/>
      <c r="V14" s="965"/>
      <c r="W14" s="948"/>
      <c r="X14" s="948"/>
      <c r="Y14" s="948"/>
      <c r="Z14" s="948"/>
      <c r="AA14" s="948"/>
      <c r="AB14" s="948"/>
      <c r="AC14" s="966"/>
    </row>
    <row r="15" spans="1:29" hidden="1" outlineLevel="2" x14ac:dyDescent="0.2">
      <c r="A15" s="497">
        <f t="shared" si="0"/>
        <v>8</v>
      </c>
      <c r="B15" s="524"/>
      <c r="C15" s="523"/>
      <c r="D15" s="967">
        <v>0.45833333333333331</v>
      </c>
      <c r="E15" s="523"/>
      <c r="F15" s="948"/>
      <c r="G15" s="948"/>
      <c r="H15" s="960"/>
      <c r="I15" s="961">
        <v>1</v>
      </c>
      <c r="J15" s="962">
        <f>IF(F11=0,"0",H11/I11)</f>
        <v>175.37142857142857</v>
      </c>
      <c r="K15" s="948"/>
      <c r="L15" s="968">
        <f t="shared" si="3"/>
        <v>0.41666666666666669</v>
      </c>
      <c r="M15" s="529">
        <f t="shared" si="1"/>
        <v>175.37142857142857</v>
      </c>
      <c r="N15" s="967">
        <v>0.45833333333333331</v>
      </c>
      <c r="O15" s="969">
        <v>172.16</v>
      </c>
      <c r="P15" s="526">
        <f t="shared" si="2"/>
        <v>0.9816878462039752</v>
      </c>
      <c r="Q15" s="526"/>
      <c r="R15" s="578"/>
      <c r="S15" s="578"/>
      <c r="T15" s="822"/>
      <c r="U15" s="568"/>
      <c r="V15" s="965"/>
      <c r="W15" s="948"/>
      <c r="X15" s="948"/>
      <c r="Y15" s="948"/>
      <c r="Z15" s="948"/>
      <c r="AA15" s="948"/>
      <c r="AB15" s="948"/>
      <c r="AC15" s="966"/>
    </row>
    <row r="16" spans="1:29" hidden="1" outlineLevel="2" x14ac:dyDescent="0.2">
      <c r="A16" s="497">
        <f t="shared" si="0"/>
        <v>8</v>
      </c>
      <c r="B16" s="524"/>
      <c r="C16" s="523"/>
      <c r="D16" s="959">
        <v>0.5</v>
      </c>
      <c r="E16" s="523"/>
      <c r="F16" s="948"/>
      <c r="G16" s="948"/>
      <c r="H16" s="960"/>
      <c r="I16" s="961">
        <v>1</v>
      </c>
      <c r="J16" s="962">
        <f>IF(F11=0,"0",H11/I11)</f>
        <v>175.37142857142857</v>
      </c>
      <c r="K16" s="948"/>
      <c r="L16" s="963">
        <f t="shared" si="3"/>
        <v>0.45833333333333331</v>
      </c>
      <c r="M16" s="642">
        <f t="shared" si="1"/>
        <v>175.37142857142857</v>
      </c>
      <c r="N16" s="959">
        <v>0.5</v>
      </c>
      <c r="O16" s="964">
        <v>141.30000000000001</v>
      </c>
      <c r="P16" s="643">
        <f t="shared" si="2"/>
        <v>0.80571847507331384</v>
      </c>
      <c r="Q16" s="643"/>
      <c r="R16" s="653" t="s">
        <v>209</v>
      </c>
      <c r="S16" s="823"/>
      <c r="T16" s="824"/>
      <c r="U16" s="568"/>
      <c r="V16" s="965"/>
      <c r="W16" s="948"/>
      <c r="X16" s="948"/>
      <c r="Y16" s="948"/>
      <c r="Z16" s="948"/>
      <c r="AA16" s="948"/>
      <c r="AB16" s="948"/>
      <c r="AC16" s="966"/>
    </row>
    <row r="17" spans="1:29" hidden="1" outlineLevel="2" x14ac:dyDescent="0.2">
      <c r="A17" s="497">
        <f t="shared" si="0"/>
        <v>8</v>
      </c>
      <c r="B17" s="524"/>
      <c r="C17" s="523"/>
      <c r="D17" s="967">
        <v>0.54166666666666663</v>
      </c>
      <c r="E17" s="523"/>
      <c r="F17" s="948"/>
      <c r="G17" s="948"/>
      <c r="H17" s="960"/>
      <c r="I17" s="961">
        <v>0.5</v>
      </c>
      <c r="J17" s="962">
        <f>IF(F11=0,"0",H11/I11)</f>
        <v>175.37142857142857</v>
      </c>
      <c r="K17" s="948"/>
      <c r="L17" s="968">
        <f t="shared" si="3"/>
        <v>0.5</v>
      </c>
      <c r="M17" s="529">
        <f t="shared" si="1"/>
        <v>87.685714285714283</v>
      </c>
      <c r="N17" s="967">
        <v>0.54166666666666663</v>
      </c>
      <c r="O17" s="969">
        <v>141.58000000000001</v>
      </c>
      <c r="P17" s="526">
        <f t="shared" si="2"/>
        <v>1.614630172694689</v>
      </c>
      <c r="Q17" s="526"/>
      <c r="R17" s="825"/>
      <c r="S17" s="578"/>
      <c r="T17" s="822"/>
      <c r="U17" s="568"/>
      <c r="V17" s="965"/>
      <c r="W17" s="948"/>
      <c r="X17" s="948"/>
      <c r="Y17" s="948"/>
      <c r="Z17" s="948"/>
      <c r="AA17" s="948"/>
      <c r="AB17" s="948"/>
      <c r="AC17" s="966"/>
    </row>
    <row r="18" spans="1:29" hidden="1" outlineLevel="2" x14ac:dyDescent="0.2">
      <c r="A18" s="497">
        <f t="shared" si="0"/>
        <v>8</v>
      </c>
      <c r="B18" s="524"/>
      <c r="C18" s="523"/>
      <c r="D18" s="959">
        <v>0.58333333333333337</v>
      </c>
      <c r="E18" s="523"/>
      <c r="F18" s="948"/>
      <c r="G18" s="948"/>
      <c r="H18" s="960"/>
      <c r="I18" s="961">
        <v>1</v>
      </c>
      <c r="J18" s="962">
        <f>IF(F11=0,"0",H11/I11)</f>
        <v>175.37142857142857</v>
      </c>
      <c r="K18" s="948"/>
      <c r="L18" s="963">
        <f t="shared" si="3"/>
        <v>0.54166666666666663</v>
      </c>
      <c r="M18" s="642">
        <f t="shared" si="1"/>
        <v>175.37142857142857</v>
      </c>
      <c r="N18" s="959">
        <v>0.58333333333333337</v>
      </c>
      <c r="O18" s="964">
        <v>154.81</v>
      </c>
      <c r="P18" s="643">
        <f t="shared" si="2"/>
        <v>0.88275496904529172</v>
      </c>
      <c r="Q18" s="643"/>
      <c r="R18" s="823"/>
      <c r="S18" s="823"/>
      <c r="T18" s="824"/>
      <c r="U18" s="568"/>
      <c r="V18" s="965"/>
      <c r="W18" s="948"/>
      <c r="X18" s="948"/>
      <c r="Y18" s="948"/>
      <c r="Z18" s="948"/>
      <c r="AA18" s="948"/>
      <c r="AB18" s="948"/>
      <c r="AC18" s="966"/>
    </row>
    <row r="19" spans="1:29" hidden="1" outlineLevel="2" x14ac:dyDescent="0.2">
      <c r="A19" s="497">
        <f t="shared" si="0"/>
        <v>8</v>
      </c>
      <c r="B19" s="524"/>
      <c r="C19" s="523"/>
      <c r="D19" s="970">
        <v>0.625</v>
      </c>
      <c r="E19" s="523"/>
      <c r="F19" s="948"/>
      <c r="G19" s="948"/>
      <c r="H19" s="960"/>
      <c r="I19" s="961">
        <v>1</v>
      </c>
      <c r="J19" s="962">
        <f>IF(F11=0,"0",H11/I11)</f>
        <v>175.37142857142857</v>
      </c>
      <c r="K19" s="948"/>
      <c r="L19" s="971">
        <f t="shared" si="3"/>
        <v>0.58333333333333337</v>
      </c>
      <c r="M19" s="529">
        <f t="shared" si="1"/>
        <v>175.37142857142857</v>
      </c>
      <c r="N19" s="970">
        <v>0.625</v>
      </c>
      <c r="O19" s="972">
        <v>117.5</v>
      </c>
      <c r="P19" s="503">
        <f t="shared" si="2"/>
        <v>0.67000651678071033</v>
      </c>
      <c r="Q19" s="503"/>
      <c r="R19" s="571"/>
      <c r="S19" s="571"/>
      <c r="T19" s="826"/>
      <c r="U19" s="568"/>
      <c r="V19" s="973"/>
      <c r="W19" s="974"/>
      <c r="X19" s="974"/>
      <c r="Y19" s="948"/>
      <c r="Z19" s="974"/>
      <c r="AA19" s="974"/>
      <c r="AB19" s="974"/>
      <c r="AC19" s="975"/>
    </row>
    <row r="20" spans="1:29" s="622" customFormat="1" hidden="1" outlineLevel="1" collapsed="1" x14ac:dyDescent="0.2">
      <c r="A20" s="497">
        <f t="shared" si="0"/>
        <v>8</v>
      </c>
      <c r="B20" s="551">
        <f>B11</f>
        <v>46069</v>
      </c>
      <c r="C20" s="550" t="s">
        <v>210</v>
      </c>
      <c r="D20" s="563"/>
      <c r="E20" s="550"/>
      <c r="F20" s="549">
        <v>16500</v>
      </c>
      <c r="G20" s="548">
        <v>620</v>
      </c>
      <c r="H20" s="547">
        <f>+F20*12*G20/100000</f>
        <v>1227.5999999999999</v>
      </c>
      <c r="I20" s="546">
        <f>IF(F20="","0",SUM(I21:I28))</f>
        <v>7</v>
      </c>
      <c r="J20" s="604">
        <f>SUM(J21:J28)</f>
        <v>1402.9714285714288</v>
      </c>
      <c r="K20" s="545"/>
      <c r="L20" s="827" t="str">
        <f>C20</f>
        <v>T2</v>
      </c>
      <c r="M20" s="566">
        <f>IF(O20=0,"0",SUM(M21:M28))</f>
        <v>1227.6000000000001</v>
      </c>
      <c r="N20" s="563"/>
      <c r="O20" s="565">
        <f>SUM(O21:O28)</f>
        <v>1954.6100000000001</v>
      </c>
      <c r="P20" s="564">
        <f>+O20/M20</f>
        <v>1.5922205930270446</v>
      </c>
      <c r="Q20" s="563"/>
      <c r="R20" s="828"/>
      <c r="S20" s="828"/>
      <c r="T20" s="829"/>
      <c r="U20" s="536"/>
      <c r="V20" s="948"/>
      <c r="W20" s="948"/>
      <c r="X20" s="948"/>
      <c r="Y20" s="948"/>
      <c r="Z20" s="948"/>
      <c r="AA20" s="948"/>
      <c r="AB20" s="948"/>
      <c r="AC20" s="976"/>
    </row>
    <row r="21" spans="1:29" s="623" customFormat="1" hidden="1" outlineLevel="2" x14ac:dyDescent="0.2">
      <c r="A21" s="497">
        <f t="shared" si="0"/>
        <v>8</v>
      </c>
      <c r="B21" s="524"/>
      <c r="C21" s="523"/>
      <c r="D21" s="967">
        <v>0.66666666666666663</v>
      </c>
      <c r="E21" s="523"/>
      <c r="F21" s="948"/>
      <c r="G21" s="948"/>
      <c r="H21" s="960"/>
      <c r="I21" s="961">
        <v>1</v>
      </c>
      <c r="J21" s="962">
        <f>IF(F20=0,"0",H20/I20)</f>
        <v>175.37142857142857</v>
      </c>
      <c r="K21" s="948"/>
      <c r="L21" s="968">
        <v>0.625</v>
      </c>
      <c r="M21" s="529">
        <f t="shared" ref="M21:M28" si="4">IF(N21="","",J21*I21)</f>
        <v>175.37142857142857</v>
      </c>
      <c r="N21" s="967">
        <v>0.66666666666666663</v>
      </c>
      <c r="O21" s="969">
        <v>272.57</v>
      </c>
      <c r="P21" s="526">
        <f t="shared" ref="P21:P28" si="5">IF(N21="","",O21/M21)</f>
        <v>1.5542440534376019</v>
      </c>
      <c r="Q21" s="948"/>
      <c r="R21" s="629"/>
      <c r="S21" s="532"/>
      <c r="T21" s="830"/>
      <c r="U21" s="950"/>
      <c r="V21" s="956"/>
      <c r="W21" s="957"/>
      <c r="X21" s="957"/>
      <c r="Y21" s="948"/>
      <c r="Z21" s="957"/>
      <c r="AA21" s="957"/>
      <c r="AB21" s="957"/>
      <c r="AC21" s="958"/>
    </row>
    <row r="22" spans="1:29" s="623" customFormat="1" hidden="1" outlineLevel="2" x14ac:dyDescent="0.2">
      <c r="A22" s="497">
        <f t="shared" si="0"/>
        <v>8</v>
      </c>
      <c r="B22" s="524"/>
      <c r="C22" s="523"/>
      <c r="D22" s="959">
        <v>0.70833333333333337</v>
      </c>
      <c r="E22" s="523"/>
      <c r="F22" s="948"/>
      <c r="G22" s="948"/>
      <c r="H22" s="960"/>
      <c r="I22" s="961">
        <v>0.5</v>
      </c>
      <c r="J22" s="962">
        <f>IF(F20=0,"0",H20/I20)</f>
        <v>175.37142857142857</v>
      </c>
      <c r="K22" s="948"/>
      <c r="L22" s="963">
        <f t="shared" ref="L22:L28" si="6">N21</f>
        <v>0.66666666666666663</v>
      </c>
      <c r="M22" s="642">
        <f t="shared" si="4"/>
        <v>87.685714285714283</v>
      </c>
      <c r="N22" s="959">
        <v>0.70833333333333337</v>
      </c>
      <c r="O22" s="964">
        <v>295.10000000000002</v>
      </c>
      <c r="P22" s="643">
        <f t="shared" si="5"/>
        <v>3.3654284783317046</v>
      </c>
      <c r="Q22" s="964"/>
      <c r="R22" s="831"/>
      <c r="S22" s="832"/>
      <c r="T22" s="833"/>
      <c r="U22" s="950"/>
      <c r="V22" s="965"/>
      <c r="W22" s="948"/>
      <c r="X22" s="948"/>
      <c r="Y22" s="948"/>
      <c r="Z22" s="948"/>
      <c r="AA22" s="948"/>
      <c r="AB22" s="948"/>
      <c r="AC22" s="966"/>
    </row>
    <row r="23" spans="1:29" s="623" customFormat="1" hidden="1" outlineLevel="2" x14ac:dyDescent="0.2">
      <c r="A23" s="497">
        <f t="shared" si="0"/>
        <v>8</v>
      </c>
      <c r="B23" s="524"/>
      <c r="C23" s="523"/>
      <c r="D23" s="967">
        <v>0.75</v>
      </c>
      <c r="E23" s="523"/>
      <c r="F23" s="948"/>
      <c r="G23" s="948"/>
      <c r="H23" s="960"/>
      <c r="I23" s="961">
        <v>1</v>
      </c>
      <c r="J23" s="962">
        <f>IF(F20=0,"0",H20/I20)</f>
        <v>175.37142857142857</v>
      </c>
      <c r="K23" s="948"/>
      <c r="L23" s="968">
        <f t="shared" si="6"/>
        <v>0.70833333333333337</v>
      </c>
      <c r="M23" s="529">
        <f t="shared" si="4"/>
        <v>175.37142857142857</v>
      </c>
      <c r="N23" s="967">
        <v>0.75</v>
      </c>
      <c r="O23" s="969">
        <v>154.02000000000001</v>
      </c>
      <c r="P23" s="526">
        <f t="shared" si="5"/>
        <v>0.87825024437927668</v>
      </c>
      <c r="Q23" s="948"/>
      <c r="R23" s="532"/>
      <c r="S23" s="532"/>
      <c r="T23" s="830"/>
      <c r="U23" s="950"/>
      <c r="V23" s="965"/>
      <c r="W23" s="948"/>
      <c r="X23" s="948"/>
      <c r="Y23" s="948"/>
      <c r="Z23" s="948"/>
      <c r="AA23" s="948"/>
      <c r="AB23" s="948"/>
      <c r="AC23" s="966"/>
    </row>
    <row r="24" spans="1:29" s="623" customFormat="1" hidden="1" outlineLevel="2" x14ac:dyDescent="0.2">
      <c r="A24" s="497">
        <f t="shared" si="0"/>
        <v>8</v>
      </c>
      <c r="B24" s="524"/>
      <c r="C24" s="523"/>
      <c r="D24" s="959">
        <v>0.79166666666666663</v>
      </c>
      <c r="E24" s="523"/>
      <c r="F24" s="948"/>
      <c r="G24" s="948"/>
      <c r="H24" s="960"/>
      <c r="I24" s="961">
        <v>1</v>
      </c>
      <c r="J24" s="962">
        <f>IF(F20=0,"0",H20/I20)</f>
        <v>175.37142857142857</v>
      </c>
      <c r="K24" s="948"/>
      <c r="L24" s="963">
        <f t="shared" si="6"/>
        <v>0.75</v>
      </c>
      <c r="M24" s="642">
        <f t="shared" si="4"/>
        <v>175.37142857142857</v>
      </c>
      <c r="N24" s="959">
        <v>0.79166666666666663</v>
      </c>
      <c r="O24" s="964">
        <v>259.52999999999997</v>
      </c>
      <c r="P24" s="643">
        <f t="shared" si="5"/>
        <v>1.4798875855327467</v>
      </c>
      <c r="Q24" s="964"/>
      <c r="R24" s="834"/>
      <c r="S24" s="832"/>
      <c r="T24" s="833"/>
      <c r="U24" s="950"/>
      <c r="V24" s="965"/>
      <c r="W24" s="948"/>
      <c r="X24" s="948"/>
      <c r="Y24" s="948"/>
      <c r="Z24" s="948"/>
      <c r="AA24" s="948"/>
      <c r="AB24" s="948"/>
      <c r="AC24" s="966"/>
    </row>
    <row r="25" spans="1:29" s="623" customFormat="1" hidden="1" outlineLevel="2" x14ac:dyDescent="0.2">
      <c r="A25" s="497">
        <f t="shared" si="0"/>
        <v>8</v>
      </c>
      <c r="B25" s="524"/>
      <c r="C25" s="523"/>
      <c r="D25" s="967">
        <v>0.83333333333333337</v>
      </c>
      <c r="E25" s="523"/>
      <c r="F25" s="948"/>
      <c r="G25" s="948"/>
      <c r="H25" s="960"/>
      <c r="I25" s="961">
        <v>1</v>
      </c>
      <c r="J25" s="962">
        <f>IF(F20=0,"0",H20/I20)</f>
        <v>175.37142857142857</v>
      </c>
      <c r="K25" s="948"/>
      <c r="L25" s="968">
        <f t="shared" si="6"/>
        <v>0.79166666666666663</v>
      </c>
      <c r="M25" s="529">
        <f t="shared" si="4"/>
        <v>175.37142857142857</v>
      </c>
      <c r="N25" s="967">
        <v>0.83333333333333337</v>
      </c>
      <c r="O25" s="969">
        <v>286.64</v>
      </c>
      <c r="P25" s="526">
        <f t="shared" si="5"/>
        <v>1.6344737699576408</v>
      </c>
      <c r="Q25" s="948"/>
      <c r="R25" s="532"/>
      <c r="S25" s="532"/>
      <c r="T25" s="830"/>
      <c r="U25" s="950"/>
      <c r="V25" s="965"/>
      <c r="W25" s="948"/>
      <c r="X25" s="948"/>
      <c r="Y25" s="948"/>
      <c r="Z25" s="948"/>
      <c r="AA25" s="948"/>
      <c r="AB25" s="948"/>
      <c r="AC25" s="966"/>
    </row>
    <row r="26" spans="1:29" s="623" customFormat="1" hidden="1" outlineLevel="2" x14ac:dyDescent="0.2">
      <c r="A26" s="497">
        <f t="shared" si="0"/>
        <v>8</v>
      </c>
      <c r="B26" s="524"/>
      <c r="C26" s="523"/>
      <c r="D26" s="959">
        <v>0.875</v>
      </c>
      <c r="E26" s="523"/>
      <c r="F26" s="948"/>
      <c r="G26" s="948"/>
      <c r="H26" s="960"/>
      <c r="I26" s="961">
        <v>1</v>
      </c>
      <c r="J26" s="962">
        <f>IF(F20=0,"0",H20/I20)</f>
        <v>175.37142857142857</v>
      </c>
      <c r="K26" s="948"/>
      <c r="L26" s="963">
        <f t="shared" si="6"/>
        <v>0.83333333333333337</v>
      </c>
      <c r="M26" s="642">
        <f t="shared" si="4"/>
        <v>175.37142857142857</v>
      </c>
      <c r="N26" s="959">
        <v>0.875</v>
      </c>
      <c r="O26" s="964">
        <v>209.27</v>
      </c>
      <c r="P26" s="643">
        <f t="shared" si="5"/>
        <v>1.1932958618442491</v>
      </c>
      <c r="Q26" s="964"/>
      <c r="R26" s="832"/>
      <c r="S26" s="832"/>
      <c r="T26" s="833"/>
      <c r="U26" s="950"/>
      <c r="V26" s="965"/>
      <c r="W26" s="948"/>
      <c r="X26" s="948"/>
      <c r="Y26" s="948"/>
      <c r="Z26" s="948"/>
      <c r="AA26" s="948"/>
      <c r="AB26" s="948"/>
      <c r="AC26" s="966"/>
    </row>
    <row r="27" spans="1:29" s="623" customFormat="1" hidden="1" outlineLevel="2" x14ac:dyDescent="0.2">
      <c r="A27" s="497">
        <f t="shared" si="0"/>
        <v>8</v>
      </c>
      <c r="B27" s="524"/>
      <c r="C27" s="523"/>
      <c r="D27" s="967">
        <v>0.91666666666666663</v>
      </c>
      <c r="E27" s="523"/>
      <c r="F27" s="948"/>
      <c r="G27" s="948"/>
      <c r="H27" s="960"/>
      <c r="I27" s="961">
        <v>0.5</v>
      </c>
      <c r="J27" s="962">
        <f>IF(F20=0,"0",H20/I20)</f>
        <v>175.37142857142857</v>
      </c>
      <c r="K27" s="948"/>
      <c r="L27" s="968">
        <f t="shared" si="6"/>
        <v>0.875</v>
      </c>
      <c r="M27" s="529">
        <f t="shared" si="4"/>
        <v>87.685714285714283</v>
      </c>
      <c r="N27" s="967">
        <v>0.91666666666666663</v>
      </c>
      <c r="O27" s="969">
        <v>211.07</v>
      </c>
      <c r="P27" s="526">
        <f t="shared" si="5"/>
        <v>2.4071195829260343</v>
      </c>
      <c r="Q27" s="948"/>
      <c r="R27" s="532"/>
      <c r="S27" s="532"/>
      <c r="T27" s="830"/>
      <c r="U27" s="950"/>
      <c r="V27" s="965"/>
      <c r="W27" s="948"/>
      <c r="X27" s="948"/>
      <c r="Y27" s="948"/>
      <c r="Z27" s="948"/>
      <c r="AA27" s="948"/>
      <c r="AB27" s="948"/>
      <c r="AC27" s="966"/>
    </row>
    <row r="28" spans="1:29" s="623" customFormat="1" hidden="1" outlineLevel="2" x14ac:dyDescent="0.2">
      <c r="A28" s="497">
        <f t="shared" si="0"/>
        <v>8</v>
      </c>
      <c r="B28" s="524"/>
      <c r="C28" s="523"/>
      <c r="D28" s="977">
        <v>0.95833333333333337</v>
      </c>
      <c r="E28" s="523"/>
      <c r="F28" s="948"/>
      <c r="G28" s="948"/>
      <c r="H28" s="960"/>
      <c r="I28" s="961">
        <v>1</v>
      </c>
      <c r="J28" s="962">
        <f>IF(F20=0,"0",H20/I20)</f>
        <v>175.37142857142857</v>
      </c>
      <c r="K28" s="948"/>
      <c r="L28" s="978">
        <f t="shared" si="6"/>
        <v>0.91666666666666663</v>
      </c>
      <c r="M28" s="642">
        <f t="shared" si="4"/>
        <v>175.37142857142857</v>
      </c>
      <c r="N28" s="977">
        <v>0.95833333333333337</v>
      </c>
      <c r="O28" s="979">
        <v>266.41000000000003</v>
      </c>
      <c r="P28" s="641">
        <f t="shared" si="5"/>
        <v>1.5191186054089281</v>
      </c>
      <c r="Q28" s="979"/>
      <c r="R28" s="835"/>
      <c r="S28" s="835"/>
      <c r="T28" s="836"/>
      <c r="U28" s="950"/>
      <c r="V28" s="973"/>
      <c r="W28" s="974"/>
      <c r="X28" s="974"/>
      <c r="Y28" s="948"/>
      <c r="Z28" s="974"/>
      <c r="AA28" s="974"/>
      <c r="AB28" s="974"/>
      <c r="AC28" s="975"/>
    </row>
    <row r="29" spans="1:29" s="624" customFormat="1" hidden="1" outlineLevel="1" collapsed="1" x14ac:dyDescent="0.2">
      <c r="A29" s="497">
        <f t="shared" si="0"/>
        <v>8</v>
      </c>
      <c r="B29" s="551">
        <f>B11</f>
        <v>46069</v>
      </c>
      <c r="C29" s="550" t="s">
        <v>211</v>
      </c>
      <c r="D29" s="540"/>
      <c r="E29" s="550"/>
      <c r="F29" s="549">
        <v>16500</v>
      </c>
      <c r="G29" s="548">
        <v>620</v>
      </c>
      <c r="H29" s="547">
        <f>+F29*12*G29/100000</f>
        <v>1227.5999999999999</v>
      </c>
      <c r="I29" s="546">
        <f>IF(F29="","0",SUM(I30:I37))</f>
        <v>7</v>
      </c>
      <c r="J29" s="604">
        <f>SUM(J30:J37)</f>
        <v>1402.9714285714288</v>
      </c>
      <c r="K29" s="545"/>
      <c r="L29" s="837" t="str">
        <f>C29</f>
        <v>T3</v>
      </c>
      <c r="M29" s="543">
        <f>IF(O29=0,"0",SUM(M30:M37))</f>
        <v>1227.6000000000001</v>
      </c>
      <c r="N29" s="540"/>
      <c r="O29" s="542">
        <f>SUM(O30:O37)</f>
        <v>1978.2699999999998</v>
      </c>
      <c r="P29" s="541">
        <f>+O29/M29</f>
        <v>1.6114939719778425</v>
      </c>
      <c r="Q29" s="540"/>
      <c r="R29" s="838"/>
      <c r="S29" s="838"/>
      <c r="T29" s="839"/>
      <c r="U29" s="536"/>
      <c r="V29" s="948"/>
      <c r="W29" s="948"/>
      <c r="X29" s="948"/>
      <c r="Y29" s="948"/>
      <c r="Z29" s="948"/>
      <c r="AA29" s="948"/>
      <c r="AB29" s="948"/>
      <c r="AC29" s="976"/>
    </row>
    <row r="30" spans="1:29" s="623" customFormat="1" hidden="1" outlineLevel="2" x14ac:dyDescent="0.2">
      <c r="A30" s="497">
        <f t="shared" si="0"/>
        <v>8</v>
      </c>
      <c r="B30" s="524"/>
      <c r="C30" s="523"/>
      <c r="D30" s="959">
        <v>0</v>
      </c>
      <c r="E30" s="523"/>
      <c r="F30" s="948"/>
      <c r="G30" s="948"/>
      <c r="H30" s="960"/>
      <c r="I30" s="961">
        <v>1</v>
      </c>
      <c r="J30" s="962">
        <f>IF(F29=0,"0",H29/I29)</f>
        <v>175.37142857142857</v>
      </c>
      <c r="K30" s="948"/>
      <c r="L30" s="963">
        <v>0.95833333333333337</v>
      </c>
      <c r="M30" s="642">
        <f t="shared" ref="M30:M37" si="7">IF(N30="","",J30*I30)</f>
        <v>175.37142857142857</v>
      </c>
      <c r="N30" s="959">
        <v>0</v>
      </c>
      <c r="O30" s="964">
        <v>107.9</v>
      </c>
      <c r="P30" s="643">
        <f t="shared" ref="P30:P37" si="8">IF(N30="","",O30/M30)</f>
        <v>0.61526555881394596</v>
      </c>
      <c r="Q30" s="964"/>
      <c r="R30" s="832"/>
      <c r="S30" s="832"/>
      <c r="T30" s="833"/>
      <c r="U30" s="950"/>
      <c r="V30" s="956"/>
      <c r="W30" s="957"/>
      <c r="X30" s="957"/>
      <c r="Y30" s="948"/>
      <c r="Z30" s="957"/>
      <c r="AA30" s="957"/>
      <c r="AB30" s="957"/>
      <c r="AC30" s="958"/>
    </row>
    <row r="31" spans="1:29" s="623" customFormat="1" hidden="1" outlineLevel="2" x14ac:dyDescent="0.2">
      <c r="A31" s="497">
        <f t="shared" si="0"/>
        <v>8</v>
      </c>
      <c r="B31" s="524"/>
      <c r="C31" s="523"/>
      <c r="D31" s="967">
        <v>4.1666666666666664E-2</v>
      </c>
      <c r="E31" s="523"/>
      <c r="F31" s="948"/>
      <c r="G31" s="948"/>
      <c r="H31" s="960"/>
      <c r="I31" s="961">
        <v>0.5</v>
      </c>
      <c r="J31" s="962">
        <f>IF(F29=0,"0",H29/I29)</f>
        <v>175.37142857142857</v>
      </c>
      <c r="K31" s="948"/>
      <c r="L31" s="968">
        <f t="shared" ref="L31:L37" si="9">N30</f>
        <v>0</v>
      </c>
      <c r="M31" s="529">
        <f t="shared" si="7"/>
        <v>87.685714285714283</v>
      </c>
      <c r="N31" s="967">
        <v>4.1666666666666664E-2</v>
      </c>
      <c r="O31" s="969">
        <v>225.5</v>
      </c>
      <c r="P31" s="526">
        <f t="shared" si="8"/>
        <v>2.5716845878136203</v>
      </c>
      <c r="Q31" s="948"/>
      <c r="R31" s="532"/>
      <c r="S31" s="532"/>
      <c r="T31" s="830"/>
      <c r="U31" s="950"/>
      <c r="V31" s="965"/>
      <c r="W31" s="948"/>
      <c r="X31" s="948"/>
      <c r="Y31" s="948"/>
      <c r="Z31" s="948"/>
      <c r="AA31" s="948"/>
      <c r="AB31" s="948"/>
      <c r="AC31" s="966"/>
    </row>
    <row r="32" spans="1:29" s="623" customFormat="1" hidden="1" outlineLevel="2" x14ac:dyDescent="0.2">
      <c r="A32" s="497">
        <f t="shared" si="0"/>
        <v>8</v>
      </c>
      <c r="B32" s="524"/>
      <c r="C32" s="523"/>
      <c r="D32" s="959">
        <v>8.3333333333333329E-2</v>
      </c>
      <c r="E32" s="523"/>
      <c r="F32" s="948"/>
      <c r="G32" s="948"/>
      <c r="H32" s="960"/>
      <c r="I32" s="961">
        <v>1</v>
      </c>
      <c r="J32" s="962">
        <f>IF(F29=0,"0",H29/I29)</f>
        <v>175.37142857142857</v>
      </c>
      <c r="K32" s="948"/>
      <c r="L32" s="963">
        <f t="shared" si="9"/>
        <v>4.1666666666666664E-2</v>
      </c>
      <c r="M32" s="642">
        <f t="shared" si="7"/>
        <v>175.37142857142857</v>
      </c>
      <c r="N32" s="959">
        <v>8.3333333333333329E-2</v>
      </c>
      <c r="O32" s="964">
        <v>267.18</v>
      </c>
      <c r="P32" s="643">
        <f t="shared" si="8"/>
        <v>1.5235092864125124</v>
      </c>
      <c r="Q32" s="964"/>
      <c r="R32" s="832"/>
      <c r="S32" s="832"/>
      <c r="T32" s="833"/>
      <c r="U32" s="950"/>
      <c r="V32" s="965"/>
      <c r="W32" s="948"/>
      <c r="X32" s="948"/>
      <c r="Y32" s="948"/>
      <c r="Z32" s="948"/>
      <c r="AA32" s="948"/>
      <c r="AB32" s="948"/>
      <c r="AC32" s="966"/>
    </row>
    <row r="33" spans="1:29" s="623" customFormat="1" hidden="1" outlineLevel="2" x14ac:dyDescent="0.2">
      <c r="A33" s="497">
        <f t="shared" si="0"/>
        <v>8</v>
      </c>
      <c r="B33" s="524"/>
      <c r="C33" s="523"/>
      <c r="D33" s="967">
        <v>0.125</v>
      </c>
      <c r="E33" s="523"/>
      <c r="F33" s="948"/>
      <c r="G33" s="948"/>
      <c r="H33" s="960"/>
      <c r="I33" s="961">
        <v>1</v>
      </c>
      <c r="J33" s="962">
        <f>IF(F29=0,"0",H29/I29)</f>
        <v>175.37142857142857</v>
      </c>
      <c r="K33" s="948"/>
      <c r="L33" s="968">
        <f t="shared" si="9"/>
        <v>8.3333333333333329E-2</v>
      </c>
      <c r="M33" s="529">
        <f t="shared" si="7"/>
        <v>175.37142857142857</v>
      </c>
      <c r="N33" s="967">
        <v>0.125</v>
      </c>
      <c r="O33" s="969">
        <v>238.98</v>
      </c>
      <c r="P33" s="526">
        <f t="shared" si="8"/>
        <v>1.3627077223851418</v>
      </c>
      <c r="Q33" s="948"/>
      <c r="R33" s="532"/>
      <c r="S33" s="532"/>
      <c r="T33" s="830"/>
      <c r="U33" s="950"/>
      <c r="V33" s="965"/>
      <c r="W33" s="948"/>
      <c r="X33" s="948"/>
      <c r="Y33" s="948"/>
      <c r="Z33" s="948"/>
      <c r="AA33" s="948"/>
      <c r="AB33" s="948"/>
      <c r="AC33" s="966"/>
    </row>
    <row r="34" spans="1:29" s="623" customFormat="1" hidden="1" outlineLevel="2" x14ac:dyDescent="0.2">
      <c r="A34" s="497">
        <f t="shared" si="0"/>
        <v>8</v>
      </c>
      <c r="B34" s="524"/>
      <c r="C34" s="523"/>
      <c r="D34" s="959">
        <v>0.16666666666666666</v>
      </c>
      <c r="E34" s="523"/>
      <c r="F34" s="948"/>
      <c r="G34" s="948"/>
      <c r="H34" s="960"/>
      <c r="I34" s="961">
        <v>1</v>
      </c>
      <c r="J34" s="962">
        <f>IF(F29=0,"0",H29/I29)</f>
        <v>175.37142857142857</v>
      </c>
      <c r="K34" s="948"/>
      <c r="L34" s="963">
        <f t="shared" si="9"/>
        <v>0.125</v>
      </c>
      <c r="M34" s="642">
        <f t="shared" si="7"/>
        <v>175.37142857142857</v>
      </c>
      <c r="N34" s="959">
        <v>0.16666666666666666</v>
      </c>
      <c r="O34" s="964">
        <v>276.06</v>
      </c>
      <c r="P34" s="643">
        <f t="shared" si="8"/>
        <v>1.5741446725317694</v>
      </c>
      <c r="Q34" s="964"/>
      <c r="R34" s="840"/>
      <c r="S34" s="832"/>
      <c r="T34" s="833"/>
      <c r="U34" s="950"/>
      <c r="V34" s="965"/>
      <c r="W34" s="948"/>
      <c r="X34" s="948"/>
      <c r="Y34" s="948"/>
      <c r="Z34" s="948"/>
      <c r="AA34" s="948"/>
      <c r="AB34" s="948"/>
      <c r="AC34" s="966"/>
    </row>
    <row r="35" spans="1:29" s="623" customFormat="1" hidden="1" outlineLevel="2" x14ac:dyDescent="0.2">
      <c r="A35" s="497">
        <f t="shared" si="0"/>
        <v>8</v>
      </c>
      <c r="B35" s="524"/>
      <c r="C35" s="523"/>
      <c r="D35" s="967">
        <v>0.20833333333333334</v>
      </c>
      <c r="E35" s="523"/>
      <c r="F35" s="948"/>
      <c r="G35" s="948"/>
      <c r="H35" s="960"/>
      <c r="I35" s="961">
        <v>0.5</v>
      </c>
      <c r="J35" s="962">
        <f>IF(F29=0,"0",H29/I29)</f>
        <v>175.37142857142857</v>
      </c>
      <c r="K35" s="948"/>
      <c r="L35" s="968">
        <f t="shared" si="9"/>
        <v>0.16666666666666666</v>
      </c>
      <c r="M35" s="529">
        <f t="shared" si="7"/>
        <v>87.685714285714283</v>
      </c>
      <c r="N35" s="967">
        <v>0.20833333333333334</v>
      </c>
      <c r="O35" s="969">
        <v>311.14</v>
      </c>
      <c r="P35" s="526">
        <f t="shared" si="8"/>
        <v>3.5483545128706417</v>
      </c>
      <c r="Q35" s="948"/>
      <c r="R35" s="629"/>
      <c r="S35" s="532"/>
      <c r="T35" s="830"/>
      <c r="U35" s="950"/>
      <c r="V35" s="965"/>
      <c r="W35" s="948"/>
      <c r="X35" s="948"/>
      <c r="Y35" s="948"/>
      <c r="Z35" s="948"/>
      <c r="AA35" s="948"/>
      <c r="AB35" s="948"/>
      <c r="AC35" s="966"/>
    </row>
    <row r="36" spans="1:29" s="623" customFormat="1" hidden="1" outlineLevel="2" x14ac:dyDescent="0.2">
      <c r="A36" s="497">
        <f t="shared" si="0"/>
        <v>8</v>
      </c>
      <c r="B36" s="524"/>
      <c r="C36" s="523"/>
      <c r="D36" s="959">
        <v>0.25</v>
      </c>
      <c r="E36" s="523"/>
      <c r="F36" s="948"/>
      <c r="G36" s="948"/>
      <c r="H36" s="960"/>
      <c r="I36" s="961">
        <v>1</v>
      </c>
      <c r="J36" s="962">
        <f>IF(F29=0,"0",H29/I29)</f>
        <v>175.37142857142857</v>
      </c>
      <c r="K36" s="948"/>
      <c r="L36" s="963">
        <f t="shared" si="9"/>
        <v>0.20833333333333334</v>
      </c>
      <c r="M36" s="642">
        <f t="shared" si="7"/>
        <v>175.37142857142857</v>
      </c>
      <c r="N36" s="959">
        <v>0.25</v>
      </c>
      <c r="O36" s="964">
        <v>278.17</v>
      </c>
      <c r="P36" s="643">
        <f t="shared" si="8"/>
        <v>1.5861762789182146</v>
      </c>
      <c r="Q36" s="964"/>
      <c r="R36" s="832"/>
      <c r="S36" s="832"/>
      <c r="T36" s="833"/>
      <c r="U36" s="950"/>
      <c r="V36" s="965"/>
      <c r="W36" s="948"/>
      <c r="X36" s="948"/>
      <c r="Y36" s="948"/>
      <c r="Z36" s="948"/>
      <c r="AA36" s="948"/>
      <c r="AB36" s="948"/>
      <c r="AC36" s="966"/>
    </row>
    <row r="37" spans="1:29" s="623" customFormat="1" ht="15.75" hidden="1" outlineLevel="2" thickBot="1" x14ac:dyDescent="0.25">
      <c r="A37" s="497">
        <f t="shared" si="0"/>
        <v>8</v>
      </c>
      <c r="B37" s="511"/>
      <c r="C37" s="510"/>
      <c r="D37" s="980">
        <v>0.33333333333333331</v>
      </c>
      <c r="E37" s="510"/>
      <c r="F37" s="974"/>
      <c r="G37" s="974"/>
      <c r="H37" s="981"/>
      <c r="I37" s="982">
        <v>1</v>
      </c>
      <c r="J37" s="962">
        <f>IF(F29=0,"0",H29/I29)</f>
        <v>175.37142857142857</v>
      </c>
      <c r="K37" s="948"/>
      <c r="L37" s="983">
        <f t="shared" si="9"/>
        <v>0.25</v>
      </c>
      <c r="M37" s="644">
        <f t="shared" si="7"/>
        <v>175.37142857142857</v>
      </c>
      <c r="N37" s="980">
        <v>0.33333333333333331</v>
      </c>
      <c r="O37" s="984">
        <v>273.33999999999997</v>
      </c>
      <c r="P37" s="645">
        <f t="shared" si="8"/>
        <v>1.5586347344411859</v>
      </c>
      <c r="Q37" s="985"/>
      <c r="R37" s="841"/>
      <c r="S37" s="841"/>
      <c r="T37" s="842"/>
      <c r="U37" s="950"/>
      <c r="V37" s="973"/>
      <c r="W37" s="974"/>
      <c r="X37" s="974"/>
      <c r="Y37" s="948"/>
      <c r="Z37" s="974"/>
      <c r="AA37" s="974"/>
      <c r="AB37" s="974"/>
      <c r="AC37" s="975"/>
    </row>
    <row r="38" spans="1:29" s="625" customFormat="1" ht="14.45" hidden="1" customHeight="1" outlineLevel="1" collapsed="1" thickBot="1" x14ac:dyDescent="0.25">
      <c r="A38" s="497">
        <f t="shared" si="0"/>
        <v>8</v>
      </c>
      <c r="B38" s="496"/>
      <c r="C38" s="986"/>
      <c r="D38" s="987"/>
      <c r="E38" s="986"/>
      <c r="F38" s="988"/>
      <c r="G38" s="988"/>
      <c r="H38" s="962"/>
      <c r="I38" s="986"/>
      <c r="J38" s="986"/>
      <c r="K38" s="988"/>
      <c r="L38" s="987"/>
      <c r="M38" s="627"/>
      <c r="N38" s="987"/>
      <c r="O38" s="988"/>
      <c r="P38" s="628"/>
      <c r="Q38" s="988"/>
      <c r="R38" s="843"/>
      <c r="S38" s="843"/>
      <c r="T38" s="843"/>
      <c r="U38" s="950"/>
      <c r="V38" s="988"/>
      <c r="W38" s="988"/>
      <c r="X38" s="988"/>
      <c r="Y38" s="988"/>
      <c r="Z38" s="988"/>
      <c r="AA38" s="988"/>
      <c r="AB38" s="988"/>
      <c r="AC38" s="988"/>
    </row>
    <row r="39" spans="1:29" s="621" customFormat="1" ht="15.75" collapsed="1" x14ac:dyDescent="0.2">
      <c r="A39" s="497">
        <f t="shared" si="0"/>
        <v>8</v>
      </c>
      <c r="B39" s="595">
        <f>B40</f>
        <v>46070</v>
      </c>
      <c r="C39" s="593"/>
      <c r="D39" s="814"/>
      <c r="E39" s="593"/>
      <c r="F39" s="587">
        <f>+F40+F49+F58</f>
        <v>24500</v>
      </c>
      <c r="G39" s="587"/>
      <c r="H39" s="594">
        <f>+H40+H49+H58</f>
        <v>1822.8</v>
      </c>
      <c r="I39" s="593">
        <f>+I40+I49+I58</f>
        <v>11.5</v>
      </c>
      <c r="J39" s="592">
        <f>+J40+J49+J58</f>
        <v>2588.0571428571434</v>
      </c>
      <c r="K39" s="587"/>
      <c r="L39" s="815"/>
      <c r="M39" s="816">
        <f>SUM(M41:M48,M50:M57,M59:M66)</f>
        <v>1822.8000000000004</v>
      </c>
      <c r="N39" s="814"/>
      <c r="O39" s="817">
        <f>SUM(O41:O48,O50:O57,O59:O66)</f>
        <v>6544.48</v>
      </c>
      <c r="P39" s="818">
        <f>+O39/M39</f>
        <v>3.5903445249067358</v>
      </c>
      <c r="Q39" s="819"/>
      <c r="R39" s="820"/>
      <c r="S39" s="820"/>
      <c r="T39" s="821"/>
      <c r="U39" s="585"/>
      <c r="V39" s="585"/>
      <c r="W39" s="585"/>
      <c r="X39" s="585"/>
      <c r="Y39" s="585"/>
      <c r="Z39" s="585"/>
      <c r="AA39" s="585"/>
      <c r="AB39" s="585"/>
      <c r="AC39" s="585"/>
    </row>
    <row r="40" spans="1:29" outlineLevel="1" x14ac:dyDescent="0.2">
      <c r="A40" s="497">
        <f t="shared" si="0"/>
        <v>8</v>
      </c>
      <c r="B40" s="844">
        <f>+B11+1</f>
        <v>46070</v>
      </c>
      <c r="C40" s="583" t="s">
        <v>208</v>
      </c>
      <c r="D40" s="545"/>
      <c r="E40" s="583"/>
      <c r="F40" s="548">
        <v>8000</v>
      </c>
      <c r="G40" s="548">
        <v>620</v>
      </c>
      <c r="H40" s="547">
        <f>+F40*12*G40/100000</f>
        <v>595.20000000000005</v>
      </c>
      <c r="I40" s="546">
        <f>IF(F40="","0",SUM(I41:I48))</f>
        <v>3.5</v>
      </c>
      <c r="J40" s="598">
        <f>SUM(J41:J48)</f>
        <v>1360.4571428571433</v>
      </c>
      <c r="K40" s="545"/>
      <c r="L40" s="989" t="str">
        <f>C40</f>
        <v>T1</v>
      </c>
      <c r="M40" s="845">
        <f>SUM(M41:M48)</f>
        <v>595.20000000000005</v>
      </c>
      <c r="N40" s="545"/>
      <c r="O40" s="565">
        <f>SUM(O41:O48)</f>
        <v>1981.14</v>
      </c>
      <c r="P40" s="588">
        <f>+O40/M40</f>
        <v>3.3285282258064517</v>
      </c>
      <c r="Q40" s="617"/>
      <c r="R40" s="846"/>
      <c r="S40" s="846"/>
      <c r="T40" s="822"/>
      <c r="U40" s="568"/>
      <c r="V40" s="956"/>
      <c r="W40" s="957"/>
      <c r="X40" s="957"/>
      <c r="Y40" s="948"/>
      <c r="Z40" s="957"/>
      <c r="AA40" s="957"/>
      <c r="AB40" s="957"/>
      <c r="AC40" s="958"/>
    </row>
    <row r="41" spans="1:29" hidden="1" outlineLevel="2" x14ac:dyDescent="0.2">
      <c r="A41" s="497">
        <f t="shared" si="0"/>
        <v>8</v>
      </c>
      <c r="B41" s="524"/>
      <c r="C41" s="523"/>
      <c r="D41" s="959">
        <v>0.33333333333333331</v>
      </c>
      <c r="E41" s="523"/>
      <c r="F41" s="948"/>
      <c r="G41" s="948"/>
      <c r="H41" s="960"/>
      <c r="I41" s="961">
        <v>1</v>
      </c>
      <c r="J41" s="990">
        <f>IF(F40=0,"0",H40/I40)</f>
        <v>170.05714285714288</v>
      </c>
      <c r="K41" s="948"/>
      <c r="L41" s="963">
        <v>0.29166666666666669</v>
      </c>
      <c r="M41" s="639">
        <f t="shared" ref="M41:M48" si="10">IF(N41="","",J41*I41)</f>
        <v>170.05714285714288</v>
      </c>
      <c r="N41" s="959">
        <v>0.33333333333333331</v>
      </c>
      <c r="O41" s="964">
        <v>276.86</v>
      </c>
      <c r="P41" s="640">
        <f t="shared" ref="P41:P48" si="11">IF(N41="","",O41/M41)</f>
        <v>1.6280409946236558</v>
      </c>
      <c r="Q41" s="640"/>
      <c r="R41" s="653" t="s">
        <v>212</v>
      </c>
      <c r="S41" s="847" t="s">
        <v>213</v>
      </c>
      <c r="T41" s="824"/>
      <c r="U41" s="568"/>
      <c r="V41" s="965"/>
      <c r="W41" s="948"/>
      <c r="X41" s="948"/>
      <c r="Y41" s="948"/>
      <c r="Z41" s="948"/>
      <c r="AA41" s="948"/>
      <c r="AB41" s="948"/>
      <c r="AC41" s="966"/>
    </row>
    <row r="42" spans="1:29" ht="33.75" hidden="1" outlineLevel="2" x14ac:dyDescent="0.2">
      <c r="A42" s="497">
        <f t="shared" si="0"/>
        <v>8</v>
      </c>
      <c r="B42" s="524"/>
      <c r="C42" s="523"/>
      <c r="D42" s="967">
        <v>0.375</v>
      </c>
      <c r="E42" s="523"/>
      <c r="F42" s="948"/>
      <c r="G42" s="948"/>
      <c r="H42" s="960"/>
      <c r="I42" s="961">
        <v>0.5</v>
      </c>
      <c r="J42" s="990">
        <f>IF(F40=0,"0",H40/I40)</f>
        <v>170.05714285714288</v>
      </c>
      <c r="K42" s="948"/>
      <c r="L42" s="968">
        <f t="shared" ref="L42:L48" si="12">N41</f>
        <v>0.33333333333333331</v>
      </c>
      <c r="M42" s="618">
        <f t="shared" si="10"/>
        <v>85.028571428571439</v>
      </c>
      <c r="N42" s="967">
        <v>0.375</v>
      </c>
      <c r="O42" s="969">
        <v>198.98</v>
      </c>
      <c r="P42" s="617">
        <f t="shared" si="11"/>
        <v>2.3401545698924728</v>
      </c>
      <c r="Q42" s="617"/>
      <c r="R42" s="846" t="s">
        <v>214</v>
      </c>
      <c r="S42" s="846"/>
      <c r="T42" s="822"/>
      <c r="U42" s="568"/>
      <c r="V42" s="965"/>
      <c r="W42" s="948"/>
      <c r="X42" s="948"/>
      <c r="Y42" s="948"/>
      <c r="Z42" s="948"/>
      <c r="AA42" s="948"/>
      <c r="AB42" s="948"/>
      <c r="AC42" s="966"/>
    </row>
    <row r="43" spans="1:29" ht="22.5" hidden="1" outlineLevel="2" x14ac:dyDescent="0.2">
      <c r="A43" s="497">
        <f t="shared" si="0"/>
        <v>8</v>
      </c>
      <c r="B43" s="524"/>
      <c r="C43" s="523"/>
      <c r="D43" s="959">
        <v>0.41666666666666669</v>
      </c>
      <c r="E43" s="523"/>
      <c r="F43" s="948"/>
      <c r="G43" s="948"/>
      <c r="H43" s="960"/>
      <c r="I43" s="961">
        <v>1</v>
      </c>
      <c r="J43" s="990">
        <f>IF(F40=0,"0",H40/I40)</f>
        <v>170.05714285714288</v>
      </c>
      <c r="K43" s="948"/>
      <c r="L43" s="963">
        <f t="shared" si="12"/>
        <v>0.375</v>
      </c>
      <c r="M43" s="639">
        <f t="shared" si="10"/>
        <v>170.05714285714288</v>
      </c>
      <c r="N43" s="959">
        <v>0.41666666666666669</v>
      </c>
      <c r="O43" s="964">
        <v>228.45</v>
      </c>
      <c r="P43" s="640">
        <f t="shared" si="11"/>
        <v>1.3433719758064513</v>
      </c>
      <c r="Q43" s="640"/>
      <c r="R43" s="847" t="s">
        <v>215</v>
      </c>
      <c r="S43" s="847"/>
      <c r="T43" s="824"/>
      <c r="U43" s="568"/>
      <c r="V43" s="965"/>
      <c r="W43" s="948"/>
      <c r="X43" s="948"/>
      <c r="Y43" s="948"/>
      <c r="Z43" s="948"/>
      <c r="AA43" s="948"/>
      <c r="AB43" s="948"/>
      <c r="AC43" s="966"/>
    </row>
    <row r="44" spans="1:29" ht="33.75" hidden="1" outlineLevel="2" x14ac:dyDescent="0.2">
      <c r="A44" s="497">
        <f t="shared" ref="A44:A75" si="13">$A$11</f>
        <v>8</v>
      </c>
      <c r="B44" s="524"/>
      <c r="C44" s="523"/>
      <c r="D44" s="967">
        <v>0.45833333333333331</v>
      </c>
      <c r="E44" s="523"/>
      <c r="F44" s="948"/>
      <c r="G44" s="948"/>
      <c r="H44" s="960"/>
      <c r="I44" s="961">
        <v>1</v>
      </c>
      <c r="J44" s="990">
        <f>IF(F40=0,"0",H40/I40)</f>
        <v>170.05714285714288</v>
      </c>
      <c r="K44" s="948"/>
      <c r="L44" s="968">
        <f t="shared" si="12"/>
        <v>0.41666666666666669</v>
      </c>
      <c r="M44" s="618">
        <f t="shared" si="10"/>
        <v>170.05714285714288</v>
      </c>
      <c r="N44" s="967">
        <v>0.45833333333333331</v>
      </c>
      <c r="O44" s="969">
        <v>143.62</v>
      </c>
      <c r="P44" s="617">
        <f t="shared" si="11"/>
        <v>0.84453965053763436</v>
      </c>
      <c r="Q44" s="617"/>
      <c r="R44" s="846" t="s">
        <v>216</v>
      </c>
      <c r="S44" s="846"/>
      <c r="T44" s="822"/>
      <c r="U44" s="568"/>
      <c r="V44" s="965"/>
      <c r="W44" s="948"/>
      <c r="X44" s="948"/>
      <c r="Y44" s="948"/>
      <c r="Z44" s="948"/>
      <c r="AA44" s="948"/>
      <c r="AB44" s="948"/>
      <c r="AC44" s="966"/>
    </row>
    <row r="45" spans="1:29" ht="33.75" hidden="1" outlineLevel="2" x14ac:dyDescent="0.2">
      <c r="A45" s="497">
        <f t="shared" si="13"/>
        <v>8</v>
      </c>
      <c r="B45" s="524"/>
      <c r="C45" s="523"/>
      <c r="D45" s="959">
        <v>0.5</v>
      </c>
      <c r="E45" s="523"/>
      <c r="F45" s="948"/>
      <c r="G45" s="948"/>
      <c r="H45" s="960"/>
      <c r="I45" s="961"/>
      <c r="J45" s="990">
        <f>IF(F40=0,"0",H40/I40)</f>
        <v>170.05714285714288</v>
      </c>
      <c r="K45" s="948"/>
      <c r="L45" s="963">
        <f t="shared" si="12"/>
        <v>0.45833333333333331</v>
      </c>
      <c r="M45" s="639">
        <f t="shared" si="10"/>
        <v>0</v>
      </c>
      <c r="N45" s="959">
        <v>0.5</v>
      </c>
      <c r="O45" s="964">
        <v>300.05</v>
      </c>
      <c r="P45" s="640" t="e">
        <f t="shared" si="11"/>
        <v>#DIV/0!</v>
      </c>
      <c r="Q45" s="640"/>
      <c r="R45" s="653" t="s">
        <v>217</v>
      </c>
      <c r="S45" s="847"/>
      <c r="T45" s="824"/>
      <c r="U45" s="568"/>
      <c r="V45" s="965"/>
      <c r="W45" s="948"/>
      <c r="X45" s="948"/>
      <c r="Y45" s="948"/>
      <c r="Z45" s="948"/>
      <c r="AA45" s="948"/>
      <c r="AB45" s="948"/>
      <c r="AC45" s="966"/>
    </row>
    <row r="46" spans="1:29" ht="67.5" hidden="1" outlineLevel="2" x14ac:dyDescent="0.2">
      <c r="A46" s="497">
        <f t="shared" si="13"/>
        <v>8</v>
      </c>
      <c r="B46" s="524"/>
      <c r="C46" s="523"/>
      <c r="D46" s="967">
        <v>0.54166666666666663</v>
      </c>
      <c r="E46" s="523"/>
      <c r="F46" s="948"/>
      <c r="G46" s="948"/>
      <c r="H46" s="960"/>
      <c r="I46" s="961"/>
      <c r="J46" s="990">
        <f>IF(F40=0,"0",H40/I40)</f>
        <v>170.05714285714288</v>
      </c>
      <c r="K46" s="948"/>
      <c r="L46" s="968">
        <f t="shared" si="12"/>
        <v>0.5</v>
      </c>
      <c r="M46" s="618">
        <f t="shared" si="10"/>
        <v>0</v>
      </c>
      <c r="N46" s="967">
        <v>0.54166666666666663</v>
      </c>
      <c r="O46" s="969">
        <v>295.67</v>
      </c>
      <c r="P46" s="617" t="e">
        <f t="shared" si="11"/>
        <v>#DIV/0!</v>
      </c>
      <c r="Q46" s="617"/>
      <c r="R46" s="848" t="s">
        <v>218</v>
      </c>
      <c r="S46" s="846" t="s">
        <v>219</v>
      </c>
      <c r="T46" s="822"/>
      <c r="U46" s="568"/>
      <c r="V46" s="965"/>
      <c r="W46" s="948"/>
      <c r="X46" s="948"/>
      <c r="Y46" s="948"/>
      <c r="Z46" s="948"/>
      <c r="AA46" s="948"/>
      <c r="AB46" s="948"/>
      <c r="AC46" s="966"/>
    </row>
    <row r="47" spans="1:29" ht="22.5" hidden="1" outlineLevel="2" x14ac:dyDescent="0.2">
      <c r="A47" s="497">
        <f t="shared" si="13"/>
        <v>8</v>
      </c>
      <c r="B47" s="524"/>
      <c r="C47" s="523"/>
      <c r="D47" s="959">
        <v>0.58333333333333337</v>
      </c>
      <c r="E47" s="523"/>
      <c r="F47" s="948"/>
      <c r="G47" s="948"/>
      <c r="H47" s="960"/>
      <c r="I47" s="961"/>
      <c r="J47" s="990">
        <f>IF(F40=0,"0",H40/I40)</f>
        <v>170.05714285714288</v>
      </c>
      <c r="K47" s="948"/>
      <c r="L47" s="963">
        <f t="shared" si="12"/>
        <v>0.54166666666666663</v>
      </c>
      <c r="M47" s="639">
        <f t="shared" si="10"/>
        <v>0</v>
      </c>
      <c r="N47" s="959">
        <v>0.58333333333333337</v>
      </c>
      <c r="O47" s="964">
        <v>274.20999999999998</v>
      </c>
      <c r="P47" s="640" t="e">
        <f t="shared" si="11"/>
        <v>#DIV/0!</v>
      </c>
      <c r="Q47" s="640"/>
      <c r="R47" s="847" t="s">
        <v>220</v>
      </c>
      <c r="S47" s="847" t="s">
        <v>219</v>
      </c>
      <c r="T47" s="824"/>
      <c r="U47" s="568"/>
      <c r="V47" s="965"/>
      <c r="W47" s="948"/>
      <c r="X47" s="948"/>
      <c r="Y47" s="948"/>
      <c r="Z47" s="948"/>
      <c r="AA47" s="948"/>
      <c r="AB47" s="948"/>
      <c r="AC47" s="966"/>
    </row>
    <row r="48" spans="1:29" ht="24.95" hidden="1" customHeight="1" outlineLevel="2" x14ac:dyDescent="0.2">
      <c r="A48" s="497">
        <f t="shared" si="13"/>
        <v>8</v>
      </c>
      <c r="B48" s="524"/>
      <c r="C48" s="523"/>
      <c r="D48" s="970">
        <v>0.625</v>
      </c>
      <c r="E48" s="523"/>
      <c r="F48" s="948"/>
      <c r="G48" s="948"/>
      <c r="H48" s="960"/>
      <c r="I48" s="961"/>
      <c r="J48" s="990">
        <f>IF(F40=0,"0",H40/I40)</f>
        <v>170.05714285714288</v>
      </c>
      <c r="K48" s="948"/>
      <c r="L48" s="971">
        <f t="shared" si="12"/>
        <v>0.58333333333333337</v>
      </c>
      <c r="M48" s="618">
        <f t="shared" si="10"/>
        <v>0</v>
      </c>
      <c r="N48" s="970">
        <v>0.625</v>
      </c>
      <c r="O48" s="972">
        <v>263.3</v>
      </c>
      <c r="P48" s="503" t="e">
        <f t="shared" si="11"/>
        <v>#DIV/0!</v>
      </c>
      <c r="Q48" s="503"/>
      <c r="R48" s="571" t="s">
        <v>221</v>
      </c>
      <c r="S48" s="571"/>
      <c r="T48" s="826"/>
      <c r="U48" s="568"/>
      <c r="V48" s="973"/>
      <c r="W48" s="974"/>
      <c r="X48" s="974"/>
      <c r="Y48" s="948"/>
      <c r="Z48" s="974"/>
      <c r="AA48" s="974"/>
      <c r="AB48" s="974"/>
      <c r="AC48" s="975"/>
    </row>
    <row r="49" spans="1:29" s="622" customFormat="1" outlineLevel="1" collapsed="1" x14ac:dyDescent="0.2">
      <c r="A49" s="497">
        <f t="shared" si="13"/>
        <v>8</v>
      </c>
      <c r="B49" s="551">
        <f>B40</f>
        <v>46070</v>
      </c>
      <c r="C49" s="550" t="s">
        <v>210</v>
      </c>
      <c r="D49" s="563"/>
      <c r="E49" s="550"/>
      <c r="F49" s="549"/>
      <c r="G49" s="548"/>
      <c r="H49" s="547">
        <f>+F49*12*G49/100000</f>
        <v>0</v>
      </c>
      <c r="I49" s="546" t="str">
        <f>IF(F49="","0",SUM(I50:I57))</f>
        <v>0</v>
      </c>
      <c r="J49" s="598">
        <f>SUM(J50:J57)</f>
        <v>0</v>
      </c>
      <c r="K49" s="545"/>
      <c r="L49" s="827" t="str">
        <f>C49</f>
        <v>T2</v>
      </c>
      <c r="M49" s="566">
        <f>IF(O49=0,"0",SUM(M50:M57))</f>
        <v>0</v>
      </c>
      <c r="N49" s="563"/>
      <c r="O49" s="565">
        <f>SUM(O50:O57)</f>
        <v>2196.33</v>
      </c>
      <c r="P49" s="564" t="e">
        <f>+O49/M49</f>
        <v>#DIV/0!</v>
      </c>
      <c r="Q49" s="563"/>
      <c r="R49" s="828"/>
      <c r="S49" s="828"/>
      <c r="T49" s="829"/>
      <c r="U49" s="536"/>
      <c r="V49" s="948"/>
      <c r="W49" s="948"/>
      <c r="X49" s="948"/>
      <c r="Y49" s="948"/>
      <c r="Z49" s="948"/>
      <c r="AA49" s="948"/>
      <c r="AB49" s="948"/>
      <c r="AC49" s="976"/>
    </row>
    <row r="50" spans="1:29" s="623" customFormat="1" ht="45" hidden="1" outlineLevel="2" x14ac:dyDescent="0.2">
      <c r="A50" s="497">
        <f t="shared" si="13"/>
        <v>8</v>
      </c>
      <c r="B50" s="524"/>
      <c r="C50" s="523"/>
      <c r="D50" s="967">
        <v>0.66666666666666663</v>
      </c>
      <c r="E50" s="523"/>
      <c r="F50" s="948"/>
      <c r="G50" s="948"/>
      <c r="H50" s="960"/>
      <c r="I50" s="961">
        <v>1</v>
      </c>
      <c r="J50" s="990" t="str">
        <f>IF(F49=0,"0",H49/I49)</f>
        <v>0</v>
      </c>
      <c r="K50" s="948"/>
      <c r="L50" s="968">
        <v>0.625</v>
      </c>
      <c r="M50" s="618">
        <f t="shared" ref="M50:M57" si="14">IF(N50="","",J50*I50)</f>
        <v>0</v>
      </c>
      <c r="N50" s="967">
        <v>0.66666666666666663</v>
      </c>
      <c r="O50" s="969">
        <v>253.54</v>
      </c>
      <c r="P50" s="617" t="e">
        <f t="shared" ref="P50:P57" si="15">IF(N50="","",O50/M50)</f>
        <v>#DIV/0!</v>
      </c>
      <c r="Q50" s="948"/>
      <c r="R50" s="629" t="s">
        <v>222</v>
      </c>
      <c r="S50" s="532"/>
      <c r="T50" s="830"/>
      <c r="U50" s="950"/>
      <c r="V50" s="956"/>
      <c r="W50" s="957"/>
      <c r="X50" s="957"/>
      <c r="Y50" s="948"/>
      <c r="Z50" s="957"/>
      <c r="AA50" s="957"/>
      <c r="AB50" s="957"/>
      <c r="AC50" s="958"/>
    </row>
    <row r="51" spans="1:29" s="623" customFormat="1" ht="22.5" hidden="1" outlineLevel="2" x14ac:dyDescent="0.2">
      <c r="A51" s="497">
        <f t="shared" si="13"/>
        <v>8</v>
      </c>
      <c r="B51" s="524"/>
      <c r="C51" s="523"/>
      <c r="D51" s="959">
        <v>0.70833333333333337</v>
      </c>
      <c r="E51" s="523"/>
      <c r="F51" s="948"/>
      <c r="G51" s="948"/>
      <c r="H51" s="960"/>
      <c r="I51" s="961">
        <v>1</v>
      </c>
      <c r="J51" s="990" t="str">
        <f>IF(F49=0,"0",H49/I49)</f>
        <v>0</v>
      </c>
      <c r="K51" s="948"/>
      <c r="L51" s="963">
        <f t="shared" ref="L51:L57" si="16">N50</f>
        <v>0.66666666666666663</v>
      </c>
      <c r="M51" s="639">
        <f t="shared" si="14"/>
        <v>0</v>
      </c>
      <c r="N51" s="959">
        <v>0.70833333333333337</v>
      </c>
      <c r="O51" s="964">
        <v>204.98</v>
      </c>
      <c r="P51" s="640" t="e">
        <f t="shared" si="15"/>
        <v>#DIV/0!</v>
      </c>
      <c r="Q51" s="964"/>
      <c r="R51" s="831" t="s">
        <v>223</v>
      </c>
      <c r="S51" s="832" t="s">
        <v>224</v>
      </c>
      <c r="T51" s="833"/>
      <c r="U51" s="950"/>
      <c r="V51" s="965"/>
      <c r="W51" s="948"/>
      <c r="X51" s="948"/>
      <c r="Y51" s="948"/>
      <c r="Z51" s="948"/>
      <c r="AA51" s="948"/>
      <c r="AB51" s="948"/>
      <c r="AC51" s="966"/>
    </row>
    <row r="52" spans="1:29" s="623" customFormat="1" hidden="1" outlineLevel="2" x14ac:dyDescent="0.2">
      <c r="A52" s="497">
        <f t="shared" si="13"/>
        <v>8</v>
      </c>
      <c r="B52" s="524"/>
      <c r="C52" s="523"/>
      <c r="D52" s="967">
        <v>0.75</v>
      </c>
      <c r="E52" s="523"/>
      <c r="F52" s="948"/>
      <c r="G52" s="948"/>
      <c r="H52" s="960"/>
      <c r="I52" s="961">
        <v>1</v>
      </c>
      <c r="J52" s="990" t="str">
        <f>IF(F49=0,"0",H49/I49)</f>
        <v>0</v>
      </c>
      <c r="K52" s="948"/>
      <c r="L52" s="968">
        <f t="shared" si="16"/>
        <v>0.70833333333333337</v>
      </c>
      <c r="M52" s="618">
        <f t="shared" si="14"/>
        <v>0</v>
      </c>
      <c r="N52" s="967">
        <v>0.75</v>
      </c>
      <c r="O52" s="969">
        <v>300.58999999999997</v>
      </c>
      <c r="P52" s="617" t="e">
        <f t="shared" si="15"/>
        <v>#DIV/0!</v>
      </c>
      <c r="Q52" s="948"/>
      <c r="R52" s="532"/>
      <c r="S52" s="532"/>
      <c r="T52" s="830"/>
      <c r="U52" s="950"/>
      <c r="V52" s="965"/>
      <c r="W52" s="948"/>
      <c r="X52" s="948"/>
      <c r="Y52" s="948"/>
      <c r="Z52" s="948"/>
      <c r="AA52" s="948"/>
      <c r="AB52" s="948"/>
      <c r="AC52" s="966"/>
    </row>
    <row r="53" spans="1:29" s="623" customFormat="1" ht="45" hidden="1" outlineLevel="2" x14ac:dyDescent="0.2">
      <c r="A53" s="497">
        <f t="shared" si="13"/>
        <v>8</v>
      </c>
      <c r="B53" s="524"/>
      <c r="C53" s="523"/>
      <c r="D53" s="959">
        <v>0.79166666666666663</v>
      </c>
      <c r="E53" s="523"/>
      <c r="F53" s="948"/>
      <c r="G53" s="948"/>
      <c r="H53" s="960"/>
      <c r="I53" s="961">
        <v>1</v>
      </c>
      <c r="J53" s="990" t="str">
        <f>IF(F49=0,"0",H49/I49)</f>
        <v>0</v>
      </c>
      <c r="K53" s="948"/>
      <c r="L53" s="963">
        <f t="shared" si="16"/>
        <v>0.75</v>
      </c>
      <c r="M53" s="639">
        <f t="shared" si="14"/>
        <v>0</v>
      </c>
      <c r="N53" s="959">
        <v>0.79166666666666663</v>
      </c>
      <c r="O53" s="964">
        <v>270.66000000000003</v>
      </c>
      <c r="P53" s="640" t="e">
        <f t="shared" si="15"/>
        <v>#DIV/0!</v>
      </c>
      <c r="Q53" s="964"/>
      <c r="R53" s="653" t="s">
        <v>225</v>
      </c>
      <c r="S53" s="832"/>
      <c r="T53" s="833"/>
      <c r="U53" s="950"/>
      <c r="V53" s="965"/>
      <c r="W53" s="948"/>
      <c r="X53" s="948"/>
      <c r="Y53" s="948"/>
      <c r="Z53" s="948"/>
      <c r="AA53" s="948"/>
      <c r="AB53" s="948"/>
      <c r="AC53" s="966"/>
    </row>
    <row r="54" spans="1:29" s="623" customFormat="1" ht="33.75" hidden="1" outlineLevel="2" x14ac:dyDescent="0.2">
      <c r="A54" s="497">
        <f t="shared" si="13"/>
        <v>8</v>
      </c>
      <c r="B54" s="524"/>
      <c r="C54" s="523"/>
      <c r="D54" s="967">
        <v>0.83333333333333337</v>
      </c>
      <c r="E54" s="523"/>
      <c r="F54" s="948"/>
      <c r="G54" s="948"/>
      <c r="H54" s="960"/>
      <c r="I54" s="961">
        <v>1</v>
      </c>
      <c r="J54" s="990" t="str">
        <f>IF(F49=0,"0",H49/I49)</f>
        <v>0</v>
      </c>
      <c r="K54" s="948"/>
      <c r="L54" s="968">
        <f t="shared" si="16"/>
        <v>0.79166666666666663</v>
      </c>
      <c r="M54" s="618">
        <f t="shared" si="14"/>
        <v>0</v>
      </c>
      <c r="N54" s="967">
        <v>0.83333333333333337</v>
      </c>
      <c r="O54" s="969">
        <v>263.24</v>
      </c>
      <c r="P54" s="617" t="e">
        <f t="shared" si="15"/>
        <v>#DIV/0!</v>
      </c>
      <c r="Q54" s="948"/>
      <c r="R54" s="532" t="s">
        <v>226</v>
      </c>
      <c r="S54" s="532"/>
      <c r="T54" s="830"/>
      <c r="U54" s="950"/>
      <c r="V54" s="965"/>
      <c r="W54" s="948"/>
      <c r="X54" s="948"/>
      <c r="Y54" s="948"/>
      <c r="Z54" s="948"/>
      <c r="AA54" s="948"/>
      <c r="AB54" s="948"/>
      <c r="AC54" s="966"/>
    </row>
    <row r="55" spans="1:29" s="623" customFormat="1" ht="22.5" hidden="1" outlineLevel="2" x14ac:dyDescent="0.2">
      <c r="A55" s="497">
        <f t="shared" si="13"/>
        <v>8</v>
      </c>
      <c r="B55" s="524"/>
      <c r="C55" s="523"/>
      <c r="D55" s="959">
        <v>0.875</v>
      </c>
      <c r="E55" s="523"/>
      <c r="F55" s="948"/>
      <c r="G55" s="948"/>
      <c r="H55" s="960"/>
      <c r="I55" s="961">
        <v>1</v>
      </c>
      <c r="J55" s="990" t="str">
        <f>IF(F49=0,"0",H49/I49)</f>
        <v>0</v>
      </c>
      <c r="K55" s="948"/>
      <c r="L55" s="963">
        <f t="shared" si="16"/>
        <v>0.83333333333333337</v>
      </c>
      <c r="M55" s="639">
        <f t="shared" si="14"/>
        <v>0</v>
      </c>
      <c r="N55" s="959">
        <v>0.875</v>
      </c>
      <c r="O55" s="964">
        <v>323</v>
      </c>
      <c r="P55" s="640" t="e">
        <f t="shared" si="15"/>
        <v>#DIV/0!</v>
      </c>
      <c r="Q55" s="964"/>
      <c r="R55" s="832" t="s">
        <v>227</v>
      </c>
      <c r="S55" s="832"/>
      <c r="T55" s="833"/>
      <c r="U55" s="950"/>
      <c r="V55" s="965"/>
      <c r="W55" s="948"/>
      <c r="X55" s="948"/>
      <c r="Y55" s="948"/>
      <c r="Z55" s="948"/>
      <c r="AA55" s="948"/>
      <c r="AB55" s="948"/>
      <c r="AC55" s="966"/>
    </row>
    <row r="56" spans="1:29" s="623" customFormat="1" ht="22.5" hidden="1" outlineLevel="2" x14ac:dyDescent="0.2">
      <c r="A56" s="497">
        <f t="shared" si="13"/>
        <v>8</v>
      </c>
      <c r="B56" s="524"/>
      <c r="C56" s="523"/>
      <c r="D56" s="967">
        <v>0.91666666666666663</v>
      </c>
      <c r="E56" s="523"/>
      <c r="F56" s="948"/>
      <c r="G56" s="948"/>
      <c r="H56" s="960"/>
      <c r="I56" s="961">
        <v>1</v>
      </c>
      <c r="J56" s="990" t="str">
        <f>IF(F49=0,"0",H49/I49)</f>
        <v>0</v>
      </c>
      <c r="K56" s="948"/>
      <c r="L56" s="968">
        <f t="shared" si="16"/>
        <v>0.875</v>
      </c>
      <c r="M56" s="618">
        <f t="shared" si="14"/>
        <v>0</v>
      </c>
      <c r="N56" s="967">
        <v>0.91666666666666663</v>
      </c>
      <c r="O56" s="969">
        <v>306.27999999999997</v>
      </c>
      <c r="P56" s="617" t="e">
        <f t="shared" si="15"/>
        <v>#DIV/0!</v>
      </c>
      <c r="Q56" s="948"/>
      <c r="R56" s="532" t="s">
        <v>228</v>
      </c>
      <c r="S56" s="532"/>
      <c r="T56" s="830"/>
      <c r="U56" s="950"/>
      <c r="V56" s="965"/>
      <c r="W56" s="948"/>
      <c r="X56" s="948"/>
      <c r="Y56" s="948"/>
      <c r="Z56" s="948"/>
      <c r="AA56" s="948"/>
      <c r="AB56" s="948"/>
      <c r="AC56" s="966"/>
    </row>
    <row r="57" spans="1:29" s="623" customFormat="1" hidden="1" outlineLevel="2" x14ac:dyDescent="0.2">
      <c r="A57" s="497">
        <f t="shared" si="13"/>
        <v>8</v>
      </c>
      <c r="B57" s="524"/>
      <c r="C57" s="523"/>
      <c r="D57" s="977">
        <v>0.95833333333333337</v>
      </c>
      <c r="E57" s="523"/>
      <c r="F57" s="948"/>
      <c r="G57" s="948"/>
      <c r="H57" s="960"/>
      <c r="I57" s="961">
        <v>1</v>
      </c>
      <c r="J57" s="990" t="str">
        <f>IF(F49=0,"0",H49/I49)</f>
        <v>0</v>
      </c>
      <c r="K57" s="948"/>
      <c r="L57" s="978">
        <f t="shared" si="16"/>
        <v>0.91666666666666663</v>
      </c>
      <c r="M57" s="639">
        <f t="shared" si="14"/>
        <v>0</v>
      </c>
      <c r="N57" s="977">
        <v>0.95833333333333337</v>
      </c>
      <c r="O57" s="979">
        <v>274.04000000000002</v>
      </c>
      <c r="P57" s="641" t="e">
        <f t="shared" si="15"/>
        <v>#DIV/0!</v>
      </c>
      <c r="Q57" s="979"/>
      <c r="R57" s="835" t="s">
        <v>229</v>
      </c>
      <c r="S57" s="835"/>
      <c r="T57" s="836"/>
      <c r="U57" s="950"/>
      <c r="V57" s="973"/>
      <c r="W57" s="974"/>
      <c r="X57" s="974"/>
      <c r="Y57" s="948"/>
      <c r="Z57" s="974"/>
      <c r="AA57" s="974"/>
      <c r="AB57" s="974"/>
      <c r="AC57" s="975"/>
    </row>
    <row r="58" spans="1:29" s="624" customFormat="1" outlineLevel="1" collapsed="1" x14ac:dyDescent="0.2">
      <c r="A58" s="497">
        <f t="shared" si="13"/>
        <v>8</v>
      </c>
      <c r="B58" s="551">
        <f>B40</f>
        <v>46070</v>
      </c>
      <c r="C58" s="550" t="s">
        <v>211</v>
      </c>
      <c r="D58" s="540"/>
      <c r="E58" s="550"/>
      <c r="F58" s="549">
        <v>16500</v>
      </c>
      <c r="G58" s="548">
        <v>620</v>
      </c>
      <c r="H58" s="547">
        <f>+F58*12*G58/100000</f>
        <v>1227.5999999999999</v>
      </c>
      <c r="I58" s="546">
        <f>IF(F58="","0",SUM(I59:I66))</f>
        <v>8</v>
      </c>
      <c r="J58" s="598">
        <f>SUM(J59:J66)</f>
        <v>1227.6000000000001</v>
      </c>
      <c r="K58" s="545"/>
      <c r="L58" s="837" t="str">
        <f>C58</f>
        <v>T3</v>
      </c>
      <c r="M58" s="543">
        <f>IF(O58=0,"0",SUM(M59:M66))</f>
        <v>1227.6000000000001</v>
      </c>
      <c r="N58" s="540"/>
      <c r="O58" s="542">
        <f>SUM(O59:O66)</f>
        <v>2367.0099999999998</v>
      </c>
      <c r="P58" s="541">
        <f>+O58/M58</f>
        <v>1.9281606386445092</v>
      </c>
      <c r="Q58" s="540"/>
      <c r="R58" s="838"/>
      <c r="S58" s="838"/>
      <c r="T58" s="839"/>
      <c r="U58" s="536"/>
      <c r="V58" s="948"/>
      <c r="W58" s="948"/>
      <c r="X58" s="948"/>
      <c r="Y58" s="948"/>
      <c r="Z58" s="948"/>
      <c r="AA58" s="948"/>
      <c r="AB58" s="948"/>
      <c r="AC58" s="976"/>
    </row>
    <row r="59" spans="1:29" s="623" customFormat="1" hidden="1" outlineLevel="2" x14ac:dyDescent="0.2">
      <c r="A59" s="497">
        <f t="shared" si="13"/>
        <v>8</v>
      </c>
      <c r="B59" s="524"/>
      <c r="C59" s="523"/>
      <c r="D59" s="959">
        <v>0</v>
      </c>
      <c r="E59" s="523"/>
      <c r="F59" s="948"/>
      <c r="G59" s="948"/>
      <c r="H59" s="960"/>
      <c r="I59" s="961">
        <v>1</v>
      </c>
      <c r="J59" s="990">
        <f>IF(F58=0,"0",H58/I58)</f>
        <v>153.44999999999999</v>
      </c>
      <c r="K59" s="948"/>
      <c r="L59" s="963">
        <v>0.95833333333333337</v>
      </c>
      <c r="M59" s="639">
        <f t="shared" ref="M59:M66" si="17">IF(N59="","",J59*I59)</f>
        <v>153.44999999999999</v>
      </c>
      <c r="N59" s="959">
        <v>0</v>
      </c>
      <c r="O59" s="964">
        <v>281.27999999999997</v>
      </c>
      <c r="P59" s="640">
        <f t="shared" ref="P59:P66" si="18">IF(N59="","",O59/M59)</f>
        <v>1.8330400782013685</v>
      </c>
      <c r="Q59" s="964"/>
      <c r="R59" s="832"/>
      <c r="S59" s="832"/>
      <c r="T59" s="833"/>
      <c r="U59" s="950"/>
      <c r="V59" s="956"/>
      <c r="W59" s="957"/>
      <c r="X59" s="957"/>
      <c r="Y59" s="948"/>
      <c r="Z59" s="957"/>
      <c r="AA59" s="957"/>
      <c r="AB59" s="957"/>
      <c r="AC59" s="958"/>
    </row>
    <row r="60" spans="1:29" s="623" customFormat="1" ht="22.5" hidden="1" outlineLevel="2" x14ac:dyDescent="0.2">
      <c r="A60" s="497">
        <f t="shared" si="13"/>
        <v>8</v>
      </c>
      <c r="B60" s="524"/>
      <c r="C60" s="523"/>
      <c r="D60" s="967">
        <v>4.1666666666666664E-2</v>
      </c>
      <c r="E60" s="523"/>
      <c r="F60" s="948"/>
      <c r="G60" s="948"/>
      <c r="H60" s="960"/>
      <c r="I60" s="961">
        <v>1</v>
      </c>
      <c r="J60" s="990">
        <f>IF(F58=0,"0",H58/I58)</f>
        <v>153.44999999999999</v>
      </c>
      <c r="K60" s="948"/>
      <c r="L60" s="968">
        <f t="shared" ref="L60:L66" si="19">N59</f>
        <v>0</v>
      </c>
      <c r="M60" s="618">
        <f t="shared" si="17"/>
        <v>153.44999999999999</v>
      </c>
      <c r="N60" s="967">
        <v>4.1666666666666664E-2</v>
      </c>
      <c r="O60" s="969">
        <v>295.83999999999997</v>
      </c>
      <c r="P60" s="617">
        <f t="shared" si="18"/>
        <v>1.9279244053437601</v>
      </c>
      <c r="Q60" s="948"/>
      <c r="R60" s="532" t="s">
        <v>230</v>
      </c>
      <c r="S60" s="532"/>
      <c r="T60" s="830"/>
      <c r="U60" s="950"/>
      <c r="V60" s="965"/>
      <c r="W60" s="948"/>
      <c r="X60" s="948"/>
      <c r="Y60" s="948"/>
      <c r="Z60" s="948"/>
      <c r="AA60" s="948"/>
      <c r="AB60" s="948"/>
      <c r="AC60" s="966"/>
    </row>
    <row r="61" spans="1:29" s="623" customFormat="1" ht="33.75" hidden="1" outlineLevel="2" x14ac:dyDescent="0.2">
      <c r="A61" s="497">
        <f t="shared" si="13"/>
        <v>8</v>
      </c>
      <c r="B61" s="524"/>
      <c r="C61" s="523"/>
      <c r="D61" s="959">
        <v>8.3333333333333329E-2</v>
      </c>
      <c r="E61" s="523"/>
      <c r="F61" s="948"/>
      <c r="G61" s="948"/>
      <c r="H61" s="960"/>
      <c r="I61" s="961">
        <v>1</v>
      </c>
      <c r="J61" s="990">
        <f>IF(F58=0,"0",H58/I58)</f>
        <v>153.44999999999999</v>
      </c>
      <c r="K61" s="948"/>
      <c r="L61" s="963">
        <f t="shared" si="19"/>
        <v>4.1666666666666664E-2</v>
      </c>
      <c r="M61" s="639">
        <f t="shared" si="17"/>
        <v>153.44999999999999</v>
      </c>
      <c r="N61" s="959">
        <v>8.3333333333333329E-2</v>
      </c>
      <c r="O61" s="964">
        <v>298.70999999999998</v>
      </c>
      <c r="P61" s="640">
        <f t="shared" si="18"/>
        <v>1.9466275659824046</v>
      </c>
      <c r="Q61" s="964"/>
      <c r="R61" s="832" t="s">
        <v>231</v>
      </c>
      <c r="S61" s="832"/>
      <c r="T61" s="833"/>
      <c r="U61" s="950"/>
      <c r="V61" s="965"/>
      <c r="W61" s="948"/>
      <c r="X61" s="948"/>
      <c r="Y61" s="948"/>
      <c r="Z61" s="948"/>
      <c r="AA61" s="948"/>
      <c r="AB61" s="948"/>
      <c r="AC61" s="966"/>
    </row>
    <row r="62" spans="1:29" s="623" customFormat="1" hidden="1" outlineLevel="2" x14ac:dyDescent="0.2">
      <c r="A62" s="497">
        <f t="shared" si="13"/>
        <v>8</v>
      </c>
      <c r="B62" s="524"/>
      <c r="C62" s="523"/>
      <c r="D62" s="967">
        <v>0.125</v>
      </c>
      <c r="E62" s="523"/>
      <c r="F62" s="948"/>
      <c r="G62" s="948"/>
      <c r="H62" s="960"/>
      <c r="I62" s="961">
        <v>1</v>
      </c>
      <c r="J62" s="990">
        <f>IF(F58=0,"0",H58/I58)</f>
        <v>153.44999999999999</v>
      </c>
      <c r="K62" s="948"/>
      <c r="L62" s="968">
        <f t="shared" si="19"/>
        <v>8.3333333333333329E-2</v>
      </c>
      <c r="M62" s="618">
        <f t="shared" si="17"/>
        <v>153.44999999999999</v>
      </c>
      <c r="N62" s="967">
        <v>0.125</v>
      </c>
      <c r="O62" s="969">
        <v>302.87</v>
      </c>
      <c r="P62" s="617">
        <f t="shared" si="18"/>
        <v>1.973737373737374</v>
      </c>
      <c r="Q62" s="948"/>
      <c r="R62" s="532" t="s">
        <v>232</v>
      </c>
      <c r="S62" s="532"/>
      <c r="T62" s="830"/>
      <c r="U62" s="950"/>
      <c r="V62" s="965"/>
      <c r="W62" s="948"/>
      <c r="X62" s="948"/>
      <c r="Y62" s="948"/>
      <c r="Z62" s="948"/>
      <c r="AA62" s="948"/>
      <c r="AB62" s="948"/>
      <c r="AC62" s="966"/>
    </row>
    <row r="63" spans="1:29" s="623" customFormat="1" hidden="1" outlineLevel="2" x14ac:dyDescent="0.2">
      <c r="A63" s="497">
        <f t="shared" si="13"/>
        <v>8</v>
      </c>
      <c r="B63" s="524"/>
      <c r="C63" s="523"/>
      <c r="D63" s="959">
        <v>0.16666666666666666</v>
      </c>
      <c r="E63" s="523"/>
      <c r="F63" s="948"/>
      <c r="G63" s="948"/>
      <c r="H63" s="960"/>
      <c r="I63" s="961">
        <v>1</v>
      </c>
      <c r="J63" s="990">
        <f>IF(F58=0,"0",H58/I58)</f>
        <v>153.44999999999999</v>
      </c>
      <c r="K63" s="948"/>
      <c r="L63" s="963">
        <f t="shared" si="19"/>
        <v>0.125</v>
      </c>
      <c r="M63" s="639">
        <f t="shared" si="17"/>
        <v>153.44999999999999</v>
      </c>
      <c r="N63" s="959">
        <v>0.16666666666666666</v>
      </c>
      <c r="O63" s="964">
        <v>298.42</v>
      </c>
      <c r="P63" s="640">
        <f t="shared" si="18"/>
        <v>1.9447376995764094</v>
      </c>
      <c r="Q63" s="964"/>
      <c r="R63" s="840" t="s">
        <v>232</v>
      </c>
      <c r="S63" s="832"/>
      <c r="T63" s="833"/>
      <c r="U63" s="950"/>
      <c r="V63" s="965"/>
      <c r="W63" s="948"/>
      <c r="X63" s="948"/>
      <c r="Y63" s="948"/>
      <c r="Z63" s="948"/>
      <c r="AA63" s="948"/>
      <c r="AB63" s="948"/>
      <c r="AC63" s="966"/>
    </row>
    <row r="64" spans="1:29" s="623" customFormat="1" hidden="1" outlineLevel="2" x14ac:dyDescent="0.2">
      <c r="A64" s="497">
        <f t="shared" si="13"/>
        <v>8</v>
      </c>
      <c r="B64" s="524"/>
      <c r="C64" s="523"/>
      <c r="D64" s="967">
        <v>0.20833333333333334</v>
      </c>
      <c r="E64" s="523"/>
      <c r="F64" s="948"/>
      <c r="G64" s="948"/>
      <c r="H64" s="960"/>
      <c r="I64" s="961">
        <v>1</v>
      </c>
      <c r="J64" s="990">
        <f>IF(F58=0,"0",H58/I58)</f>
        <v>153.44999999999999</v>
      </c>
      <c r="K64" s="948"/>
      <c r="L64" s="968">
        <f t="shared" si="19"/>
        <v>0.16666666666666666</v>
      </c>
      <c r="M64" s="618">
        <f t="shared" si="17"/>
        <v>153.44999999999999</v>
      </c>
      <c r="N64" s="967">
        <v>0.20833333333333334</v>
      </c>
      <c r="O64" s="969">
        <v>297.74</v>
      </c>
      <c r="P64" s="617">
        <f t="shared" si="18"/>
        <v>1.9403062886933857</v>
      </c>
      <c r="Q64" s="948"/>
      <c r="R64" s="629" t="s">
        <v>232</v>
      </c>
      <c r="S64" s="532"/>
      <c r="T64" s="830"/>
      <c r="U64" s="950"/>
      <c r="V64" s="965"/>
      <c r="W64" s="948"/>
      <c r="X64" s="948"/>
      <c r="Y64" s="948"/>
      <c r="Z64" s="948"/>
      <c r="AA64" s="948"/>
      <c r="AB64" s="948"/>
      <c r="AC64" s="966"/>
    </row>
    <row r="65" spans="1:29" s="623" customFormat="1" hidden="1" outlineLevel="2" x14ac:dyDescent="0.2">
      <c r="A65" s="497">
        <f t="shared" si="13"/>
        <v>8</v>
      </c>
      <c r="B65" s="524"/>
      <c r="C65" s="523"/>
      <c r="D65" s="959">
        <v>0.25</v>
      </c>
      <c r="E65" s="523"/>
      <c r="F65" s="948"/>
      <c r="G65" s="948"/>
      <c r="H65" s="960"/>
      <c r="I65" s="961">
        <v>1</v>
      </c>
      <c r="J65" s="990">
        <f>IF(F58=0,"0",H58/I58)</f>
        <v>153.44999999999999</v>
      </c>
      <c r="K65" s="948"/>
      <c r="L65" s="963">
        <f t="shared" si="19"/>
        <v>0.20833333333333334</v>
      </c>
      <c r="M65" s="639">
        <f t="shared" si="17"/>
        <v>153.44999999999999</v>
      </c>
      <c r="N65" s="959">
        <v>0.25</v>
      </c>
      <c r="O65" s="964">
        <v>270.04000000000002</v>
      </c>
      <c r="P65" s="640">
        <f t="shared" si="18"/>
        <v>1.7597914630172697</v>
      </c>
      <c r="Q65" s="964"/>
      <c r="R65" s="832"/>
      <c r="S65" s="832"/>
      <c r="T65" s="833"/>
      <c r="U65" s="950"/>
      <c r="V65" s="965"/>
      <c r="W65" s="948"/>
      <c r="X65" s="948"/>
      <c r="Y65" s="948"/>
      <c r="Z65" s="948"/>
      <c r="AA65" s="948"/>
      <c r="AB65" s="948"/>
      <c r="AC65" s="966"/>
    </row>
    <row r="66" spans="1:29" s="623" customFormat="1" ht="23.25" hidden="1" outlineLevel="2" thickBot="1" x14ac:dyDescent="0.25">
      <c r="A66" s="497">
        <f t="shared" si="13"/>
        <v>8</v>
      </c>
      <c r="B66" s="511"/>
      <c r="C66" s="510"/>
      <c r="D66" s="980">
        <v>0.33333333333333331</v>
      </c>
      <c r="E66" s="510"/>
      <c r="F66" s="974"/>
      <c r="G66" s="974"/>
      <c r="H66" s="981"/>
      <c r="I66" s="982">
        <v>1</v>
      </c>
      <c r="J66" s="990">
        <f>IF(F58=0,"0",H58/I58)</f>
        <v>153.44999999999999</v>
      </c>
      <c r="K66" s="948"/>
      <c r="L66" s="983">
        <f t="shared" si="19"/>
        <v>0.25</v>
      </c>
      <c r="M66" s="644">
        <f t="shared" si="17"/>
        <v>153.44999999999999</v>
      </c>
      <c r="N66" s="980">
        <v>0.33333333333333331</v>
      </c>
      <c r="O66" s="984">
        <v>322.11</v>
      </c>
      <c r="P66" s="645">
        <f t="shared" si="18"/>
        <v>2.099120234604106</v>
      </c>
      <c r="Q66" s="985"/>
      <c r="R66" s="841" t="s">
        <v>233</v>
      </c>
      <c r="S66" s="841"/>
      <c r="T66" s="842"/>
      <c r="U66" s="950"/>
      <c r="V66" s="973"/>
      <c r="W66" s="974"/>
      <c r="X66" s="974"/>
      <c r="Y66" s="948"/>
      <c r="Z66" s="974"/>
      <c r="AA66" s="974"/>
      <c r="AB66" s="974"/>
      <c r="AC66" s="975"/>
    </row>
    <row r="67" spans="1:29" s="625" customFormat="1" ht="14.45" customHeight="1" outlineLevel="1" collapsed="1" thickBot="1" x14ac:dyDescent="0.25">
      <c r="A67" s="497">
        <f t="shared" si="13"/>
        <v>8</v>
      </c>
      <c r="B67" s="496"/>
      <c r="C67" s="986"/>
      <c r="D67" s="987"/>
      <c r="E67" s="986"/>
      <c r="F67" s="988"/>
      <c r="G67" s="988"/>
      <c r="H67" s="962"/>
      <c r="I67" s="986"/>
      <c r="J67" s="952"/>
      <c r="K67" s="988"/>
      <c r="L67" s="987"/>
      <c r="M67" s="627"/>
      <c r="N67" s="987"/>
      <c r="O67" s="988"/>
      <c r="P67" s="628"/>
      <c r="Q67" s="988"/>
      <c r="R67" s="843"/>
      <c r="S67" s="843"/>
      <c r="T67" s="843"/>
      <c r="U67" s="950"/>
      <c r="V67" s="988"/>
      <c r="W67" s="988"/>
      <c r="X67" s="988"/>
      <c r="Y67" s="988"/>
      <c r="Z67" s="988"/>
      <c r="AA67" s="988"/>
      <c r="AB67" s="988"/>
      <c r="AC67" s="988"/>
    </row>
    <row r="68" spans="1:29" s="621" customFormat="1" ht="15.75" x14ac:dyDescent="0.2">
      <c r="A68" s="497">
        <f t="shared" si="13"/>
        <v>8</v>
      </c>
      <c r="B68" s="595">
        <f>B69</f>
        <v>46071</v>
      </c>
      <c r="C68" s="593"/>
      <c r="D68" s="814"/>
      <c r="E68" s="593"/>
      <c r="F68" s="587">
        <f>+F69+F78+F87</f>
        <v>41000</v>
      </c>
      <c r="G68" s="587"/>
      <c r="H68" s="594">
        <f>+H69+H78+H87</f>
        <v>2455.1999999999998</v>
      </c>
      <c r="I68" s="593">
        <f>+I69+I78+I87</f>
        <v>22</v>
      </c>
      <c r="J68" s="592">
        <f>+J69+J78+J87</f>
        <v>0</v>
      </c>
      <c r="K68" s="587"/>
      <c r="L68" s="815"/>
      <c r="M68" s="816">
        <f>SUM(M70:M77,M79:M86,M89:M97)</f>
        <v>6276</v>
      </c>
      <c r="N68" s="814"/>
      <c r="O68" s="817">
        <f>SUM(O70:O77,O79:O86,O89:O97)</f>
        <v>2579.0286000000001</v>
      </c>
      <c r="P68" s="818">
        <f>+O68/M68</f>
        <v>0.41093508604206502</v>
      </c>
      <c r="Q68" s="819"/>
      <c r="R68" s="820"/>
      <c r="S68" s="820"/>
      <c r="T68" s="821"/>
      <c r="U68" s="585"/>
      <c r="V68" s="585"/>
      <c r="W68" s="585"/>
      <c r="X68" s="585"/>
      <c r="Y68" s="585"/>
      <c r="Z68" s="585"/>
      <c r="AA68" s="585"/>
      <c r="AB68" s="585"/>
      <c r="AC68" s="585"/>
    </row>
    <row r="69" spans="1:29" outlineLevel="1" x14ac:dyDescent="0.2">
      <c r="A69" s="497">
        <f t="shared" si="13"/>
        <v>8</v>
      </c>
      <c r="B69" s="844">
        <f>+B40+1</f>
        <v>46071</v>
      </c>
      <c r="C69" s="583" t="s">
        <v>208</v>
      </c>
      <c r="D69" s="545"/>
      <c r="E69" s="583"/>
      <c r="F69" s="548">
        <v>16500</v>
      </c>
      <c r="G69" s="548">
        <v>620</v>
      </c>
      <c r="H69" s="547">
        <f>+F69*12*G69/100000</f>
        <v>1227.5999999999999</v>
      </c>
      <c r="I69" s="546">
        <f>IF(F69="","0",SUM(I70:I77))</f>
        <v>7.5</v>
      </c>
      <c r="J69" s="951"/>
      <c r="K69" s="545"/>
      <c r="L69" s="989" t="str">
        <f>C69</f>
        <v>T1</v>
      </c>
      <c r="M69" s="845">
        <f>SUM(M70:M77)</f>
        <v>1227.5999999999999</v>
      </c>
      <c r="N69" s="545"/>
      <c r="O69" s="565">
        <f>SUM(O70:O77)</f>
        <v>498</v>
      </c>
      <c r="P69" s="588">
        <f>+O69/M69</f>
        <v>0.40566959921798634</v>
      </c>
      <c r="Q69" s="617"/>
      <c r="R69" s="846"/>
      <c r="S69" s="846"/>
      <c r="T69" s="822"/>
      <c r="U69" s="568"/>
      <c r="V69" s="956"/>
      <c r="W69" s="957"/>
      <c r="X69" s="957"/>
      <c r="Y69" s="948"/>
      <c r="Z69" s="957"/>
      <c r="AA69" s="957"/>
      <c r="AB69" s="957"/>
      <c r="AC69" s="958"/>
    </row>
    <row r="70" spans="1:29" ht="22.5" outlineLevel="2" x14ac:dyDescent="0.2">
      <c r="A70" s="497">
        <f t="shared" si="13"/>
        <v>8</v>
      </c>
      <c r="B70" s="524"/>
      <c r="C70" s="523"/>
      <c r="D70" s="959">
        <v>0.33333333333333331</v>
      </c>
      <c r="E70" s="523"/>
      <c r="F70" s="948"/>
      <c r="G70" s="948"/>
      <c r="H70" s="960"/>
      <c r="I70" s="961">
        <v>1</v>
      </c>
      <c r="J70" s="990">
        <f>IF(F69=0,"0",H69/I69)</f>
        <v>163.67999999999998</v>
      </c>
      <c r="K70" s="948"/>
      <c r="L70" s="963">
        <v>0.29166666666666669</v>
      </c>
      <c r="M70" s="639">
        <f t="shared" ref="M70:M77" si="20">IF(N70="","",J70*I70)</f>
        <v>163.67999999999998</v>
      </c>
      <c r="N70" s="959">
        <v>0.33333333333333331</v>
      </c>
      <c r="O70" s="964">
        <v>142</v>
      </c>
      <c r="P70" s="640">
        <f t="shared" ref="P70:P77" si="21">IF(N70="","",O70/M70)</f>
        <v>0.86754643206256121</v>
      </c>
      <c r="Q70" s="640"/>
      <c r="R70" s="653" t="s">
        <v>234</v>
      </c>
      <c r="S70" s="847"/>
      <c r="T70" s="824"/>
      <c r="U70" s="568"/>
      <c r="V70" s="965"/>
      <c r="W70" s="948"/>
      <c r="X70" s="948"/>
      <c r="Y70" s="948"/>
      <c r="Z70" s="948"/>
      <c r="AA70" s="948"/>
      <c r="AB70" s="948"/>
      <c r="AC70" s="966"/>
    </row>
    <row r="71" spans="1:29" ht="22.5" outlineLevel="2" x14ac:dyDescent="0.2">
      <c r="A71" s="497">
        <f t="shared" si="13"/>
        <v>8</v>
      </c>
      <c r="B71" s="524"/>
      <c r="C71" s="523"/>
      <c r="D71" s="967">
        <v>0.375</v>
      </c>
      <c r="E71" s="523"/>
      <c r="F71" s="948"/>
      <c r="G71" s="948"/>
      <c r="H71" s="960"/>
      <c r="I71" s="961">
        <v>0.5</v>
      </c>
      <c r="J71" s="990">
        <f>IF(F69=0,"0",H69/I69)</f>
        <v>163.67999999999998</v>
      </c>
      <c r="K71" s="948"/>
      <c r="L71" s="968">
        <f t="shared" ref="L71:L77" si="22">N70</f>
        <v>0.33333333333333331</v>
      </c>
      <c r="M71" s="618">
        <f t="shared" si="20"/>
        <v>81.839999999999989</v>
      </c>
      <c r="N71" s="967">
        <v>0.375</v>
      </c>
      <c r="O71" s="969">
        <v>121</v>
      </c>
      <c r="P71" s="617">
        <f t="shared" si="21"/>
        <v>1.4784946236559142</v>
      </c>
      <c r="Q71" s="617"/>
      <c r="R71" s="846" t="s">
        <v>235</v>
      </c>
      <c r="S71" s="846"/>
      <c r="T71" s="822"/>
      <c r="U71" s="568"/>
      <c r="V71" s="965"/>
      <c r="W71" s="948"/>
      <c r="X71" s="948"/>
      <c r="Y71" s="948"/>
      <c r="Z71" s="948"/>
      <c r="AA71" s="948"/>
      <c r="AB71" s="948"/>
      <c r="AC71" s="966"/>
    </row>
    <row r="72" spans="1:29" outlineLevel="2" x14ac:dyDescent="0.2">
      <c r="A72" s="497">
        <f t="shared" si="13"/>
        <v>8</v>
      </c>
      <c r="B72" s="524"/>
      <c r="C72" s="523"/>
      <c r="D72" s="959">
        <v>0.41666666666666669</v>
      </c>
      <c r="E72" s="523"/>
      <c r="F72" s="948"/>
      <c r="G72" s="948"/>
      <c r="H72" s="960"/>
      <c r="I72" s="961">
        <v>1</v>
      </c>
      <c r="J72" s="990">
        <f>IF(F69=0,"0",H69/I69)</f>
        <v>163.67999999999998</v>
      </c>
      <c r="K72" s="948"/>
      <c r="L72" s="963">
        <f t="shared" si="22"/>
        <v>0.375</v>
      </c>
      <c r="M72" s="639">
        <f t="shared" si="20"/>
        <v>163.67999999999998</v>
      </c>
      <c r="N72" s="959">
        <v>0.41666666666666669</v>
      </c>
      <c r="O72" s="964">
        <v>103</v>
      </c>
      <c r="P72" s="640">
        <f t="shared" si="21"/>
        <v>0.62927663734115358</v>
      </c>
      <c r="Q72" s="640"/>
      <c r="R72" s="847" t="s">
        <v>236</v>
      </c>
      <c r="S72" s="847"/>
      <c r="T72" s="824"/>
      <c r="U72" s="568"/>
      <c r="V72" s="965"/>
      <c r="W72" s="948"/>
      <c r="X72" s="948"/>
      <c r="Y72" s="948"/>
      <c r="Z72" s="948"/>
      <c r="AA72" s="948"/>
      <c r="AB72" s="948"/>
      <c r="AC72" s="966"/>
    </row>
    <row r="73" spans="1:29" ht="22.5" outlineLevel="2" x14ac:dyDescent="0.2">
      <c r="A73" s="497">
        <f t="shared" si="13"/>
        <v>8</v>
      </c>
      <c r="B73" s="524"/>
      <c r="C73" s="523"/>
      <c r="D73" s="967">
        <v>0.45833333333333331</v>
      </c>
      <c r="E73" s="523"/>
      <c r="F73" s="948"/>
      <c r="G73" s="948"/>
      <c r="H73" s="960"/>
      <c r="I73" s="961">
        <v>1</v>
      </c>
      <c r="J73" s="990">
        <f>IF(F69=0,"0",H69/I69)</f>
        <v>163.67999999999998</v>
      </c>
      <c r="K73" s="948"/>
      <c r="L73" s="968">
        <f t="shared" si="22"/>
        <v>0.41666666666666669</v>
      </c>
      <c r="M73" s="618">
        <f t="shared" si="20"/>
        <v>163.67999999999998</v>
      </c>
      <c r="N73" s="967">
        <v>0.45833333333333331</v>
      </c>
      <c r="O73" s="969">
        <v>132</v>
      </c>
      <c r="P73" s="617">
        <f t="shared" si="21"/>
        <v>0.80645161290322587</v>
      </c>
      <c r="Q73" s="617"/>
      <c r="R73" s="846" t="s">
        <v>234</v>
      </c>
      <c r="S73" s="846"/>
      <c r="T73" s="822"/>
      <c r="U73" s="568"/>
      <c r="V73" s="965"/>
      <c r="W73" s="948"/>
      <c r="X73" s="948"/>
      <c r="Y73" s="948"/>
      <c r="Z73" s="948"/>
      <c r="AA73" s="948"/>
      <c r="AB73" s="948"/>
      <c r="AC73" s="966"/>
    </row>
    <row r="74" spans="1:29" outlineLevel="2" x14ac:dyDescent="0.2">
      <c r="A74" s="497">
        <f t="shared" si="13"/>
        <v>8</v>
      </c>
      <c r="B74" s="524"/>
      <c r="C74" s="523"/>
      <c r="D74" s="959">
        <v>0.5</v>
      </c>
      <c r="E74" s="523"/>
      <c r="F74" s="948"/>
      <c r="G74" s="948"/>
      <c r="H74" s="960"/>
      <c r="I74" s="961">
        <v>1</v>
      </c>
      <c r="J74" s="990">
        <f>IF(F69=0,"0",H69/I69)</f>
        <v>163.67999999999998</v>
      </c>
      <c r="K74" s="948"/>
      <c r="L74" s="963">
        <f t="shared" si="22"/>
        <v>0.45833333333333331</v>
      </c>
      <c r="M74" s="639">
        <f t="shared" si="20"/>
        <v>163.67999999999998</v>
      </c>
      <c r="N74" s="959">
        <v>0.5</v>
      </c>
      <c r="O74" s="964"/>
      <c r="P74" s="640">
        <f t="shared" si="21"/>
        <v>0</v>
      </c>
      <c r="Q74" s="640"/>
      <c r="R74" s="653"/>
      <c r="S74" s="847"/>
      <c r="T74" s="824"/>
      <c r="U74" s="568"/>
      <c r="V74" s="965"/>
      <c r="W74" s="948"/>
      <c r="X74" s="948"/>
      <c r="Y74" s="948"/>
      <c r="Z74" s="948"/>
      <c r="AA74" s="948"/>
      <c r="AB74" s="948"/>
      <c r="AC74" s="966"/>
    </row>
    <row r="75" spans="1:29" outlineLevel="2" x14ac:dyDescent="0.2">
      <c r="A75" s="497">
        <f t="shared" si="13"/>
        <v>8</v>
      </c>
      <c r="B75" s="524"/>
      <c r="C75" s="523"/>
      <c r="D75" s="967">
        <v>0.54166666666666663</v>
      </c>
      <c r="E75" s="523"/>
      <c r="F75" s="948"/>
      <c r="G75" s="948"/>
      <c r="H75" s="960"/>
      <c r="I75" s="961">
        <v>1</v>
      </c>
      <c r="J75" s="990">
        <f>IF(F69=0,"0",H69/I69)</f>
        <v>163.67999999999998</v>
      </c>
      <c r="K75" s="948"/>
      <c r="L75" s="968">
        <f t="shared" si="22"/>
        <v>0.5</v>
      </c>
      <c r="M75" s="618">
        <f t="shared" si="20"/>
        <v>163.67999999999998</v>
      </c>
      <c r="N75" s="967">
        <v>0.54166666666666663</v>
      </c>
      <c r="O75" s="969"/>
      <c r="P75" s="617">
        <f t="shared" si="21"/>
        <v>0</v>
      </c>
      <c r="Q75" s="617"/>
      <c r="R75" s="848"/>
      <c r="S75" s="846"/>
      <c r="T75" s="822"/>
      <c r="U75" s="568"/>
      <c r="V75" s="965"/>
      <c r="W75" s="948"/>
      <c r="X75" s="948"/>
      <c r="Y75" s="948"/>
      <c r="Z75" s="948"/>
      <c r="AA75" s="948"/>
      <c r="AB75" s="948"/>
      <c r="AC75" s="966"/>
    </row>
    <row r="76" spans="1:29" outlineLevel="2" x14ac:dyDescent="0.2">
      <c r="A76" s="497">
        <f t="shared" ref="A76:A109" si="23">$A$11</f>
        <v>8</v>
      </c>
      <c r="B76" s="524"/>
      <c r="C76" s="523"/>
      <c r="D76" s="959">
        <v>0.58333333333333337</v>
      </c>
      <c r="E76" s="523"/>
      <c r="F76" s="948"/>
      <c r="G76" s="948"/>
      <c r="H76" s="960"/>
      <c r="I76" s="961">
        <v>1</v>
      </c>
      <c r="J76" s="990">
        <f>IF(F69=0,"0",H69/I69)</f>
        <v>163.67999999999998</v>
      </c>
      <c r="K76" s="948"/>
      <c r="L76" s="963">
        <f t="shared" si="22"/>
        <v>0.54166666666666663</v>
      </c>
      <c r="M76" s="639">
        <f t="shared" si="20"/>
        <v>163.67999999999998</v>
      </c>
      <c r="N76" s="959">
        <v>0.58333333333333337</v>
      </c>
      <c r="O76" s="964"/>
      <c r="P76" s="640">
        <f t="shared" si="21"/>
        <v>0</v>
      </c>
      <c r="Q76" s="640"/>
      <c r="R76" s="847"/>
      <c r="S76" s="847"/>
      <c r="T76" s="824"/>
      <c r="U76" s="568"/>
      <c r="V76" s="965"/>
      <c r="W76" s="948"/>
      <c r="X76" s="948"/>
      <c r="Y76" s="948"/>
      <c r="Z76" s="948"/>
      <c r="AA76" s="948"/>
      <c r="AB76" s="948"/>
      <c r="AC76" s="966"/>
    </row>
    <row r="77" spans="1:29" outlineLevel="2" x14ac:dyDescent="0.2">
      <c r="A77" s="497">
        <f t="shared" si="23"/>
        <v>8</v>
      </c>
      <c r="B77" s="524"/>
      <c r="C77" s="523"/>
      <c r="D77" s="970">
        <v>0.625</v>
      </c>
      <c r="E77" s="523"/>
      <c r="F77" s="948"/>
      <c r="G77" s="948"/>
      <c r="H77" s="960"/>
      <c r="I77" s="961">
        <v>1</v>
      </c>
      <c r="J77" s="990">
        <f>IF(F69=0,"0",H69/I69)</f>
        <v>163.67999999999998</v>
      </c>
      <c r="K77" s="948"/>
      <c r="L77" s="971">
        <f t="shared" si="22"/>
        <v>0.58333333333333337</v>
      </c>
      <c r="M77" s="618">
        <f t="shared" si="20"/>
        <v>163.67999999999998</v>
      </c>
      <c r="N77" s="970">
        <v>0.625</v>
      </c>
      <c r="O77" s="972"/>
      <c r="P77" s="503">
        <f t="shared" si="21"/>
        <v>0</v>
      </c>
      <c r="Q77" s="503"/>
      <c r="R77" s="571"/>
      <c r="S77" s="571"/>
      <c r="T77" s="826"/>
      <c r="U77" s="568"/>
      <c r="V77" s="973"/>
      <c r="W77" s="974"/>
      <c r="X77" s="974"/>
      <c r="Y77" s="948"/>
      <c r="Z77" s="974"/>
      <c r="AA77" s="974"/>
      <c r="AB77" s="974"/>
      <c r="AC77" s="975"/>
    </row>
    <row r="78" spans="1:29" s="622" customFormat="1" outlineLevel="1" x14ac:dyDescent="0.2">
      <c r="A78" s="497">
        <f t="shared" si="23"/>
        <v>8</v>
      </c>
      <c r="B78" s="551">
        <f>B69</f>
        <v>46071</v>
      </c>
      <c r="C78" s="550" t="s">
        <v>210</v>
      </c>
      <c r="D78" s="563"/>
      <c r="E78" s="550"/>
      <c r="F78" s="549">
        <v>16500</v>
      </c>
      <c r="G78" s="548">
        <v>620</v>
      </c>
      <c r="H78" s="547">
        <f>+F78*12*G78/100000</f>
        <v>1227.5999999999999</v>
      </c>
      <c r="I78" s="546">
        <v>7</v>
      </c>
      <c r="J78" s="990"/>
      <c r="K78" s="545"/>
      <c r="L78" s="827" t="str">
        <f>C78</f>
        <v>T2</v>
      </c>
      <c r="M78" s="566">
        <f>IF(O78=0,"0",SUM(M79:M86))</f>
        <v>1227.6000000000001</v>
      </c>
      <c r="N78" s="563"/>
      <c r="O78" s="565">
        <f>SUM(O79:O86)</f>
        <v>984.8886</v>
      </c>
      <c r="P78" s="564">
        <f>+O78/M78</f>
        <v>0.80228787878787866</v>
      </c>
      <c r="Q78" s="563"/>
      <c r="R78" s="828"/>
      <c r="S78" s="828"/>
      <c r="T78" s="829"/>
      <c r="U78" s="536"/>
      <c r="V78" s="948"/>
      <c r="W78" s="948"/>
      <c r="X78" s="948"/>
      <c r="Y78" s="948"/>
      <c r="Z78" s="948"/>
      <c r="AA78" s="948"/>
      <c r="AB78" s="948"/>
      <c r="AC78" s="976"/>
    </row>
    <row r="79" spans="1:29" s="623" customFormat="1" outlineLevel="2" x14ac:dyDescent="0.2">
      <c r="A79" s="497">
        <f t="shared" si="23"/>
        <v>8</v>
      </c>
      <c r="B79" s="524"/>
      <c r="C79" s="523"/>
      <c r="D79" s="967">
        <v>0.66666666666666663</v>
      </c>
      <c r="E79" s="523"/>
      <c r="F79" s="948"/>
      <c r="G79" s="548">
        <v>620</v>
      </c>
      <c r="H79" s="960"/>
      <c r="I79" s="961">
        <v>1</v>
      </c>
      <c r="J79" s="990">
        <f>IF(F78=0,"0",H78/I78)</f>
        <v>175.37142857142857</v>
      </c>
      <c r="K79" s="948"/>
      <c r="L79" s="968">
        <v>0.625</v>
      </c>
      <c r="M79" s="618">
        <f t="shared" ref="M79:M86" si="24">IF(N79="","",J79*I79)</f>
        <v>175.37142857142857</v>
      </c>
      <c r="N79" s="967">
        <v>0.66666666666666663</v>
      </c>
      <c r="O79" s="969"/>
      <c r="P79" s="617">
        <f t="shared" ref="P79:P86" si="25">IF(N79="","",O79/M79)</f>
        <v>0</v>
      </c>
      <c r="Q79" s="948"/>
      <c r="R79" s="629"/>
      <c r="S79" s="532"/>
      <c r="T79" s="830"/>
      <c r="U79" s="950"/>
      <c r="V79" s="956"/>
      <c r="W79" s="957"/>
      <c r="X79" s="957"/>
      <c r="Y79" s="948"/>
      <c r="Z79" s="957"/>
      <c r="AA79" s="957"/>
      <c r="AB79" s="957"/>
      <c r="AC79" s="958"/>
    </row>
    <row r="80" spans="1:29" s="623" customFormat="1" ht="78.75" outlineLevel="2" x14ac:dyDescent="0.2">
      <c r="A80" s="497">
        <f t="shared" si="23"/>
        <v>8</v>
      </c>
      <c r="B80" s="524"/>
      <c r="C80" s="523"/>
      <c r="D80" s="959">
        <v>0.70833333333333337</v>
      </c>
      <c r="E80" s="523">
        <v>7218</v>
      </c>
      <c r="F80" s="991">
        <f t="shared" ref="F80:F86" si="26">E80/12</f>
        <v>601.5</v>
      </c>
      <c r="G80" s="548">
        <v>620</v>
      </c>
      <c r="H80" s="960"/>
      <c r="I80" s="961">
        <v>1</v>
      </c>
      <c r="J80" s="990">
        <f>IF(F78=0,"0",H78/I78)</f>
        <v>175.37142857142857</v>
      </c>
      <c r="K80" s="948"/>
      <c r="L80" s="963">
        <f t="shared" ref="L80:L86" si="27">N79</f>
        <v>0.66666666666666663</v>
      </c>
      <c r="M80" s="639">
        <f t="shared" si="24"/>
        <v>175.37142857142857</v>
      </c>
      <c r="N80" s="959">
        <v>0.70833333333333337</v>
      </c>
      <c r="O80" s="992">
        <f t="shared" ref="O80:O86" si="28">E80*G80/100000</f>
        <v>44.751600000000003</v>
      </c>
      <c r="P80" s="640">
        <f t="shared" si="25"/>
        <v>0.25518181818181823</v>
      </c>
      <c r="Q80" s="964"/>
      <c r="R80" s="831" t="s">
        <v>237</v>
      </c>
      <c r="S80" s="832" t="s">
        <v>238</v>
      </c>
      <c r="T80" s="833"/>
      <c r="U80" s="950"/>
      <c r="V80" s="965"/>
      <c r="W80" s="948"/>
      <c r="X80" s="948"/>
      <c r="Y80" s="948"/>
      <c r="Z80" s="948"/>
      <c r="AA80" s="948"/>
      <c r="AB80" s="948"/>
      <c r="AC80" s="966"/>
    </row>
    <row r="81" spans="1:29" s="623" customFormat="1" ht="56.25" outlineLevel="2" x14ac:dyDescent="0.2">
      <c r="A81" s="497">
        <f t="shared" si="23"/>
        <v>8</v>
      </c>
      <c r="B81" s="524"/>
      <c r="C81" s="523"/>
      <c r="D81" s="967">
        <v>0.75</v>
      </c>
      <c r="E81" s="523">
        <v>28298</v>
      </c>
      <c r="F81" s="991">
        <f t="shared" si="26"/>
        <v>2358.1666666666665</v>
      </c>
      <c r="G81" s="548">
        <v>620</v>
      </c>
      <c r="H81" s="960"/>
      <c r="I81" s="961">
        <v>0.5</v>
      </c>
      <c r="J81" s="990">
        <f>IF(F78=0,"0",H78/I78)</f>
        <v>175.37142857142857</v>
      </c>
      <c r="K81" s="948"/>
      <c r="L81" s="968">
        <f t="shared" si="27"/>
        <v>0.70833333333333337</v>
      </c>
      <c r="M81" s="618">
        <f t="shared" si="24"/>
        <v>87.685714285714283</v>
      </c>
      <c r="N81" s="967">
        <v>0.75</v>
      </c>
      <c r="O81" s="992">
        <f t="shared" si="28"/>
        <v>175.44759999999999</v>
      </c>
      <c r="P81" s="617">
        <f t="shared" si="25"/>
        <v>2.0008686868686869</v>
      </c>
      <c r="Q81" s="948"/>
      <c r="R81" s="532" t="s">
        <v>239</v>
      </c>
      <c r="S81" s="532" t="s">
        <v>240</v>
      </c>
      <c r="T81" s="830"/>
      <c r="U81" s="950"/>
      <c r="V81" s="965"/>
      <c r="W81" s="948"/>
      <c r="X81" s="948"/>
      <c r="Y81" s="948"/>
      <c r="Z81" s="948"/>
      <c r="AA81" s="948"/>
      <c r="AB81" s="948"/>
      <c r="AC81" s="966"/>
    </row>
    <row r="82" spans="1:29" s="623" customFormat="1" ht="33.75" outlineLevel="2" x14ac:dyDescent="0.2">
      <c r="A82" s="497">
        <f t="shared" si="23"/>
        <v>8</v>
      </c>
      <c r="B82" s="524"/>
      <c r="C82" s="523"/>
      <c r="D82" s="959">
        <v>0.79166666666666663</v>
      </c>
      <c r="E82" s="523">
        <v>26856</v>
      </c>
      <c r="F82" s="991">
        <f t="shared" si="26"/>
        <v>2238</v>
      </c>
      <c r="G82" s="548">
        <v>620</v>
      </c>
      <c r="H82" s="960"/>
      <c r="I82" s="961">
        <v>1</v>
      </c>
      <c r="J82" s="990">
        <f>IF(F78=0,"0",H78/I78)</f>
        <v>175.37142857142857</v>
      </c>
      <c r="K82" s="948"/>
      <c r="L82" s="963">
        <f t="shared" si="27"/>
        <v>0.75</v>
      </c>
      <c r="M82" s="639">
        <f t="shared" si="24"/>
        <v>175.37142857142857</v>
      </c>
      <c r="N82" s="959">
        <v>0.79166666666666663</v>
      </c>
      <c r="O82" s="992">
        <f t="shared" si="28"/>
        <v>166.50720000000001</v>
      </c>
      <c r="P82" s="640">
        <f t="shared" si="25"/>
        <v>0.94945454545454555</v>
      </c>
      <c r="Q82" s="964"/>
      <c r="R82" s="653" t="s">
        <v>241</v>
      </c>
      <c r="S82" s="832" t="s">
        <v>242</v>
      </c>
      <c r="T82" s="833"/>
      <c r="U82" s="950"/>
      <c r="V82" s="965"/>
      <c r="W82" s="948"/>
      <c r="X82" s="948"/>
      <c r="Y82" s="948"/>
      <c r="Z82" s="948"/>
      <c r="AA82" s="948"/>
      <c r="AB82" s="948"/>
      <c r="AC82" s="966"/>
    </row>
    <row r="83" spans="1:29" s="623" customFormat="1" ht="22.5" outlineLevel="2" x14ac:dyDescent="0.2">
      <c r="A83" s="497">
        <f t="shared" si="23"/>
        <v>8</v>
      </c>
      <c r="B83" s="524"/>
      <c r="C83" s="523"/>
      <c r="D83" s="967">
        <v>0.83333333333333337</v>
      </c>
      <c r="E83" s="523">
        <v>28561</v>
      </c>
      <c r="F83" s="991">
        <f t="shared" si="26"/>
        <v>2380.0833333333335</v>
      </c>
      <c r="G83" s="548">
        <v>620</v>
      </c>
      <c r="H83" s="960"/>
      <c r="I83" s="961">
        <v>1</v>
      </c>
      <c r="J83" s="990">
        <f>IF(F78=0,"0",H78/I78)</f>
        <v>175.37142857142857</v>
      </c>
      <c r="K83" s="948"/>
      <c r="L83" s="968">
        <f t="shared" si="27"/>
        <v>0.79166666666666663</v>
      </c>
      <c r="M83" s="618">
        <f t="shared" si="24"/>
        <v>175.37142857142857</v>
      </c>
      <c r="N83" s="967">
        <v>0.83333333333333337</v>
      </c>
      <c r="O83" s="992">
        <f t="shared" si="28"/>
        <v>177.07820000000001</v>
      </c>
      <c r="P83" s="617">
        <f t="shared" si="25"/>
        <v>1.0097323232323234</v>
      </c>
      <c r="Q83" s="948"/>
      <c r="R83" s="532" t="s">
        <v>243</v>
      </c>
      <c r="S83" s="532" t="s">
        <v>244</v>
      </c>
      <c r="T83" s="830"/>
      <c r="U83" s="950"/>
      <c r="V83" s="965"/>
      <c r="W83" s="948"/>
      <c r="X83" s="948"/>
      <c r="Y83" s="948"/>
      <c r="Z83" s="948"/>
      <c r="AA83" s="948"/>
      <c r="AB83" s="948"/>
      <c r="AC83" s="966"/>
    </row>
    <row r="84" spans="1:29" s="623" customFormat="1" ht="67.5" outlineLevel="2" x14ac:dyDescent="0.2">
      <c r="A84" s="497">
        <f t="shared" si="23"/>
        <v>8</v>
      </c>
      <c r="B84" s="524"/>
      <c r="C84" s="523"/>
      <c r="D84" s="959">
        <v>0.875</v>
      </c>
      <c r="E84" s="523">
        <v>23904</v>
      </c>
      <c r="F84" s="991">
        <f t="shared" si="26"/>
        <v>1992</v>
      </c>
      <c r="G84" s="548">
        <v>620</v>
      </c>
      <c r="H84" s="960"/>
      <c r="I84" s="961">
        <v>1</v>
      </c>
      <c r="J84" s="990">
        <f>IF(F78=0,"0",H78/I78)</f>
        <v>175.37142857142857</v>
      </c>
      <c r="K84" s="948"/>
      <c r="L84" s="963">
        <f t="shared" si="27"/>
        <v>0.83333333333333337</v>
      </c>
      <c r="M84" s="639">
        <f t="shared" si="24"/>
        <v>175.37142857142857</v>
      </c>
      <c r="N84" s="959">
        <v>0.875</v>
      </c>
      <c r="O84" s="992">
        <f t="shared" si="28"/>
        <v>148.20480000000001</v>
      </c>
      <c r="P84" s="640">
        <f t="shared" si="25"/>
        <v>0.84509090909090911</v>
      </c>
      <c r="Q84" s="964"/>
      <c r="R84" s="832" t="s">
        <v>245</v>
      </c>
      <c r="S84" s="832" t="s">
        <v>246</v>
      </c>
      <c r="T84" s="833"/>
      <c r="U84" s="950"/>
      <c r="V84" s="965"/>
      <c r="W84" s="948"/>
      <c r="X84" s="948"/>
      <c r="Y84" s="948"/>
      <c r="Z84" s="948"/>
      <c r="AA84" s="948"/>
      <c r="AB84" s="948"/>
      <c r="AC84" s="966"/>
    </row>
    <row r="85" spans="1:29" s="623" customFormat="1" ht="67.5" outlineLevel="2" x14ac:dyDescent="0.2">
      <c r="A85" s="497">
        <f t="shared" si="23"/>
        <v>8</v>
      </c>
      <c r="B85" s="524"/>
      <c r="C85" s="523"/>
      <c r="D85" s="967">
        <v>0.91666666666666663</v>
      </c>
      <c r="E85" s="523">
        <v>21015</v>
      </c>
      <c r="F85" s="991">
        <f t="shared" si="26"/>
        <v>1751.25</v>
      </c>
      <c r="G85" s="548">
        <v>620</v>
      </c>
      <c r="H85" s="960"/>
      <c r="I85" s="961">
        <v>0.5</v>
      </c>
      <c r="J85" s="990">
        <f>IF(F78=0,"0",H78/I78)</f>
        <v>175.37142857142857</v>
      </c>
      <c r="K85" s="948"/>
      <c r="L85" s="968">
        <f t="shared" si="27"/>
        <v>0.875</v>
      </c>
      <c r="M85" s="618">
        <f t="shared" si="24"/>
        <v>87.685714285714283</v>
      </c>
      <c r="N85" s="967">
        <v>0.91666666666666663</v>
      </c>
      <c r="O85" s="992">
        <f t="shared" si="28"/>
        <v>130.29300000000001</v>
      </c>
      <c r="P85" s="617">
        <f t="shared" si="25"/>
        <v>1.4859090909090911</v>
      </c>
      <c r="Q85" s="948"/>
      <c r="R85" s="532" t="s">
        <v>247</v>
      </c>
      <c r="S85" s="532" t="s">
        <v>248</v>
      </c>
      <c r="T85" s="830" t="s">
        <v>249</v>
      </c>
      <c r="U85" s="950"/>
      <c r="V85" s="965"/>
      <c r="W85" s="948"/>
      <c r="X85" s="948"/>
      <c r="Y85" s="948"/>
      <c r="Z85" s="948"/>
      <c r="AA85" s="948"/>
      <c r="AB85" s="948"/>
      <c r="AC85" s="966"/>
    </row>
    <row r="86" spans="1:29" s="623" customFormat="1" ht="22.5" outlineLevel="2" x14ac:dyDescent="0.2">
      <c r="A86" s="497">
        <f t="shared" si="23"/>
        <v>8</v>
      </c>
      <c r="B86" s="524"/>
      <c r="C86" s="523"/>
      <c r="D86" s="977">
        <v>0.95833333333333337</v>
      </c>
      <c r="E86" s="523">
        <v>23001</v>
      </c>
      <c r="F86" s="991">
        <f t="shared" si="26"/>
        <v>1916.75</v>
      </c>
      <c r="G86" s="548">
        <v>620</v>
      </c>
      <c r="H86" s="960"/>
      <c r="I86" s="961">
        <v>1</v>
      </c>
      <c r="J86" s="990">
        <f>IF(F78=0,"0",H78/I78)</f>
        <v>175.37142857142857</v>
      </c>
      <c r="K86" s="948"/>
      <c r="L86" s="978">
        <f t="shared" si="27"/>
        <v>0.91666666666666663</v>
      </c>
      <c r="M86" s="639">
        <f t="shared" si="24"/>
        <v>175.37142857142857</v>
      </c>
      <c r="N86" s="977">
        <v>0.95833333333333337</v>
      </c>
      <c r="O86" s="992">
        <f t="shared" si="28"/>
        <v>142.6062</v>
      </c>
      <c r="P86" s="641">
        <f t="shared" si="25"/>
        <v>0.8131666666666667</v>
      </c>
      <c r="Q86" s="979"/>
      <c r="R86" s="835" t="s">
        <v>250</v>
      </c>
      <c r="S86" s="835" t="s">
        <v>251</v>
      </c>
      <c r="T86" s="836"/>
      <c r="U86" s="950"/>
      <c r="V86" s="973"/>
      <c r="W86" s="974"/>
      <c r="X86" s="974"/>
      <c r="Y86" s="948"/>
      <c r="Z86" s="974"/>
      <c r="AA86" s="974"/>
      <c r="AB86" s="974"/>
      <c r="AC86" s="975"/>
    </row>
    <row r="87" spans="1:29" s="624" customFormat="1" outlineLevel="1" x14ac:dyDescent="0.2">
      <c r="A87" s="497">
        <f t="shared" si="23"/>
        <v>8</v>
      </c>
      <c r="B87" s="551">
        <f>B69</f>
        <v>46071</v>
      </c>
      <c r="C87" s="550" t="s">
        <v>211</v>
      </c>
      <c r="D87" s="540"/>
      <c r="E87" s="550"/>
      <c r="F87" s="549">
        <f>+F88+F90</f>
        <v>8000</v>
      </c>
      <c r="G87" s="548"/>
      <c r="H87" s="547">
        <f>+F87*12*G87/100000</f>
        <v>0</v>
      </c>
      <c r="I87" s="546">
        <f>+I90+I88</f>
        <v>7.5</v>
      </c>
      <c r="J87" s="990"/>
      <c r="K87" s="545"/>
      <c r="L87" s="837" t="str">
        <f>C87</f>
        <v>T3</v>
      </c>
      <c r="M87" s="543">
        <f>IF(O87=0,"0",SUM(M89:M97))</f>
        <v>3820.8</v>
      </c>
      <c r="N87" s="540"/>
      <c r="O87" s="542">
        <f>SUM(O89:O97)</f>
        <v>1096.1399999999999</v>
      </c>
      <c r="P87" s="541">
        <f>+O87/M87</f>
        <v>0.2868875628140703</v>
      </c>
      <c r="Q87" s="540"/>
      <c r="R87" s="838"/>
      <c r="S87" s="838"/>
      <c r="T87" s="839"/>
      <c r="U87" s="536"/>
      <c r="V87" s="948"/>
      <c r="W87" s="948"/>
      <c r="X87" s="948"/>
      <c r="Y87" s="948"/>
      <c r="Z87" s="948"/>
      <c r="AA87" s="948"/>
      <c r="AB87" s="948"/>
      <c r="AC87" s="976"/>
    </row>
    <row r="88" spans="1:29" s="624" customFormat="1" outlineLevel="1" x14ac:dyDescent="0.2">
      <c r="A88" s="497"/>
      <c r="B88" s="551"/>
      <c r="C88" s="550"/>
      <c r="D88" s="545"/>
      <c r="E88" s="550"/>
      <c r="F88" s="549">
        <v>2000</v>
      </c>
      <c r="G88" s="548">
        <v>620</v>
      </c>
      <c r="H88" s="849">
        <f>+F88*12*G88/100000</f>
        <v>148.80000000000001</v>
      </c>
      <c r="I88" s="850">
        <v>1</v>
      </c>
      <c r="J88" s="990"/>
      <c r="K88" s="545"/>
      <c r="L88" s="652"/>
      <c r="M88" s="582"/>
      <c r="N88" s="545"/>
      <c r="O88" s="565"/>
      <c r="P88" s="581"/>
      <c r="Q88" s="545"/>
      <c r="R88" s="851"/>
      <c r="S88" s="851"/>
      <c r="T88" s="852"/>
      <c r="U88" s="536"/>
      <c r="V88" s="948"/>
      <c r="W88" s="948"/>
      <c r="X88" s="948"/>
      <c r="Y88" s="948"/>
      <c r="Z88" s="948"/>
      <c r="AA88" s="948"/>
      <c r="AB88" s="948"/>
      <c r="AC88" s="976"/>
    </row>
    <row r="89" spans="1:29" s="623" customFormat="1" ht="33.75" hidden="1" outlineLevel="2" x14ac:dyDescent="0.2">
      <c r="A89" s="497">
        <f t="shared" si="23"/>
        <v>8</v>
      </c>
      <c r="B89" s="524"/>
      <c r="C89" s="523"/>
      <c r="D89" s="959">
        <v>0</v>
      </c>
      <c r="E89" s="811"/>
      <c r="F89" s="991">
        <f t="shared" ref="F89:F97" si="29">E89/12</f>
        <v>0</v>
      </c>
      <c r="G89" s="548">
        <v>620</v>
      </c>
      <c r="H89" s="960"/>
      <c r="I89" s="961">
        <v>1</v>
      </c>
      <c r="J89" s="990">
        <f>IF(F88=0,"0",H88/I88)</f>
        <v>148.80000000000001</v>
      </c>
      <c r="K89" s="948"/>
      <c r="L89" s="963">
        <v>0.95833333333333337</v>
      </c>
      <c r="M89" s="639">
        <f t="shared" ref="M89:M97" si="30">IF(N89="","",J89*I89)</f>
        <v>148.80000000000001</v>
      </c>
      <c r="N89" s="959">
        <v>0</v>
      </c>
      <c r="O89" s="964">
        <v>82.29</v>
      </c>
      <c r="P89" s="640">
        <f t="shared" ref="P89:P97" si="31">IF(N89="","",O89/M89)</f>
        <v>0.55302419354838706</v>
      </c>
      <c r="Q89" s="964"/>
      <c r="R89" s="647" t="s">
        <v>252</v>
      </c>
      <c r="S89" s="832" t="s">
        <v>253</v>
      </c>
      <c r="T89" s="833" t="s">
        <v>254</v>
      </c>
      <c r="U89" s="950"/>
      <c r="V89" s="956"/>
      <c r="W89" s="957"/>
      <c r="X89" s="957"/>
      <c r="Y89" s="948"/>
      <c r="Z89" s="957"/>
      <c r="AA89" s="957"/>
      <c r="AB89" s="957"/>
      <c r="AC89" s="958"/>
    </row>
    <row r="90" spans="1:29" s="623" customFormat="1" hidden="1" outlineLevel="2" x14ac:dyDescent="0.2">
      <c r="A90" s="497">
        <f t="shared" si="23"/>
        <v>8</v>
      </c>
      <c r="B90" s="524"/>
      <c r="C90" s="523"/>
      <c r="D90" s="523"/>
      <c r="E90" s="811"/>
      <c r="F90" s="549">
        <v>6000</v>
      </c>
      <c r="G90" s="548">
        <v>650</v>
      </c>
      <c r="H90" s="960">
        <f>+F90*12*G90/100000</f>
        <v>468</v>
      </c>
      <c r="I90" s="961">
        <f>SUM(I91:I97)</f>
        <v>6.5</v>
      </c>
      <c r="J90" s="990">
        <f>SUM(J91:J97)</f>
        <v>504</v>
      </c>
      <c r="K90" s="948"/>
      <c r="L90" s="950"/>
      <c r="M90" s="950"/>
      <c r="N90" s="950"/>
      <c r="O90" s="950"/>
      <c r="P90" s="950"/>
      <c r="Q90" s="950"/>
      <c r="R90" s="950"/>
      <c r="S90" s="950"/>
      <c r="T90" s="950"/>
      <c r="U90" s="950"/>
      <c r="V90" s="965"/>
      <c r="W90" s="948"/>
      <c r="X90" s="948"/>
      <c r="Y90" s="948"/>
      <c r="Z90" s="948"/>
      <c r="AA90" s="948"/>
      <c r="AB90" s="948"/>
      <c r="AC90" s="966"/>
    </row>
    <row r="91" spans="1:29" s="623" customFormat="1" ht="33.75" hidden="1" outlineLevel="2" x14ac:dyDescent="0.2">
      <c r="A91" s="497"/>
      <c r="B91" s="524"/>
      <c r="C91" s="523"/>
      <c r="D91" s="967">
        <v>4.1666666666666664E-2</v>
      </c>
      <c r="E91" s="811"/>
      <c r="F91" s="549"/>
      <c r="G91" s="548"/>
      <c r="H91" s="960"/>
      <c r="I91" s="961">
        <v>1</v>
      </c>
      <c r="J91" s="990">
        <f>IF(F90=0,"0",H90/I90)</f>
        <v>72</v>
      </c>
      <c r="K91" s="948"/>
      <c r="L91" s="968">
        <f>N89</f>
        <v>0</v>
      </c>
      <c r="M91" s="618">
        <f>IF(N91="","",J90*I90)</f>
        <v>3276</v>
      </c>
      <c r="N91" s="967">
        <v>4.1666666666666664E-2</v>
      </c>
      <c r="O91" s="969">
        <v>115.37</v>
      </c>
      <c r="P91" s="617">
        <f>IF(N91="","",O91/M91)</f>
        <v>3.5216727716727715E-2</v>
      </c>
      <c r="Q91" s="948"/>
      <c r="R91" s="648" t="s">
        <v>252</v>
      </c>
      <c r="S91" s="532" t="s">
        <v>253</v>
      </c>
      <c r="T91" s="830"/>
      <c r="U91" s="950"/>
      <c r="V91" s="965"/>
      <c r="W91" s="948"/>
      <c r="X91" s="948"/>
      <c r="Y91" s="948"/>
      <c r="Z91" s="948"/>
      <c r="AA91" s="948"/>
      <c r="AB91" s="948"/>
      <c r="AC91" s="966"/>
    </row>
    <row r="92" spans="1:29" s="623" customFormat="1" ht="33.75" hidden="1" outlineLevel="2" x14ac:dyDescent="0.2">
      <c r="A92" s="497">
        <f t="shared" si="23"/>
        <v>8</v>
      </c>
      <c r="B92" s="524"/>
      <c r="C92" s="523"/>
      <c r="D92" s="959">
        <v>8.3333333333333329E-2</v>
      </c>
      <c r="E92" s="811"/>
      <c r="F92" s="991">
        <f t="shared" si="29"/>
        <v>0</v>
      </c>
      <c r="G92" s="548">
        <v>650</v>
      </c>
      <c r="H92" s="960"/>
      <c r="I92" s="961">
        <v>1</v>
      </c>
      <c r="J92" s="990">
        <f>IF(F90=0,"0",H90/I90)</f>
        <v>72</v>
      </c>
      <c r="K92" s="948"/>
      <c r="L92" s="963">
        <f>N91</f>
        <v>4.1666666666666664E-2</v>
      </c>
      <c r="M92" s="639">
        <f t="shared" si="30"/>
        <v>72</v>
      </c>
      <c r="N92" s="959">
        <v>8.3333333333333329E-2</v>
      </c>
      <c r="O92" s="964">
        <v>117.66</v>
      </c>
      <c r="P92" s="640">
        <f t="shared" si="31"/>
        <v>1.6341666666666665</v>
      </c>
      <c r="Q92" s="964"/>
      <c r="R92" s="647" t="s">
        <v>255</v>
      </c>
      <c r="S92" s="832" t="s">
        <v>256</v>
      </c>
      <c r="T92" s="833"/>
      <c r="U92" s="950"/>
      <c r="V92" s="965"/>
      <c r="W92" s="948"/>
      <c r="X92" s="948"/>
      <c r="Y92" s="948"/>
      <c r="Z92" s="948"/>
      <c r="AA92" s="948"/>
      <c r="AB92" s="948"/>
      <c r="AC92" s="966"/>
    </row>
    <row r="93" spans="1:29" s="623" customFormat="1" ht="45" hidden="1" outlineLevel="2" x14ac:dyDescent="0.2">
      <c r="A93" s="497">
        <f t="shared" si="23"/>
        <v>8</v>
      </c>
      <c r="B93" s="524"/>
      <c r="C93" s="523"/>
      <c r="D93" s="967">
        <v>0.125</v>
      </c>
      <c r="E93" s="811"/>
      <c r="F93" s="991">
        <f t="shared" si="29"/>
        <v>0</v>
      </c>
      <c r="G93" s="548">
        <v>650</v>
      </c>
      <c r="H93" s="960"/>
      <c r="I93" s="961">
        <v>1</v>
      </c>
      <c r="J93" s="990">
        <f>IF(F90=0,"0",H90/I90)</f>
        <v>72</v>
      </c>
      <c r="K93" s="948"/>
      <c r="L93" s="968">
        <f t="shared" ref="L93:L97" si="32">N92</f>
        <v>8.3333333333333329E-2</v>
      </c>
      <c r="M93" s="618">
        <f t="shared" si="30"/>
        <v>72</v>
      </c>
      <c r="N93" s="967">
        <v>0.125</v>
      </c>
      <c r="O93" s="969">
        <v>133.76</v>
      </c>
      <c r="P93" s="617">
        <f t="shared" si="31"/>
        <v>1.8577777777777778</v>
      </c>
      <c r="Q93" s="948"/>
      <c r="R93" s="532" t="s">
        <v>257</v>
      </c>
      <c r="S93" s="532" t="s">
        <v>258</v>
      </c>
      <c r="T93" s="830"/>
      <c r="U93" s="950"/>
      <c r="V93" s="965"/>
      <c r="W93" s="948"/>
      <c r="X93" s="948"/>
      <c r="Y93" s="948"/>
      <c r="Z93" s="948"/>
      <c r="AA93" s="948"/>
      <c r="AB93" s="948"/>
      <c r="AC93" s="966"/>
    </row>
    <row r="94" spans="1:29" s="623" customFormat="1" ht="33.75" hidden="1" outlineLevel="2" x14ac:dyDescent="0.2">
      <c r="A94" s="497">
        <f t="shared" si="23"/>
        <v>8</v>
      </c>
      <c r="B94" s="524"/>
      <c r="C94" s="523"/>
      <c r="D94" s="959">
        <v>0.16666666666666666</v>
      </c>
      <c r="E94" s="811"/>
      <c r="F94" s="991">
        <f t="shared" si="29"/>
        <v>0</v>
      </c>
      <c r="G94" s="548">
        <v>650</v>
      </c>
      <c r="H94" s="960"/>
      <c r="I94" s="961">
        <v>0.5</v>
      </c>
      <c r="J94" s="990">
        <f>IF(F90=0,"0",H90/I90)</f>
        <v>72</v>
      </c>
      <c r="K94" s="948"/>
      <c r="L94" s="963">
        <f t="shared" si="32"/>
        <v>0.125</v>
      </c>
      <c r="M94" s="639">
        <f t="shared" si="30"/>
        <v>36</v>
      </c>
      <c r="N94" s="959">
        <v>0.16666666666666666</v>
      </c>
      <c r="O94" s="964">
        <v>163.92</v>
      </c>
      <c r="P94" s="640">
        <f t="shared" si="31"/>
        <v>4.5533333333333328</v>
      </c>
      <c r="Q94" s="964"/>
      <c r="R94" s="840" t="s">
        <v>259</v>
      </c>
      <c r="S94" s="832" t="s">
        <v>260</v>
      </c>
      <c r="T94" s="833"/>
      <c r="U94" s="950"/>
      <c r="V94" s="965"/>
      <c r="W94" s="948"/>
      <c r="X94" s="948"/>
      <c r="Y94" s="948"/>
      <c r="Z94" s="948"/>
      <c r="AA94" s="948"/>
      <c r="AB94" s="948"/>
      <c r="AC94" s="966"/>
    </row>
    <row r="95" spans="1:29" s="623" customFormat="1" ht="42.75" hidden="1" outlineLevel="2" x14ac:dyDescent="0.2">
      <c r="A95" s="497">
        <f t="shared" si="23"/>
        <v>8</v>
      </c>
      <c r="B95" s="524"/>
      <c r="C95" s="523"/>
      <c r="D95" s="967">
        <v>0.20833333333333334</v>
      </c>
      <c r="E95" s="811"/>
      <c r="F95" s="991">
        <f t="shared" si="29"/>
        <v>0</v>
      </c>
      <c r="G95" s="548">
        <v>650</v>
      </c>
      <c r="H95" s="960"/>
      <c r="I95" s="961">
        <v>1</v>
      </c>
      <c r="J95" s="990">
        <f>IF(F90=0,"0",H90/I90)</f>
        <v>72</v>
      </c>
      <c r="K95" s="948"/>
      <c r="L95" s="968">
        <f t="shared" si="32"/>
        <v>0.16666666666666666</v>
      </c>
      <c r="M95" s="618">
        <f t="shared" si="30"/>
        <v>72</v>
      </c>
      <c r="N95" s="967">
        <v>0.20833333333333334</v>
      </c>
      <c r="O95" s="969">
        <v>171.14</v>
      </c>
      <c r="P95" s="617">
        <f t="shared" si="31"/>
        <v>2.3769444444444443</v>
      </c>
      <c r="Q95" s="948"/>
      <c r="R95" s="646" t="s">
        <v>261</v>
      </c>
      <c r="S95" s="532" t="s">
        <v>260</v>
      </c>
      <c r="T95" s="830"/>
      <c r="U95" s="950"/>
      <c r="V95" s="965"/>
      <c r="W95" s="948"/>
      <c r="X95" s="948"/>
      <c r="Y95" s="948"/>
      <c r="Z95" s="948"/>
      <c r="AA95" s="948"/>
      <c r="AB95" s="948"/>
      <c r="AC95" s="966"/>
    </row>
    <row r="96" spans="1:29" s="623" customFormat="1" hidden="1" outlineLevel="2" x14ac:dyDescent="0.2">
      <c r="A96" s="497">
        <f t="shared" si="23"/>
        <v>8</v>
      </c>
      <c r="B96" s="524"/>
      <c r="C96" s="523"/>
      <c r="D96" s="959">
        <v>0.25</v>
      </c>
      <c r="E96" s="811"/>
      <c r="F96" s="991">
        <f t="shared" si="29"/>
        <v>0</v>
      </c>
      <c r="G96" s="548">
        <v>650</v>
      </c>
      <c r="H96" s="960"/>
      <c r="I96" s="961">
        <v>1</v>
      </c>
      <c r="J96" s="990">
        <f>IF(F90=0,"0",H90/I90)</f>
        <v>72</v>
      </c>
      <c r="K96" s="948"/>
      <c r="L96" s="963">
        <f t="shared" si="32"/>
        <v>0.20833333333333334</v>
      </c>
      <c r="M96" s="639">
        <f t="shared" si="30"/>
        <v>72</v>
      </c>
      <c r="N96" s="959">
        <v>0.25</v>
      </c>
      <c r="O96" s="964">
        <v>167.25</v>
      </c>
      <c r="P96" s="640">
        <f t="shared" si="31"/>
        <v>2.3229166666666665</v>
      </c>
      <c r="Q96" s="964"/>
      <c r="R96" s="832" t="s">
        <v>262</v>
      </c>
      <c r="S96" s="832" t="s">
        <v>263</v>
      </c>
      <c r="T96" s="833"/>
      <c r="U96" s="950"/>
      <c r="V96" s="965"/>
      <c r="W96" s="948"/>
      <c r="X96" s="948"/>
      <c r="Y96" s="948"/>
      <c r="Z96" s="948"/>
      <c r="AA96" s="948"/>
      <c r="AB96" s="948"/>
      <c r="AC96" s="966"/>
    </row>
    <row r="97" spans="1:29" s="623" customFormat="1" ht="34.5" hidden="1" outlineLevel="2" thickBot="1" x14ac:dyDescent="0.25">
      <c r="A97" s="497">
        <f t="shared" si="23"/>
        <v>8</v>
      </c>
      <c r="B97" s="511"/>
      <c r="C97" s="510"/>
      <c r="D97" s="980">
        <v>0.29166666666666669</v>
      </c>
      <c r="E97" s="811"/>
      <c r="F97" s="991">
        <f t="shared" si="29"/>
        <v>0</v>
      </c>
      <c r="G97" s="548">
        <v>650</v>
      </c>
      <c r="H97" s="981"/>
      <c r="I97" s="982">
        <v>1</v>
      </c>
      <c r="J97" s="990">
        <f>IF(F90=0,"0",H90/I90)</f>
        <v>72</v>
      </c>
      <c r="K97" s="948"/>
      <c r="L97" s="983">
        <f t="shared" si="32"/>
        <v>0.25</v>
      </c>
      <c r="M97" s="644">
        <f t="shared" si="30"/>
        <v>72</v>
      </c>
      <c r="N97" s="980">
        <v>0.29166666666666669</v>
      </c>
      <c r="O97" s="984">
        <v>144.75</v>
      </c>
      <c r="P97" s="645">
        <f t="shared" si="31"/>
        <v>2.0104166666666665</v>
      </c>
      <c r="Q97" s="985"/>
      <c r="R97" s="841" t="s">
        <v>264</v>
      </c>
      <c r="S97" s="841"/>
      <c r="T97" s="842"/>
      <c r="U97" s="950"/>
      <c r="V97" s="973"/>
      <c r="W97" s="974"/>
      <c r="X97" s="974"/>
      <c r="Y97" s="948"/>
      <c r="Z97" s="974"/>
      <c r="AA97" s="974"/>
      <c r="AB97" s="974"/>
      <c r="AC97" s="975"/>
    </row>
    <row r="98" spans="1:29" s="625" customFormat="1" ht="14.45" customHeight="1" outlineLevel="1" collapsed="1" thickBot="1" x14ac:dyDescent="0.25">
      <c r="A98" s="497">
        <f t="shared" si="23"/>
        <v>8</v>
      </c>
      <c r="B98" s="496"/>
      <c r="C98" s="986"/>
      <c r="D98" s="987"/>
      <c r="E98" s="986"/>
      <c r="F98" s="988"/>
      <c r="G98" s="988"/>
      <c r="H98" s="962"/>
      <c r="I98" s="986"/>
      <c r="J98" s="952"/>
      <c r="K98" s="988"/>
      <c r="L98" s="987"/>
      <c r="M98" s="627"/>
      <c r="N98" s="987"/>
      <c r="O98" s="988"/>
      <c r="P98" s="628"/>
      <c r="Q98" s="988"/>
      <c r="R98" s="843"/>
      <c r="S98" s="843"/>
      <c r="T98" s="843"/>
      <c r="U98" s="950"/>
      <c r="V98" s="988"/>
      <c r="W98" s="988"/>
      <c r="X98" s="988"/>
      <c r="Y98" s="988"/>
      <c r="Z98" s="988"/>
      <c r="AA98" s="988"/>
      <c r="AB98" s="988"/>
      <c r="AC98" s="988"/>
    </row>
    <row r="99" spans="1:29" s="621" customFormat="1" ht="15.75" x14ac:dyDescent="0.2">
      <c r="A99" s="497">
        <f t="shared" si="23"/>
        <v>8</v>
      </c>
      <c r="B99" s="595">
        <f>B100</f>
        <v>46072</v>
      </c>
      <c r="C99" s="593"/>
      <c r="D99" s="814"/>
      <c r="E99" s="593"/>
      <c r="F99" s="587">
        <f>+F100+F109+F118</f>
        <v>41000</v>
      </c>
      <c r="G99" s="587"/>
      <c r="H99" s="594">
        <f>+H100+H109+H118</f>
        <v>3198</v>
      </c>
      <c r="I99" s="593">
        <f>+I100+I109+I118</f>
        <v>19.5</v>
      </c>
      <c r="J99" s="592">
        <f>+J100+J109+J118</f>
        <v>0</v>
      </c>
      <c r="K99" s="587"/>
      <c r="L99" s="815"/>
      <c r="M99" s="816">
        <f>SUM(M101:M108,M110:M117,M119:M126)</f>
        <v>3114.7999999999984</v>
      </c>
      <c r="N99" s="814"/>
      <c r="O99" s="817">
        <f>SUM(O101:O108,O110:O117,O119:O126)</f>
        <v>998.60249999999985</v>
      </c>
      <c r="P99" s="818">
        <f>+O99/M99</f>
        <v>0.32059923590599732</v>
      </c>
      <c r="Q99" s="819"/>
      <c r="R99" s="820"/>
      <c r="S99" s="820"/>
      <c r="T99" s="821"/>
      <c r="U99" s="585"/>
      <c r="V99" s="585"/>
      <c r="W99" s="585"/>
      <c r="X99" s="585"/>
      <c r="Y99" s="585"/>
      <c r="Z99" s="585"/>
      <c r="AA99" s="585"/>
      <c r="AB99" s="585"/>
      <c r="AC99" s="585"/>
    </row>
    <row r="100" spans="1:29" outlineLevel="1" x14ac:dyDescent="0.2">
      <c r="A100" s="497">
        <f t="shared" si="23"/>
        <v>8</v>
      </c>
      <c r="B100" s="844">
        <f>+B69+1</f>
        <v>46072</v>
      </c>
      <c r="C100" s="583" t="s">
        <v>208</v>
      </c>
      <c r="D100" s="545"/>
      <c r="E100" s="583"/>
      <c r="F100" s="548">
        <v>16500</v>
      </c>
      <c r="G100" s="548">
        <v>650</v>
      </c>
      <c r="H100" s="547">
        <f>+F100*12*G100/100000</f>
        <v>1287</v>
      </c>
      <c r="I100" s="546">
        <f>IF(F100="","0",SUM(I101:I108))</f>
        <v>4.5</v>
      </c>
      <c r="J100" s="951"/>
      <c r="K100" s="545"/>
      <c r="L100" s="989" t="str">
        <f>C100</f>
        <v>T1</v>
      </c>
      <c r="M100" s="845">
        <f>SUM(M101:M108)</f>
        <v>1287</v>
      </c>
      <c r="N100" s="545"/>
      <c r="O100" s="565">
        <f>SUM(O101:O108)</f>
        <v>581.79</v>
      </c>
      <c r="P100" s="588">
        <f>+O100/M100</f>
        <v>0.45205128205128203</v>
      </c>
      <c r="Q100" s="617"/>
      <c r="R100" s="846"/>
      <c r="S100" s="846"/>
      <c r="T100" s="822"/>
      <c r="U100" s="568"/>
      <c r="V100" s="956"/>
      <c r="W100" s="957"/>
      <c r="X100" s="957"/>
      <c r="Y100" s="948"/>
      <c r="Z100" s="957"/>
      <c r="AA100" s="957"/>
      <c r="AB100" s="957"/>
      <c r="AC100" s="958"/>
    </row>
    <row r="101" spans="1:29" ht="22.5" outlineLevel="2" x14ac:dyDescent="0.2">
      <c r="A101" s="497">
        <f t="shared" si="23"/>
        <v>8</v>
      </c>
      <c r="B101" s="524"/>
      <c r="C101" s="523"/>
      <c r="D101" s="959">
        <v>0.33333333333333331</v>
      </c>
      <c r="E101" s="523"/>
      <c r="F101" s="948"/>
      <c r="G101" s="948"/>
      <c r="H101" s="960"/>
      <c r="I101" s="961">
        <v>0</v>
      </c>
      <c r="J101" s="990">
        <f>IF(F100=0,"0",H100/I100)</f>
        <v>286</v>
      </c>
      <c r="K101" s="948" t="s">
        <v>265</v>
      </c>
      <c r="L101" s="963">
        <v>0.29166666666666669</v>
      </c>
      <c r="M101" s="639">
        <f t="shared" ref="M101:M108" si="33">IF(N101="","",J101*I101)</f>
        <v>0</v>
      </c>
      <c r="N101" s="959">
        <v>0.33333333333333331</v>
      </c>
      <c r="O101" s="964">
        <v>10</v>
      </c>
      <c r="P101" s="640">
        <v>0</v>
      </c>
      <c r="Q101" s="640"/>
      <c r="R101" s="655" t="s">
        <v>266</v>
      </c>
      <c r="S101" s="655" t="s">
        <v>266</v>
      </c>
      <c r="T101" s="824"/>
      <c r="U101" s="568"/>
      <c r="V101" s="965"/>
      <c r="W101" s="948"/>
      <c r="X101" s="948"/>
      <c r="Y101" s="948"/>
      <c r="Z101" s="948"/>
      <c r="AA101" s="948"/>
      <c r="AB101" s="948"/>
      <c r="AC101" s="966"/>
    </row>
    <row r="102" spans="1:29" outlineLevel="2" x14ac:dyDescent="0.2">
      <c r="A102" s="497">
        <f t="shared" si="23"/>
        <v>8</v>
      </c>
      <c r="B102" s="524"/>
      <c r="C102" s="523"/>
      <c r="D102" s="967">
        <v>0.375</v>
      </c>
      <c r="E102" s="523"/>
      <c r="F102" s="948"/>
      <c r="G102" s="948"/>
      <c r="H102" s="960"/>
      <c r="I102" s="961">
        <v>0</v>
      </c>
      <c r="J102" s="990">
        <f>IF(F100=0,"0",H100/I100)</f>
        <v>286</v>
      </c>
      <c r="K102" s="948"/>
      <c r="L102" s="968">
        <f t="shared" ref="L102:L108" si="34">N101</f>
        <v>0.33333333333333331</v>
      </c>
      <c r="M102" s="618">
        <f t="shared" si="33"/>
        <v>0</v>
      </c>
      <c r="N102" s="967">
        <v>0.375</v>
      </c>
      <c r="O102" s="969">
        <v>0</v>
      </c>
      <c r="P102" s="617">
        <v>0</v>
      </c>
      <c r="Q102" s="617"/>
      <c r="R102" s="846" t="s">
        <v>267</v>
      </c>
      <c r="S102" s="846" t="s">
        <v>267</v>
      </c>
      <c r="T102" s="822"/>
      <c r="U102" s="568"/>
      <c r="V102" s="965"/>
      <c r="W102" s="948"/>
      <c r="X102" s="948"/>
      <c r="Y102" s="948"/>
      <c r="Z102" s="948"/>
      <c r="AA102" s="948"/>
      <c r="AB102" s="948"/>
      <c r="AC102" s="966"/>
    </row>
    <row r="103" spans="1:29" outlineLevel="2" x14ac:dyDescent="0.2">
      <c r="A103" s="497">
        <f t="shared" si="23"/>
        <v>8</v>
      </c>
      <c r="B103" s="524"/>
      <c r="C103" s="523"/>
      <c r="D103" s="959">
        <v>0.41666666666666669</v>
      </c>
      <c r="E103" s="523"/>
      <c r="F103" s="948"/>
      <c r="G103" s="948"/>
      <c r="H103" s="960"/>
      <c r="I103" s="961">
        <v>0</v>
      </c>
      <c r="J103" s="990">
        <f>IF(F100=0,"0",H100/I100)</f>
        <v>286</v>
      </c>
      <c r="K103" s="948"/>
      <c r="L103" s="963">
        <f t="shared" si="34"/>
        <v>0.375</v>
      </c>
      <c r="M103" s="639">
        <f t="shared" si="33"/>
        <v>0</v>
      </c>
      <c r="N103" s="959">
        <v>0.41666666666666669</v>
      </c>
      <c r="O103" s="964">
        <v>0</v>
      </c>
      <c r="P103" s="640">
        <v>0</v>
      </c>
      <c r="Q103" s="640"/>
      <c r="R103" s="847" t="s">
        <v>268</v>
      </c>
      <c r="S103" s="847" t="s">
        <v>269</v>
      </c>
      <c r="T103" s="824"/>
      <c r="U103" s="568"/>
      <c r="V103" s="965"/>
      <c r="W103" s="948"/>
      <c r="X103" s="948"/>
      <c r="Y103" s="948"/>
      <c r="Z103" s="948"/>
      <c r="AA103" s="948"/>
      <c r="AB103" s="948"/>
      <c r="AC103" s="966"/>
    </row>
    <row r="104" spans="1:29" ht="33.75" outlineLevel="2" x14ac:dyDescent="0.2">
      <c r="A104" s="497">
        <f t="shared" si="23"/>
        <v>8</v>
      </c>
      <c r="B104" s="524"/>
      <c r="C104" s="523"/>
      <c r="D104" s="967">
        <v>0.45833333333333331</v>
      </c>
      <c r="E104" s="523"/>
      <c r="F104" s="948"/>
      <c r="G104" s="948"/>
      <c r="H104" s="960"/>
      <c r="I104" s="961">
        <v>1</v>
      </c>
      <c r="J104" s="990">
        <f>IF(F100=0,"0",H100/I100)</f>
        <v>286</v>
      </c>
      <c r="K104" s="948"/>
      <c r="L104" s="968">
        <f t="shared" si="34"/>
        <v>0.41666666666666669</v>
      </c>
      <c r="M104" s="618">
        <f t="shared" si="33"/>
        <v>286</v>
      </c>
      <c r="N104" s="967">
        <v>0.45833333333333331</v>
      </c>
      <c r="O104" s="969">
        <v>67.67</v>
      </c>
      <c r="P104" s="617">
        <f t="shared" ref="P104:P108" si="35">IF(N104="","",O104/M104)</f>
        <v>0.23660839160839162</v>
      </c>
      <c r="Q104" s="617"/>
      <c r="R104" s="656" t="s">
        <v>270</v>
      </c>
      <c r="S104" s="846" t="s">
        <v>271</v>
      </c>
      <c r="T104" s="822"/>
      <c r="U104" s="568"/>
      <c r="V104" s="965"/>
      <c r="W104" s="948"/>
      <c r="X104" s="948"/>
      <c r="Y104" s="948"/>
      <c r="Z104" s="948"/>
      <c r="AA104" s="948"/>
      <c r="AB104" s="948"/>
      <c r="AC104" s="966"/>
    </row>
    <row r="105" spans="1:29" ht="22.5" outlineLevel="2" x14ac:dyDescent="0.2">
      <c r="A105" s="497">
        <f t="shared" si="23"/>
        <v>8</v>
      </c>
      <c r="B105" s="524"/>
      <c r="C105" s="523"/>
      <c r="D105" s="959">
        <v>0.5</v>
      </c>
      <c r="E105" s="523"/>
      <c r="F105" s="948"/>
      <c r="G105" s="948"/>
      <c r="H105" s="960"/>
      <c r="I105" s="961">
        <v>1</v>
      </c>
      <c r="J105" s="990">
        <f>IF(F100=0,"0",H100/I100)</f>
        <v>286</v>
      </c>
      <c r="K105" s="948"/>
      <c r="L105" s="963">
        <f t="shared" si="34"/>
        <v>0.45833333333333331</v>
      </c>
      <c r="M105" s="639">
        <f t="shared" si="33"/>
        <v>286</v>
      </c>
      <c r="N105" s="959">
        <v>0.5</v>
      </c>
      <c r="O105" s="964">
        <v>87.15</v>
      </c>
      <c r="P105" s="640">
        <f t="shared" si="35"/>
        <v>0.30472027972027976</v>
      </c>
      <c r="Q105" s="640"/>
      <c r="R105" s="655" t="s">
        <v>272</v>
      </c>
      <c r="S105" s="847" t="s">
        <v>273</v>
      </c>
      <c r="T105" s="824"/>
      <c r="U105" s="568"/>
      <c r="V105" s="965"/>
      <c r="W105" s="948"/>
      <c r="X105" s="948"/>
      <c r="Y105" s="948"/>
      <c r="Z105" s="948"/>
      <c r="AA105" s="948"/>
      <c r="AB105" s="948"/>
      <c r="AC105" s="966"/>
    </row>
    <row r="106" spans="1:29" ht="22.5" outlineLevel="2" x14ac:dyDescent="0.2">
      <c r="A106" s="497">
        <f t="shared" si="23"/>
        <v>8</v>
      </c>
      <c r="B106" s="524"/>
      <c r="C106" s="523"/>
      <c r="D106" s="967">
        <v>0.54166666666666663</v>
      </c>
      <c r="E106" s="523"/>
      <c r="F106" s="948"/>
      <c r="G106" s="948"/>
      <c r="H106" s="960"/>
      <c r="I106" s="961">
        <v>1</v>
      </c>
      <c r="J106" s="990">
        <f>IF(F100=0,"0",H100/I100)</f>
        <v>286</v>
      </c>
      <c r="K106" s="948"/>
      <c r="L106" s="968">
        <f t="shared" si="34"/>
        <v>0.5</v>
      </c>
      <c r="M106" s="618">
        <f t="shared" si="33"/>
        <v>286</v>
      </c>
      <c r="N106" s="967">
        <v>0.54166666666666663</v>
      </c>
      <c r="O106" s="969">
        <v>155.47999999999999</v>
      </c>
      <c r="P106" s="617">
        <f t="shared" si="35"/>
        <v>0.54363636363636358</v>
      </c>
      <c r="Q106" s="617"/>
      <c r="R106" s="656" t="s">
        <v>274</v>
      </c>
      <c r="S106" s="846" t="s">
        <v>275</v>
      </c>
      <c r="T106" s="822"/>
      <c r="U106" s="568"/>
      <c r="V106" s="965"/>
      <c r="W106" s="948"/>
      <c r="X106" s="948"/>
      <c r="Y106" s="948"/>
      <c r="Z106" s="948"/>
      <c r="AA106" s="948"/>
      <c r="AB106" s="948"/>
      <c r="AC106" s="966"/>
    </row>
    <row r="107" spans="1:29" outlineLevel="2" x14ac:dyDescent="0.2">
      <c r="A107" s="497">
        <f t="shared" si="23"/>
        <v>8</v>
      </c>
      <c r="B107" s="524"/>
      <c r="C107" s="523"/>
      <c r="D107" s="959">
        <v>0.58333333333333337</v>
      </c>
      <c r="E107" s="523"/>
      <c r="F107" s="948"/>
      <c r="G107" s="948"/>
      <c r="H107" s="960"/>
      <c r="I107" s="961">
        <v>0.5</v>
      </c>
      <c r="J107" s="990">
        <f>IF(F100=0,"0",H100/I100)</f>
        <v>286</v>
      </c>
      <c r="K107" s="948"/>
      <c r="L107" s="963">
        <f t="shared" si="34"/>
        <v>0.54166666666666663</v>
      </c>
      <c r="M107" s="639">
        <f t="shared" si="33"/>
        <v>143</v>
      </c>
      <c r="N107" s="959">
        <v>0.58333333333333337</v>
      </c>
      <c r="O107" s="964">
        <v>115.78</v>
      </c>
      <c r="P107" s="640">
        <f t="shared" si="35"/>
        <v>0.80965034965034965</v>
      </c>
      <c r="Q107" s="640"/>
      <c r="R107" s="847" t="s">
        <v>276</v>
      </c>
      <c r="S107" s="847" t="s">
        <v>277</v>
      </c>
      <c r="T107" s="824"/>
      <c r="U107" s="568"/>
      <c r="V107" s="965"/>
      <c r="W107" s="948"/>
      <c r="X107" s="948"/>
      <c r="Y107" s="948"/>
      <c r="Z107" s="948"/>
      <c r="AA107" s="948"/>
      <c r="AB107" s="948"/>
      <c r="AC107" s="966"/>
    </row>
    <row r="108" spans="1:29" ht="22.5" outlineLevel="2" x14ac:dyDescent="0.2">
      <c r="A108" s="497">
        <f t="shared" si="23"/>
        <v>8</v>
      </c>
      <c r="B108" s="524"/>
      <c r="C108" s="523"/>
      <c r="D108" s="970">
        <v>0.625</v>
      </c>
      <c r="E108" s="523"/>
      <c r="F108" s="948"/>
      <c r="G108" s="948"/>
      <c r="H108" s="960"/>
      <c r="I108" s="961">
        <v>1</v>
      </c>
      <c r="J108" s="990">
        <f>IF(F100=0,"0",H100/I100)</f>
        <v>286</v>
      </c>
      <c r="K108" s="948"/>
      <c r="L108" s="971">
        <f t="shared" si="34"/>
        <v>0.58333333333333337</v>
      </c>
      <c r="M108" s="618">
        <f t="shared" si="33"/>
        <v>286</v>
      </c>
      <c r="N108" s="970">
        <v>0.625</v>
      </c>
      <c r="O108" s="972">
        <v>145.71</v>
      </c>
      <c r="P108" s="503">
        <f t="shared" si="35"/>
        <v>0.50947552447552447</v>
      </c>
      <c r="Q108" s="503"/>
      <c r="R108" s="571" t="s">
        <v>278</v>
      </c>
      <c r="S108" s="571" t="s">
        <v>279</v>
      </c>
      <c r="T108" s="826"/>
      <c r="U108" s="568"/>
      <c r="V108" s="973"/>
      <c r="W108" s="974"/>
      <c r="X108" s="974"/>
      <c r="Y108" s="948"/>
      <c r="Z108" s="974"/>
      <c r="AA108" s="974"/>
      <c r="AB108" s="974"/>
      <c r="AC108" s="975"/>
    </row>
    <row r="109" spans="1:29" s="622" customFormat="1" outlineLevel="1" x14ac:dyDescent="0.2">
      <c r="A109" s="497">
        <f t="shared" si="23"/>
        <v>8</v>
      </c>
      <c r="B109" s="551">
        <f>B100</f>
        <v>46072</v>
      </c>
      <c r="C109" s="550" t="s">
        <v>210</v>
      </c>
      <c r="D109" s="563"/>
      <c r="E109" s="550"/>
      <c r="F109" s="549">
        <v>16500</v>
      </c>
      <c r="G109" s="548">
        <v>650</v>
      </c>
      <c r="H109" s="547">
        <f>+F109*12*G109/100000</f>
        <v>1287</v>
      </c>
      <c r="I109" s="546">
        <f>IF(F109="","0",SUM(I110:I117))</f>
        <v>7.5</v>
      </c>
      <c r="J109" s="990"/>
      <c r="K109" s="545"/>
      <c r="L109" s="827" t="str">
        <f>C109</f>
        <v>T2</v>
      </c>
      <c r="M109" s="566">
        <f>IF(O109=0,"0",SUM(M110:M117))</f>
        <v>1286.9999999999998</v>
      </c>
      <c r="N109" s="563"/>
      <c r="O109" s="565">
        <f>SUM(O110:O117)</f>
        <v>416.8125</v>
      </c>
      <c r="P109" s="564">
        <f>+O109/M109</f>
        <v>0.32386363636363641</v>
      </c>
      <c r="Q109" s="563"/>
      <c r="R109" s="828"/>
      <c r="S109" s="828"/>
      <c r="T109" s="829"/>
      <c r="U109" s="536"/>
      <c r="V109" s="948"/>
      <c r="W109" s="948"/>
      <c r="X109" s="948"/>
      <c r="Y109" s="948"/>
      <c r="Z109" s="948"/>
      <c r="AA109" s="948"/>
      <c r="AB109" s="948"/>
      <c r="AC109" s="976"/>
    </row>
    <row r="110" spans="1:29" s="623" customFormat="1" outlineLevel="2" x14ac:dyDescent="0.2">
      <c r="A110" s="497">
        <f t="shared" ref="A110:A141" si="36">$A$11</f>
        <v>8</v>
      </c>
      <c r="B110" s="524"/>
      <c r="C110" s="523"/>
      <c r="D110" s="967">
        <v>0.66666666666666663</v>
      </c>
      <c r="E110" s="523"/>
      <c r="F110" s="948"/>
      <c r="G110" s="948"/>
      <c r="H110" s="960"/>
      <c r="I110" s="961">
        <v>1</v>
      </c>
      <c r="J110" s="990">
        <f>IF(F109=0,"0",H109/I109)</f>
        <v>171.6</v>
      </c>
      <c r="K110" s="948"/>
      <c r="L110" s="968">
        <v>0.625</v>
      </c>
      <c r="M110" s="618">
        <f t="shared" ref="M110:M117" si="37">IF(N110="","",J110*I110)</f>
        <v>171.6</v>
      </c>
      <c r="N110" s="967">
        <v>0.66666666666666663</v>
      </c>
      <c r="O110" s="969"/>
      <c r="P110" s="617">
        <f t="shared" ref="P110:P117" si="38">IF(N110="","",O110/M110)</f>
        <v>0</v>
      </c>
      <c r="Q110" s="948"/>
      <c r="R110" s="629"/>
      <c r="S110" s="532"/>
      <c r="T110" s="830"/>
      <c r="U110" s="950"/>
      <c r="V110" s="956"/>
      <c r="W110" s="957"/>
      <c r="X110" s="957"/>
      <c r="Y110" s="948"/>
      <c r="Z110" s="957"/>
      <c r="AA110" s="957"/>
      <c r="AB110" s="957"/>
      <c r="AC110" s="958"/>
    </row>
    <row r="111" spans="1:29" s="623" customFormat="1" ht="22.5" outlineLevel="2" x14ac:dyDescent="0.2">
      <c r="A111" s="497">
        <f t="shared" si="36"/>
        <v>8</v>
      </c>
      <c r="B111" s="524"/>
      <c r="C111" s="523"/>
      <c r="D111" s="959">
        <v>0.70833333333333337</v>
      </c>
      <c r="E111" s="523">
        <v>23007</v>
      </c>
      <c r="F111" s="948">
        <f>E111/12</f>
        <v>1917.25</v>
      </c>
      <c r="G111" s="948">
        <v>650</v>
      </c>
      <c r="H111" s="960"/>
      <c r="I111" s="961">
        <v>1</v>
      </c>
      <c r="J111" s="990">
        <f>IF(F109=0,"0",H109/I109)</f>
        <v>171.6</v>
      </c>
      <c r="K111" s="948"/>
      <c r="L111" s="963">
        <f t="shared" ref="L111:L117" si="39">N110</f>
        <v>0.66666666666666663</v>
      </c>
      <c r="M111" s="639">
        <f t="shared" si="37"/>
        <v>171.6</v>
      </c>
      <c r="N111" s="959">
        <v>0.70833333333333337</v>
      </c>
      <c r="O111" s="992">
        <f t="shared" ref="O111:O116" si="40">E111*G111/100000</f>
        <v>149.5455</v>
      </c>
      <c r="P111" s="640">
        <f t="shared" si="38"/>
        <v>0.87147727272727282</v>
      </c>
      <c r="Q111" s="964"/>
      <c r="R111" s="847" t="s">
        <v>280</v>
      </c>
      <c r="S111" s="832"/>
      <c r="T111" s="833"/>
      <c r="U111" s="950"/>
      <c r="V111" s="965"/>
      <c r="W111" s="948"/>
      <c r="X111" s="948"/>
      <c r="Y111" s="948"/>
      <c r="Z111" s="948"/>
      <c r="AA111" s="948"/>
      <c r="AB111" s="948"/>
      <c r="AC111" s="966"/>
    </row>
    <row r="112" spans="1:29" s="623" customFormat="1" ht="22.5" outlineLevel="2" x14ac:dyDescent="0.2">
      <c r="A112" s="497">
        <f t="shared" si="36"/>
        <v>8</v>
      </c>
      <c r="B112" s="524"/>
      <c r="C112" s="523"/>
      <c r="D112" s="967">
        <v>0.75</v>
      </c>
      <c r="E112" s="523">
        <v>20495</v>
      </c>
      <c r="F112" s="948">
        <f>E112/12</f>
        <v>1707.9166666666667</v>
      </c>
      <c r="G112" s="948">
        <v>650</v>
      </c>
      <c r="H112" s="960"/>
      <c r="I112" s="961">
        <v>1</v>
      </c>
      <c r="J112" s="990">
        <f>IF(F109=0,"0",H109/I109)</f>
        <v>171.6</v>
      </c>
      <c r="K112" s="948"/>
      <c r="L112" s="968">
        <f t="shared" si="39"/>
        <v>0.70833333333333337</v>
      </c>
      <c r="M112" s="618">
        <f t="shared" si="37"/>
        <v>171.6</v>
      </c>
      <c r="N112" s="967">
        <v>0.75</v>
      </c>
      <c r="O112" s="992">
        <f t="shared" si="40"/>
        <v>133.2175</v>
      </c>
      <c r="P112" s="617">
        <f t="shared" si="38"/>
        <v>0.77632575757575761</v>
      </c>
      <c r="Q112" s="948"/>
      <c r="R112" s="532" t="s">
        <v>281</v>
      </c>
      <c r="S112" s="532" t="s">
        <v>282</v>
      </c>
      <c r="T112" s="830"/>
      <c r="U112" s="950"/>
      <c r="V112" s="965"/>
      <c r="W112" s="948"/>
      <c r="X112" s="948"/>
      <c r="Y112" s="948"/>
      <c r="Z112" s="948"/>
      <c r="AA112" s="948"/>
      <c r="AB112" s="948"/>
      <c r="AC112" s="966"/>
    </row>
    <row r="113" spans="1:29" s="623" customFormat="1" ht="22.5" outlineLevel="2" x14ac:dyDescent="0.2">
      <c r="A113" s="497">
        <f t="shared" si="36"/>
        <v>8</v>
      </c>
      <c r="B113" s="524"/>
      <c r="C113" s="523"/>
      <c r="D113" s="959">
        <v>0.79166666666666663</v>
      </c>
      <c r="E113" s="523">
        <v>20623</v>
      </c>
      <c r="F113" s="948">
        <f>E113/12</f>
        <v>1718.5833333333333</v>
      </c>
      <c r="G113" s="948">
        <v>650</v>
      </c>
      <c r="H113" s="960"/>
      <c r="I113" s="961">
        <v>0.5</v>
      </c>
      <c r="J113" s="990">
        <f>IF(F109=0,"0",H109/I109)</f>
        <v>171.6</v>
      </c>
      <c r="K113" s="948"/>
      <c r="L113" s="963">
        <f t="shared" si="39"/>
        <v>0.75</v>
      </c>
      <c r="M113" s="639">
        <f t="shared" si="37"/>
        <v>85.8</v>
      </c>
      <c r="N113" s="959">
        <v>0.79166666666666663</v>
      </c>
      <c r="O113" s="992">
        <f t="shared" si="40"/>
        <v>134.04949999999999</v>
      </c>
      <c r="P113" s="640">
        <f t="shared" si="38"/>
        <v>1.5623484848484848</v>
      </c>
      <c r="Q113" s="964"/>
      <c r="R113" s="847" t="s">
        <v>283</v>
      </c>
      <c r="S113" s="832"/>
      <c r="T113" s="833"/>
      <c r="U113" s="950"/>
      <c r="V113" s="965"/>
      <c r="W113" s="948"/>
      <c r="X113" s="948"/>
      <c r="Y113" s="948"/>
      <c r="Z113" s="948"/>
      <c r="AA113" s="948"/>
      <c r="AB113" s="948"/>
      <c r="AC113" s="966"/>
    </row>
    <row r="114" spans="1:29" s="623" customFormat="1" outlineLevel="2" x14ac:dyDescent="0.2">
      <c r="A114" s="497">
        <f t="shared" si="36"/>
        <v>8</v>
      </c>
      <c r="B114" s="524"/>
      <c r="C114" s="523"/>
      <c r="D114" s="967">
        <v>0.83333333333333337</v>
      </c>
      <c r="E114" s="523"/>
      <c r="F114" s="948"/>
      <c r="G114" s="948">
        <v>650</v>
      </c>
      <c r="H114" s="960"/>
      <c r="I114" s="961">
        <v>1</v>
      </c>
      <c r="J114" s="990">
        <f>IF(F109=0,"0",H109/I109)</f>
        <v>171.6</v>
      </c>
      <c r="K114" s="948"/>
      <c r="L114" s="968">
        <f t="shared" si="39"/>
        <v>0.79166666666666663</v>
      </c>
      <c r="M114" s="618">
        <f t="shared" si="37"/>
        <v>171.6</v>
      </c>
      <c r="N114" s="967">
        <v>0.83333333333333337</v>
      </c>
      <c r="O114" s="992">
        <f t="shared" si="40"/>
        <v>0</v>
      </c>
      <c r="P114" s="617">
        <f t="shared" si="38"/>
        <v>0</v>
      </c>
      <c r="Q114" s="948"/>
      <c r="R114" s="532"/>
      <c r="S114" s="532"/>
      <c r="T114" s="830"/>
      <c r="U114" s="950"/>
      <c r="V114" s="965"/>
      <c r="W114" s="948"/>
      <c r="X114" s="948"/>
      <c r="Y114" s="948"/>
      <c r="Z114" s="948"/>
      <c r="AA114" s="948"/>
      <c r="AB114" s="948"/>
      <c r="AC114" s="966"/>
    </row>
    <row r="115" spans="1:29" s="623" customFormat="1" outlineLevel="2" x14ac:dyDescent="0.2">
      <c r="A115" s="497">
        <f t="shared" si="36"/>
        <v>8</v>
      </c>
      <c r="B115" s="524"/>
      <c r="C115" s="523"/>
      <c r="D115" s="959">
        <v>0.875</v>
      </c>
      <c r="E115" s="523"/>
      <c r="F115" s="948"/>
      <c r="G115" s="948">
        <v>650</v>
      </c>
      <c r="H115" s="960"/>
      <c r="I115" s="961">
        <v>1</v>
      </c>
      <c r="J115" s="990">
        <f>IF(F109=0,"0",H109/I109)</f>
        <v>171.6</v>
      </c>
      <c r="K115" s="948"/>
      <c r="L115" s="963">
        <f t="shared" si="39"/>
        <v>0.83333333333333337</v>
      </c>
      <c r="M115" s="639">
        <f t="shared" si="37"/>
        <v>171.6</v>
      </c>
      <c r="N115" s="959">
        <v>0.875</v>
      </c>
      <c r="O115" s="992">
        <f t="shared" si="40"/>
        <v>0</v>
      </c>
      <c r="P115" s="640">
        <f t="shared" si="38"/>
        <v>0</v>
      </c>
      <c r="Q115" s="964"/>
      <c r="R115" s="832"/>
      <c r="S115" s="832"/>
      <c r="T115" s="833"/>
      <c r="U115" s="950"/>
      <c r="V115" s="965"/>
      <c r="W115" s="948"/>
      <c r="X115" s="948"/>
      <c r="Y115" s="948"/>
      <c r="Z115" s="948"/>
      <c r="AA115" s="948"/>
      <c r="AB115" s="948"/>
      <c r="AC115" s="966"/>
    </row>
    <row r="116" spans="1:29" s="623" customFormat="1" outlineLevel="2" x14ac:dyDescent="0.2">
      <c r="A116" s="497">
        <f t="shared" si="36"/>
        <v>8</v>
      </c>
      <c r="B116" s="524"/>
      <c r="C116" s="523"/>
      <c r="D116" s="967">
        <v>0.91666666666666663</v>
      </c>
      <c r="E116" s="523"/>
      <c r="F116" s="948"/>
      <c r="G116" s="948">
        <v>650</v>
      </c>
      <c r="H116" s="960"/>
      <c r="I116" s="961">
        <v>1</v>
      </c>
      <c r="J116" s="990">
        <f>IF(F109=0,"0",H109/I109)</f>
        <v>171.6</v>
      </c>
      <c r="K116" s="948"/>
      <c r="L116" s="968">
        <f t="shared" si="39"/>
        <v>0.875</v>
      </c>
      <c r="M116" s="618">
        <f t="shared" si="37"/>
        <v>171.6</v>
      </c>
      <c r="N116" s="967">
        <v>0.91666666666666663</v>
      </c>
      <c r="O116" s="992">
        <f t="shared" si="40"/>
        <v>0</v>
      </c>
      <c r="P116" s="617">
        <f t="shared" si="38"/>
        <v>0</v>
      </c>
      <c r="Q116" s="948"/>
      <c r="R116" s="532"/>
      <c r="S116" s="532"/>
      <c r="T116" s="830"/>
      <c r="U116" s="950"/>
      <c r="V116" s="965"/>
      <c r="W116" s="948"/>
      <c r="X116" s="948"/>
      <c r="Y116" s="948"/>
      <c r="Z116" s="948"/>
      <c r="AA116" s="948"/>
      <c r="AB116" s="948"/>
      <c r="AC116" s="966"/>
    </row>
    <row r="117" spans="1:29" s="623" customFormat="1" outlineLevel="2" x14ac:dyDescent="0.2">
      <c r="A117" s="497">
        <f t="shared" si="36"/>
        <v>8</v>
      </c>
      <c r="B117" s="524"/>
      <c r="C117" s="523"/>
      <c r="D117" s="977">
        <v>0.95833333333333337</v>
      </c>
      <c r="E117" s="523"/>
      <c r="F117" s="948"/>
      <c r="G117" s="948">
        <v>650</v>
      </c>
      <c r="H117" s="960"/>
      <c r="I117" s="961">
        <v>1</v>
      </c>
      <c r="J117" s="990">
        <f>IF(F109=0,"0",H109/I109)</f>
        <v>171.6</v>
      </c>
      <c r="K117" s="948"/>
      <c r="L117" s="978">
        <f t="shared" si="39"/>
        <v>0.91666666666666663</v>
      </c>
      <c r="M117" s="639">
        <f t="shared" si="37"/>
        <v>171.6</v>
      </c>
      <c r="N117" s="977">
        <v>0.95833333333333337</v>
      </c>
      <c r="O117" s="979"/>
      <c r="P117" s="641">
        <f t="shared" si="38"/>
        <v>0</v>
      </c>
      <c r="Q117" s="979"/>
      <c r="R117" s="835"/>
      <c r="S117" s="835"/>
      <c r="T117" s="836"/>
      <c r="U117" s="950"/>
      <c r="V117" s="973"/>
      <c r="W117" s="974"/>
      <c r="X117" s="974"/>
      <c r="Y117" s="948"/>
      <c r="Z117" s="974"/>
      <c r="AA117" s="974"/>
      <c r="AB117" s="974"/>
      <c r="AC117" s="975"/>
    </row>
    <row r="118" spans="1:29" s="624" customFormat="1" outlineLevel="1" x14ac:dyDescent="0.2">
      <c r="A118" s="497">
        <f t="shared" si="36"/>
        <v>8</v>
      </c>
      <c r="B118" s="551">
        <f>B100</f>
        <v>46072</v>
      </c>
      <c r="C118" s="550" t="s">
        <v>211</v>
      </c>
      <c r="D118" s="540"/>
      <c r="E118" s="550"/>
      <c r="F118" s="549">
        <v>8000</v>
      </c>
      <c r="G118" s="548">
        <v>650</v>
      </c>
      <c r="H118" s="547">
        <f>+F118*12*G118/100000</f>
        <v>624</v>
      </c>
      <c r="I118" s="546">
        <f>IF(F118="","0",SUM(I119:I126))</f>
        <v>7.5</v>
      </c>
      <c r="J118" s="990"/>
      <c r="K118" s="545"/>
      <c r="L118" s="837" t="str">
        <f>C118</f>
        <v>T3</v>
      </c>
      <c r="M118" s="543" t="str">
        <f>IF(O118=0,"0",SUM(M119:M126))</f>
        <v>0</v>
      </c>
      <c r="N118" s="540"/>
      <c r="O118" s="542">
        <f>SUM(O119:O126)</f>
        <v>0</v>
      </c>
      <c r="P118" s="541" t="e">
        <f>+O118/M118</f>
        <v>#DIV/0!</v>
      </c>
      <c r="Q118" s="540"/>
      <c r="R118" s="838"/>
      <c r="S118" s="838"/>
      <c r="T118" s="839"/>
      <c r="U118" s="536"/>
      <c r="V118" s="948"/>
      <c r="W118" s="948"/>
      <c r="X118" s="948"/>
      <c r="Y118" s="948"/>
      <c r="Z118" s="948"/>
      <c r="AA118" s="948"/>
      <c r="AB118" s="948"/>
      <c r="AC118" s="976"/>
    </row>
    <row r="119" spans="1:29" s="623" customFormat="1" outlineLevel="2" x14ac:dyDescent="0.2">
      <c r="A119" s="497">
        <f t="shared" si="36"/>
        <v>8</v>
      </c>
      <c r="B119" s="524"/>
      <c r="C119" s="523"/>
      <c r="D119" s="959">
        <v>0</v>
      </c>
      <c r="E119" s="523"/>
      <c r="F119" s="948"/>
      <c r="G119" s="948"/>
      <c r="H119" s="960"/>
      <c r="I119" s="961">
        <v>1</v>
      </c>
      <c r="J119" s="990">
        <f>IF(F118=0,"0",H118/I118)</f>
        <v>83.2</v>
      </c>
      <c r="K119" s="948"/>
      <c r="L119" s="963">
        <v>0.95833333333333337</v>
      </c>
      <c r="M119" s="639">
        <f t="shared" ref="M119:M126" si="41">IF(N119="","",J119*I119)</f>
        <v>83.2</v>
      </c>
      <c r="N119" s="959">
        <v>0</v>
      </c>
      <c r="O119" s="964"/>
      <c r="P119" s="640">
        <f t="shared" ref="P119:P126" si="42">IF(N119="","",O119/M119)</f>
        <v>0</v>
      </c>
      <c r="Q119" s="964"/>
      <c r="R119" s="832"/>
      <c r="S119" s="832"/>
      <c r="T119" s="833"/>
      <c r="U119" s="950"/>
      <c r="V119" s="956"/>
      <c r="W119" s="957"/>
      <c r="X119" s="957"/>
      <c r="Y119" s="948"/>
      <c r="Z119" s="957"/>
      <c r="AA119" s="957"/>
      <c r="AB119" s="957"/>
      <c r="AC119" s="958"/>
    </row>
    <row r="120" spans="1:29" s="623" customFormat="1" outlineLevel="2" x14ac:dyDescent="0.2">
      <c r="A120" s="497">
        <f t="shared" si="36"/>
        <v>8</v>
      </c>
      <c r="B120" s="524"/>
      <c r="C120" s="523"/>
      <c r="D120" s="967">
        <v>4.1666666666666664E-2</v>
      </c>
      <c r="E120" s="523"/>
      <c r="F120" s="948"/>
      <c r="G120" s="948"/>
      <c r="H120" s="960"/>
      <c r="I120" s="961">
        <v>1</v>
      </c>
      <c r="J120" s="990" t="str">
        <f>IF(F120=0,"0",H120/I118)</f>
        <v>0</v>
      </c>
      <c r="K120" s="948"/>
      <c r="L120" s="968">
        <f t="shared" ref="L120:L126" si="43">N119</f>
        <v>0</v>
      </c>
      <c r="M120" s="618">
        <f t="shared" si="41"/>
        <v>0</v>
      </c>
      <c r="N120" s="967">
        <v>4.1666666666666664E-2</v>
      </c>
      <c r="O120" s="969"/>
      <c r="P120" s="617" t="e">
        <f t="shared" si="42"/>
        <v>#DIV/0!</v>
      </c>
      <c r="Q120" s="948"/>
      <c r="R120" s="532"/>
      <c r="S120" s="532"/>
      <c r="T120" s="830"/>
      <c r="U120" s="950"/>
      <c r="V120" s="965"/>
      <c r="W120" s="948"/>
      <c r="X120" s="948"/>
      <c r="Y120" s="948"/>
      <c r="Z120" s="948"/>
      <c r="AA120" s="948"/>
      <c r="AB120" s="948"/>
      <c r="AC120" s="966"/>
    </row>
    <row r="121" spans="1:29" s="623" customFormat="1" outlineLevel="2" x14ac:dyDescent="0.2">
      <c r="A121" s="497">
        <f t="shared" si="36"/>
        <v>8</v>
      </c>
      <c r="B121" s="524"/>
      <c r="C121" s="523"/>
      <c r="D121" s="959">
        <v>8.3333333333333329E-2</v>
      </c>
      <c r="E121" s="523"/>
      <c r="F121" s="948"/>
      <c r="G121" s="948"/>
      <c r="H121" s="960"/>
      <c r="I121" s="961">
        <v>1</v>
      </c>
      <c r="J121" s="990">
        <f>IF(F118=0,"0",H118/I118)</f>
        <v>83.2</v>
      </c>
      <c r="K121" s="948"/>
      <c r="L121" s="963">
        <f t="shared" si="43"/>
        <v>4.1666666666666664E-2</v>
      </c>
      <c r="M121" s="639">
        <f t="shared" si="41"/>
        <v>83.2</v>
      </c>
      <c r="N121" s="959">
        <v>8.3333333333333329E-2</v>
      </c>
      <c r="O121" s="964"/>
      <c r="P121" s="640">
        <f t="shared" si="42"/>
        <v>0</v>
      </c>
      <c r="Q121" s="964"/>
      <c r="R121" s="832"/>
      <c r="S121" s="832"/>
      <c r="T121" s="833"/>
      <c r="U121" s="950"/>
      <c r="V121" s="965"/>
      <c r="W121" s="948"/>
      <c r="X121" s="948"/>
      <c r="Y121" s="948"/>
      <c r="Z121" s="948"/>
      <c r="AA121" s="948"/>
      <c r="AB121" s="948"/>
      <c r="AC121" s="966"/>
    </row>
    <row r="122" spans="1:29" s="623" customFormat="1" outlineLevel="2" x14ac:dyDescent="0.2">
      <c r="A122" s="497">
        <f t="shared" si="36"/>
        <v>8</v>
      </c>
      <c r="B122" s="524"/>
      <c r="C122" s="523"/>
      <c r="D122" s="967">
        <v>0.125</v>
      </c>
      <c r="E122" s="523"/>
      <c r="F122" s="948"/>
      <c r="G122" s="948"/>
      <c r="H122" s="960"/>
      <c r="I122" s="961">
        <v>1</v>
      </c>
      <c r="J122" s="990">
        <f>IF(F118=0,"0",H118/I118)</f>
        <v>83.2</v>
      </c>
      <c r="K122" s="948"/>
      <c r="L122" s="968">
        <f t="shared" si="43"/>
        <v>8.3333333333333329E-2</v>
      </c>
      <c r="M122" s="618">
        <f t="shared" si="41"/>
        <v>83.2</v>
      </c>
      <c r="N122" s="967">
        <v>0.125</v>
      </c>
      <c r="O122" s="969"/>
      <c r="P122" s="617">
        <f t="shared" si="42"/>
        <v>0</v>
      </c>
      <c r="Q122" s="948"/>
      <c r="R122" s="532"/>
      <c r="S122" s="532"/>
      <c r="T122" s="830"/>
      <c r="U122" s="950"/>
      <c r="V122" s="965"/>
      <c r="W122" s="948"/>
      <c r="X122" s="948"/>
      <c r="Y122" s="948"/>
      <c r="Z122" s="948"/>
      <c r="AA122" s="948"/>
      <c r="AB122" s="948"/>
      <c r="AC122" s="966"/>
    </row>
    <row r="123" spans="1:29" s="623" customFormat="1" outlineLevel="2" x14ac:dyDescent="0.2">
      <c r="A123" s="497">
        <f t="shared" si="36"/>
        <v>8</v>
      </c>
      <c r="B123" s="524"/>
      <c r="C123" s="523"/>
      <c r="D123" s="959">
        <v>0.16666666666666666</v>
      </c>
      <c r="E123" s="523"/>
      <c r="F123" s="948"/>
      <c r="G123" s="948"/>
      <c r="H123" s="960"/>
      <c r="I123" s="961">
        <v>1</v>
      </c>
      <c r="J123" s="990">
        <f>IF(F118=0,"0",H118/I118)</f>
        <v>83.2</v>
      </c>
      <c r="K123" s="948"/>
      <c r="L123" s="963">
        <f t="shared" si="43"/>
        <v>0.125</v>
      </c>
      <c r="M123" s="639">
        <f t="shared" si="41"/>
        <v>83.2</v>
      </c>
      <c r="N123" s="959">
        <v>0.16666666666666666</v>
      </c>
      <c r="O123" s="964"/>
      <c r="P123" s="640">
        <f t="shared" si="42"/>
        <v>0</v>
      </c>
      <c r="Q123" s="964"/>
      <c r="R123" s="840"/>
      <c r="S123" s="832"/>
      <c r="T123" s="833"/>
      <c r="U123" s="950"/>
      <c r="V123" s="965"/>
      <c r="W123" s="948"/>
      <c r="X123" s="948"/>
      <c r="Y123" s="948"/>
      <c r="Z123" s="948"/>
      <c r="AA123" s="948"/>
      <c r="AB123" s="948"/>
      <c r="AC123" s="966"/>
    </row>
    <row r="124" spans="1:29" s="623" customFormat="1" outlineLevel="2" x14ac:dyDescent="0.2">
      <c r="A124" s="497">
        <f t="shared" si="36"/>
        <v>8</v>
      </c>
      <c r="B124" s="524"/>
      <c r="C124" s="523"/>
      <c r="D124" s="967">
        <v>0.20833333333333334</v>
      </c>
      <c r="E124" s="523"/>
      <c r="F124" s="948"/>
      <c r="G124" s="948"/>
      <c r="H124" s="960"/>
      <c r="I124" s="961">
        <v>1</v>
      </c>
      <c r="J124" s="990">
        <f>IF(F118=0,"0",H118/I118)</f>
        <v>83.2</v>
      </c>
      <c r="K124" s="948"/>
      <c r="L124" s="968">
        <f t="shared" si="43"/>
        <v>0.16666666666666666</v>
      </c>
      <c r="M124" s="618">
        <f t="shared" si="41"/>
        <v>83.2</v>
      </c>
      <c r="N124" s="967">
        <v>0.20833333333333334</v>
      </c>
      <c r="O124" s="969"/>
      <c r="P124" s="617">
        <f t="shared" si="42"/>
        <v>0</v>
      </c>
      <c r="Q124" s="948"/>
      <c r="R124" s="629"/>
      <c r="S124" s="532"/>
      <c r="T124" s="830"/>
      <c r="U124" s="950"/>
      <c r="V124" s="965"/>
      <c r="W124" s="948"/>
      <c r="X124" s="948"/>
      <c r="Y124" s="948"/>
      <c r="Z124" s="948"/>
      <c r="AA124" s="948"/>
      <c r="AB124" s="948"/>
      <c r="AC124" s="966"/>
    </row>
    <row r="125" spans="1:29" s="623" customFormat="1" outlineLevel="2" x14ac:dyDescent="0.2">
      <c r="A125" s="497">
        <f t="shared" si="36"/>
        <v>8</v>
      </c>
      <c r="B125" s="524"/>
      <c r="C125" s="523"/>
      <c r="D125" s="959">
        <v>0.25</v>
      </c>
      <c r="E125" s="523"/>
      <c r="F125" s="948"/>
      <c r="G125" s="948"/>
      <c r="H125" s="960"/>
      <c r="I125" s="961">
        <v>0.5</v>
      </c>
      <c r="J125" s="990">
        <f>IF(F118=0,"0",H118/I118)</f>
        <v>83.2</v>
      </c>
      <c r="K125" s="948"/>
      <c r="L125" s="963">
        <f t="shared" si="43"/>
        <v>0.20833333333333334</v>
      </c>
      <c r="M125" s="639">
        <f t="shared" si="41"/>
        <v>41.6</v>
      </c>
      <c r="N125" s="959">
        <v>0.25</v>
      </c>
      <c r="O125" s="964"/>
      <c r="P125" s="640">
        <f t="shared" si="42"/>
        <v>0</v>
      </c>
      <c r="Q125" s="964"/>
      <c r="R125" s="832"/>
      <c r="S125" s="832"/>
      <c r="T125" s="833"/>
      <c r="U125" s="950"/>
      <c r="V125" s="965"/>
      <c r="W125" s="948"/>
      <c r="X125" s="948"/>
      <c r="Y125" s="948"/>
      <c r="Z125" s="948"/>
      <c r="AA125" s="948"/>
      <c r="AB125" s="948"/>
      <c r="AC125" s="966"/>
    </row>
    <row r="126" spans="1:29" s="623" customFormat="1" ht="15.75" outlineLevel="2" thickBot="1" x14ac:dyDescent="0.25">
      <c r="A126" s="497">
        <f t="shared" si="36"/>
        <v>8</v>
      </c>
      <c r="B126" s="511"/>
      <c r="C126" s="510"/>
      <c r="D126" s="980">
        <v>0.33333333333333331</v>
      </c>
      <c r="E126" s="510"/>
      <c r="F126" s="974"/>
      <c r="G126" s="974"/>
      <c r="H126" s="981"/>
      <c r="I126" s="982">
        <v>1</v>
      </c>
      <c r="J126" s="990">
        <f>IF(F118=0,"0",H118/I118)</f>
        <v>83.2</v>
      </c>
      <c r="K126" s="948"/>
      <c r="L126" s="983">
        <f t="shared" si="43"/>
        <v>0.25</v>
      </c>
      <c r="M126" s="644">
        <f t="shared" si="41"/>
        <v>83.2</v>
      </c>
      <c r="N126" s="980">
        <v>0.33333333333333331</v>
      </c>
      <c r="O126" s="984"/>
      <c r="P126" s="645">
        <f t="shared" si="42"/>
        <v>0</v>
      </c>
      <c r="Q126" s="985"/>
      <c r="R126" s="841"/>
      <c r="S126" s="841"/>
      <c r="T126" s="842"/>
      <c r="U126" s="950"/>
      <c r="V126" s="973"/>
      <c r="W126" s="974"/>
      <c r="X126" s="974"/>
      <c r="Y126" s="948"/>
      <c r="Z126" s="974"/>
      <c r="AA126" s="974"/>
      <c r="AB126" s="974"/>
      <c r="AC126" s="975"/>
    </row>
    <row r="127" spans="1:29" s="625" customFormat="1" ht="14.45" customHeight="1" outlineLevel="1" thickBot="1" x14ac:dyDescent="0.25">
      <c r="A127" s="497">
        <f t="shared" si="36"/>
        <v>8</v>
      </c>
      <c r="B127" s="496"/>
      <c r="C127" s="986"/>
      <c r="D127" s="987"/>
      <c r="E127" s="986"/>
      <c r="F127" s="988"/>
      <c r="G127" s="988"/>
      <c r="H127" s="962"/>
      <c r="I127" s="986"/>
      <c r="J127" s="952"/>
      <c r="K127" s="988"/>
      <c r="L127" s="987"/>
      <c r="M127" s="627"/>
      <c r="N127" s="987"/>
      <c r="O127" s="988"/>
      <c r="P127" s="628"/>
      <c r="Q127" s="988"/>
      <c r="R127" s="843"/>
      <c r="S127" s="843"/>
      <c r="T127" s="843"/>
      <c r="U127" s="950"/>
      <c r="V127" s="988"/>
      <c r="W127" s="988"/>
      <c r="X127" s="988"/>
      <c r="Y127" s="988"/>
      <c r="Z127" s="988"/>
      <c r="AA127" s="988"/>
      <c r="AB127" s="988"/>
      <c r="AC127" s="988"/>
    </row>
    <row r="128" spans="1:29" s="621" customFormat="1" ht="16.5" thickBot="1" x14ac:dyDescent="0.25">
      <c r="A128" s="497">
        <f t="shared" si="36"/>
        <v>8</v>
      </c>
      <c r="B128" s="595">
        <f>B129</f>
        <v>46073</v>
      </c>
      <c r="C128" s="593"/>
      <c r="D128" s="814"/>
      <c r="E128" s="593"/>
      <c r="F128" s="587">
        <f>+F129+F138+F147</f>
        <v>49500</v>
      </c>
      <c r="G128" s="587"/>
      <c r="H128" s="594">
        <f>+H129+H138+H147</f>
        <v>3861</v>
      </c>
      <c r="I128" s="593">
        <f>+I129+I138+I147</f>
        <v>21</v>
      </c>
      <c r="J128" s="592">
        <f>+J129+J138+J147</f>
        <v>0</v>
      </c>
      <c r="K128" s="587"/>
      <c r="L128" s="815"/>
      <c r="M128" s="816">
        <f>SUM(M130:M137,M139:M146,M148:M155)</f>
        <v>3860.9999999999986</v>
      </c>
      <c r="N128" s="814"/>
      <c r="O128" s="817">
        <f>SUM(O130:O137,O139:O146,O148:O155)</f>
        <v>0</v>
      </c>
      <c r="P128" s="818">
        <f>+O128/M128</f>
        <v>0</v>
      </c>
      <c r="Q128" s="819"/>
      <c r="R128" s="820"/>
      <c r="S128" s="820"/>
      <c r="T128" s="821"/>
      <c r="U128" s="585"/>
      <c r="V128" s="585"/>
      <c r="W128" s="585"/>
      <c r="X128" s="585"/>
      <c r="Y128" s="585"/>
      <c r="Z128" s="585"/>
      <c r="AA128" s="585"/>
      <c r="AB128" s="585"/>
      <c r="AC128" s="585"/>
    </row>
    <row r="129" spans="1:29" hidden="1" outlineLevel="1" x14ac:dyDescent="0.2">
      <c r="A129" s="497">
        <f t="shared" si="36"/>
        <v>8</v>
      </c>
      <c r="B129" s="844">
        <f>+B100+1</f>
        <v>46073</v>
      </c>
      <c r="C129" s="583" t="s">
        <v>208</v>
      </c>
      <c r="D129" s="545"/>
      <c r="E129" s="583"/>
      <c r="F129" s="548">
        <v>16500</v>
      </c>
      <c r="G129" s="548">
        <v>650</v>
      </c>
      <c r="H129" s="547">
        <f>+F129*12*G129/100000</f>
        <v>1287</v>
      </c>
      <c r="I129" s="546">
        <f>IF(F129="","0",SUM(I130:I137))</f>
        <v>7</v>
      </c>
      <c r="J129" s="951"/>
      <c r="K129" s="545"/>
      <c r="L129" s="989" t="str">
        <f>C129</f>
        <v>T1</v>
      </c>
      <c r="M129" s="845">
        <f>SUM(M130:M137)</f>
        <v>1287</v>
      </c>
      <c r="N129" s="545"/>
      <c r="O129" s="565">
        <f>SUM(O130:O137)</f>
        <v>0</v>
      </c>
      <c r="P129" s="588">
        <f>+O129/M129</f>
        <v>0</v>
      </c>
      <c r="Q129" s="617"/>
      <c r="R129" s="846"/>
      <c r="S129" s="846"/>
      <c r="T129" s="822"/>
      <c r="U129" s="568"/>
      <c r="V129" s="956"/>
      <c r="W129" s="957"/>
      <c r="X129" s="957"/>
      <c r="Y129" s="948"/>
      <c r="Z129" s="957"/>
      <c r="AA129" s="957"/>
      <c r="AB129" s="957"/>
      <c r="AC129" s="958"/>
    </row>
    <row r="130" spans="1:29" hidden="1" outlineLevel="2" x14ac:dyDescent="0.2">
      <c r="A130" s="497">
        <f t="shared" si="36"/>
        <v>8</v>
      </c>
      <c r="B130" s="524"/>
      <c r="C130" s="523"/>
      <c r="D130" s="959">
        <v>0.33333333333333331</v>
      </c>
      <c r="E130" s="523"/>
      <c r="F130" s="948"/>
      <c r="G130" s="948"/>
      <c r="H130" s="960"/>
      <c r="I130" s="961">
        <v>1</v>
      </c>
      <c r="J130" s="990">
        <f>IF(F129=0,"0",H129/I129)</f>
        <v>183.85714285714286</v>
      </c>
      <c r="K130" s="948"/>
      <c r="L130" s="963">
        <v>0.29166666666666669</v>
      </c>
      <c r="M130" s="639">
        <f t="shared" ref="M130:M137" si="44">IF(N130="","",J130*I130)</f>
        <v>183.85714285714286</v>
      </c>
      <c r="N130" s="959">
        <v>0.33333333333333331</v>
      </c>
      <c r="O130" s="964"/>
      <c r="P130" s="640">
        <f t="shared" ref="P130:P137" si="45">IF(N130="","",O130/M130)</f>
        <v>0</v>
      </c>
      <c r="Q130" s="640"/>
      <c r="R130" s="653"/>
      <c r="S130" s="847"/>
      <c r="T130" s="824"/>
      <c r="U130" s="568"/>
      <c r="V130" s="965"/>
      <c r="W130" s="948"/>
      <c r="X130" s="948"/>
      <c r="Y130" s="948"/>
      <c r="Z130" s="948"/>
      <c r="AA130" s="948"/>
      <c r="AB130" s="948"/>
      <c r="AC130" s="966"/>
    </row>
    <row r="131" spans="1:29" hidden="1" outlineLevel="2" x14ac:dyDescent="0.2">
      <c r="A131" s="497">
        <f t="shared" si="36"/>
        <v>8</v>
      </c>
      <c r="B131" s="524"/>
      <c r="C131" s="523"/>
      <c r="D131" s="967">
        <v>0.375</v>
      </c>
      <c r="E131" s="523"/>
      <c r="F131" s="948"/>
      <c r="G131" s="948"/>
      <c r="H131" s="960"/>
      <c r="I131" s="961">
        <v>0.5</v>
      </c>
      <c r="J131" s="990">
        <f>IF(F129=0,"0",H129/I129)</f>
        <v>183.85714285714286</v>
      </c>
      <c r="K131" s="948"/>
      <c r="L131" s="968">
        <f t="shared" ref="L131:L137" si="46">N130</f>
        <v>0.33333333333333331</v>
      </c>
      <c r="M131" s="618">
        <f t="shared" si="44"/>
        <v>91.928571428571431</v>
      </c>
      <c r="N131" s="967">
        <v>0.375</v>
      </c>
      <c r="O131" s="969"/>
      <c r="P131" s="617">
        <f t="shared" si="45"/>
        <v>0</v>
      </c>
      <c r="Q131" s="617"/>
      <c r="R131" s="846"/>
      <c r="S131" s="846"/>
      <c r="T131" s="822"/>
      <c r="U131" s="568"/>
      <c r="V131" s="965"/>
      <c r="W131" s="948"/>
      <c r="X131" s="948"/>
      <c r="Y131" s="948"/>
      <c r="Z131" s="948"/>
      <c r="AA131" s="948"/>
      <c r="AB131" s="948"/>
      <c r="AC131" s="966"/>
    </row>
    <row r="132" spans="1:29" hidden="1" outlineLevel="2" x14ac:dyDescent="0.2">
      <c r="A132" s="497">
        <f t="shared" si="36"/>
        <v>8</v>
      </c>
      <c r="B132" s="524"/>
      <c r="C132" s="523"/>
      <c r="D132" s="959">
        <v>0.41666666666666669</v>
      </c>
      <c r="E132" s="523"/>
      <c r="F132" s="948"/>
      <c r="G132" s="948"/>
      <c r="H132" s="960"/>
      <c r="I132" s="961">
        <v>1</v>
      </c>
      <c r="J132" s="990">
        <f>IF(F129=0,"0",H129/I129)</f>
        <v>183.85714285714286</v>
      </c>
      <c r="K132" s="948"/>
      <c r="L132" s="963">
        <f t="shared" si="46"/>
        <v>0.375</v>
      </c>
      <c r="M132" s="639">
        <f t="shared" si="44"/>
        <v>183.85714285714286</v>
      </c>
      <c r="N132" s="959">
        <v>0.41666666666666669</v>
      </c>
      <c r="O132" s="964"/>
      <c r="P132" s="640">
        <f t="shared" si="45"/>
        <v>0</v>
      </c>
      <c r="Q132" s="640"/>
      <c r="R132" s="847"/>
      <c r="S132" s="847"/>
      <c r="T132" s="824"/>
      <c r="U132" s="568"/>
      <c r="V132" s="965"/>
      <c r="W132" s="948"/>
      <c r="X132" s="948"/>
      <c r="Y132" s="948"/>
      <c r="Z132" s="948"/>
      <c r="AA132" s="948"/>
      <c r="AB132" s="948"/>
      <c r="AC132" s="966"/>
    </row>
    <row r="133" spans="1:29" hidden="1" outlineLevel="2" x14ac:dyDescent="0.2">
      <c r="A133" s="497">
        <f t="shared" si="36"/>
        <v>8</v>
      </c>
      <c r="B133" s="524"/>
      <c r="C133" s="523"/>
      <c r="D133" s="967">
        <v>0.45833333333333331</v>
      </c>
      <c r="E133" s="523"/>
      <c r="F133" s="948"/>
      <c r="G133" s="948"/>
      <c r="H133" s="960"/>
      <c r="I133" s="961">
        <v>1</v>
      </c>
      <c r="J133" s="990">
        <f>IF(F129=0,"0",H129/I129)</f>
        <v>183.85714285714286</v>
      </c>
      <c r="K133" s="948"/>
      <c r="L133" s="968">
        <f t="shared" si="46"/>
        <v>0.41666666666666669</v>
      </c>
      <c r="M133" s="618">
        <f t="shared" si="44"/>
        <v>183.85714285714286</v>
      </c>
      <c r="N133" s="967">
        <v>0.45833333333333331</v>
      </c>
      <c r="O133" s="969"/>
      <c r="P133" s="617">
        <f t="shared" si="45"/>
        <v>0</v>
      </c>
      <c r="Q133" s="617"/>
      <c r="R133" s="846"/>
      <c r="S133" s="846"/>
      <c r="T133" s="822"/>
      <c r="U133" s="568"/>
      <c r="V133" s="965"/>
      <c r="W133" s="948"/>
      <c r="X133" s="948"/>
      <c r="Y133" s="948"/>
      <c r="Z133" s="948"/>
      <c r="AA133" s="948"/>
      <c r="AB133" s="948"/>
      <c r="AC133" s="966"/>
    </row>
    <row r="134" spans="1:29" hidden="1" outlineLevel="2" x14ac:dyDescent="0.2">
      <c r="A134" s="497">
        <f t="shared" si="36"/>
        <v>8</v>
      </c>
      <c r="B134" s="524"/>
      <c r="C134" s="523"/>
      <c r="D134" s="959">
        <v>0.5</v>
      </c>
      <c r="E134" s="523"/>
      <c r="F134" s="948"/>
      <c r="G134" s="948"/>
      <c r="H134" s="960"/>
      <c r="I134" s="961">
        <v>0.5</v>
      </c>
      <c r="J134" s="990">
        <f>IF(F129=0,"0",H129/I129)</f>
        <v>183.85714285714286</v>
      </c>
      <c r="K134" s="948"/>
      <c r="L134" s="963">
        <f t="shared" si="46"/>
        <v>0.45833333333333331</v>
      </c>
      <c r="M134" s="639">
        <f t="shared" si="44"/>
        <v>91.928571428571431</v>
      </c>
      <c r="N134" s="959">
        <v>0.5</v>
      </c>
      <c r="O134" s="964"/>
      <c r="P134" s="640">
        <f t="shared" si="45"/>
        <v>0</v>
      </c>
      <c r="Q134" s="640"/>
      <c r="R134" s="653"/>
      <c r="S134" s="847"/>
      <c r="T134" s="824"/>
      <c r="U134" s="568"/>
      <c r="V134" s="965"/>
      <c r="W134" s="948"/>
      <c r="X134" s="948"/>
      <c r="Y134" s="948"/>
      <c r="Z134" s="948"/>
      <c r="AA134" s="948"/>
      <c r="AB134" s="948"/>
      <c r="AC134" s="966"/>
    </row>
    <row r="135" spans="1:29" hidden="1" outlineLevel="2" x14ac:dyDescent="0.2">
      <c r="A135" s="497">
        <f t="shared" si="36"/>
        <v>8</v>
      </c>
      <c r="B135" s="524"/>
      <c r="C135" s="523"/>
      <c r="D135" s="967">
        <v>0.54166666666666663</v>
      </c>
      <c r="E135" s="523"/>
      <c r="F135" s="948"/>
      <c r="G135" s="948"/>
      <c r="H135" s="960"/>
      <c r="I135" s="961">
        <v>1</v>
      </c>
      <c r="J135" s="990">
        <f>IF(F129=0,"0",H129/I129)</f>
        <v>183.85714285714286</v>
      </c>
      <c r="K135" s="948"/>
      <c r="L135" s="968">
        <f t="shared" si="46"/>
        <v>0.5</v>
      </c>
      <c r="M135" s="618">
        <f t="shared" si="44"/>
        <v>183.85714285714286</v>
      </c>
      <c r="N135" s="967">
        <v>0.54166666666666663</v>
      </c>
      <c r="O135" s="969"/>
      <c r="P135" s="617">
        <f t="shared" si="45"/>
        <v>0</v>
      </c>
      <c r="Q135" s="617"/>
      <c r="R135" s="848"/>
      <c r="S135" s="846"/>
      <c r="T135" s="822"/>
      <c r="U135" s="568"/>
      <c r="V135" s="965"/>
      <c r="W135" s="948"/>
      <c r="X135" s="948"/>
      <c r="Y135" s="948"/>
      <c r="Z135" s="948"/>
      <c r="AA135" s="948"/>
      <c r="AB135" s="948"/>
      <c r="AC135" s="966"/>
    </row>
    <row r="136" spans="1:29" hidden="1" outlineLevel="2" x14ac:dyDescent="0.2">
      <c r="A136" s="497">
        <f t="shared" si="36"/>
        <v>8</v>
      </c>
      <c r="B136" s="524"/>
      <c r="C136" s="523"/>
      <c r="D136" s="959">
        <v>0.58333333333333337</v>
      </c>
      <c r="E136" s="523"/>
      <c r="F136" s="948"/>
      <c r="G136" s="948"/>
      <c r="H136" s="960"/>
      <c r="I136" s="961">
        <v>1</v>
      </c>
      <c r="J136" s="990">
        <f>IF(F129=0,"0",H129/I129)</f>
        <v>183.85714285714286</v>
      </c>
      <c r="K136" s="948"/>
      <c r="L136" s="963">
        <f t="shared" si="46"/>
        <v>0.54166666666666663</v>
      </c>
      <c r="M136" s="639">
        <f t="shared" si="44"/>
        <v>183.85714285714286</v>
      </c>
      <c r="N136" s="959">
        <v>0.58333333333333337</v>
      </c>
      <c r="O136" s="964"/>
      <c r="P136" s="640">
        <f t="shared" si="45"/>
        <v>0</v>
      </c>
      <c r="Q136" s="640"/>
      <c r="R136" s="847"/>
      <c r="S136" s="847"/>
      <c r="T136" s="824"/>
      <c r="U136" s="568"/>
      <c r="V136" s="965"/>
      <c r="W136" s="948"/>
      <c r="X136" s="948"/>
      <c r="Y136" s="948"/>
      <c r="Z136" s="948"/>
      <c r="AA136" s="948"/>
      <c r="AB136" s="948"/>
      <c r="AC136" s="966"/>
    </row>
    <row r="137" spans="1:29" hidden="1" outlineLevel="2" x14ac:dyDescent="0.2">
      <c r="A137" s="497">
        <f t="shared" si="36"/>
        <v>8</v>
      </c>
      <c r="B137" s="524"/>
      <c r="C137" s="523"/>
      <c r="D137" s="970">
        <v>0.625</v>
      </c>
      <c r="E137" s="523"/>
      <c r="F137" s="948"/>
      <c r="G137" s="948"/>
      <c r="H137" s="960"/>
      <c r="I137" s="961">
        <v>1</v>
      </c>
      <c r="J137" s="990">
        <f>IF(F129=0,"0",H129/I129)</f>
        <v>183.85714285714286</v>
      </c>
      <c r="K137" s="948"/>
      <c r="L137" s="971">
        <f t="shared" si="46"/>
        <v>0.58333333333333337</v>
      </c>
      <c r="M137" s="618">
        <f t="shared" si="44"/>
        <v>183.85714285714286</v>
      </c>
      <c r="N137" s="970">
        <v>0.625</v>
      </c>
      <c r="O137" s="972"/>
      <c r="P137" s="503">
        <f t="shared" si="45"/>
        <v>0</v>
      </c>
      <c r="Q137" s="503"/>
      <c r="R137" s="571"/>
      <c r="S137" s="571"/>
      <c r="T137" s="826"/>
      <c r="U137" s="568"/>
      <c r="V137" s="973"/>
      <c r="W137" s="974"/>
      <c r="X137" s="974"/>
      <c r="Y137" s="948"/>
      <c r="Z137" s="974"/>
      <c r="AA137" s="974"/>
      <c r="AB137" s="974"/>
      <c r="AC137" s="975"/>
    </row>
    <row r="138" spans="1:29" s="622" customFormat="1" hidden="1" outlineLevel="1" collapsed="1" x14ac:dyDescent="0.2">
      <c r="A138" s="497">
        <f t="shared" si="36"/>
        <v>8</v>
      </c>
      <c r="B138" s="551">
        <f>B129</f>
        <v>46073</v>
      </c>
      <c r="C138" s="550" t="s">
        <v>210</v>
      </c>
      <c r="D138" s="563"/>
      <c r="E138" s="550"/>
      <c r="F138" s="548">
        <v>16500</v>
      </c>
      <c r="G138" s="548">
        <v>650</v>
      </c>
      <c r="H138" s="547">
        <f>+F138*12*G138/100000</f>
        <v>1287</v>
      </c>
      <c r="I138" s="546">
        <f>IF(F138="","0",SUM(I139:I146))</f>
        <v>7</v>
      </c>
      <c r="J138" s="990"/>
      <c r="K138" s="545"/>
      <c r="L138" s="827" t="str">
        <f>C138</f>
        <v>T2</v>
      </c>
      <c r="M138" s="566" t="str">
        <f>IF(O138=0,"0",SUM(M139:M146))</f>
        <v>0</v>
      </c>
      <c r="N138" s="563"/>
      <c r="O138" s="565">
        <f>SUM(O139:O146)</f>
        <v>0</v>
      </c>
      <c r="P138" s="564" t="e">
        <f>+O138/M138</f>
        <v>#DIV/0!</v>
      </c>
      <c r="Q138" s="563"/>
      <c r="R138" s="828"/>
      <c r="S138" s="828"/>
      <c r="T138" s="829"/>
      <c r="U138" s="536"/>
      <c r="V138" s="948"/>
      <c r="W138" s="948"/>
      <c r="X138" s="948"/>
      <c r="Y138" s="948"/>
      <c r="Z138" s="948"/>
      <c r="AA138" s="948"/>
      <c r="AB138" s="948"/>
      <c r="AC138" s="976"/>
    </row>
    <row r="139" spans="1:29" s="623" customFormat="1" hidden="1" outlineLevel="2" x14ac:dyDescent="0.2">
      <c r="A139" s="497">
        <f t="shared" si="36"/>
        <v>8</v>
      </c>
      <c r="B139" s="524"/>
      <c r="C139" s="523"/>
      <c r="D139" s="967">
        <v>0.66666666666666663</v>
      </c>
      <c r="E139" s="523"/>
      <c r="F139" s="948"/>
      <c r="G139" s="948"/>
      <c r="H139" s="960"/>
      <c r="I139" s="961">
        <v>1</v>
      </c>
      <c r="J139" s="990">
        <f>IF(F138=0,"0",H138/I138)</f>
        <v>183.85714285714286</v>
      </c>
      <c r="K139" s="948"/>
      <c r="L139" s="968">
        <v>0.625</v>
      </c>
      <c r="M139" s="618">
        <f t="shared" ref="M139:M146" si="47">IF(N139="","",J139*I139)</f>
        <v>183.85714285714286</v>
      </c>
      <c r="N139" s="967">
        <v>0.66666666666666663</v>
      </c>
      <c r="O139" s="969"/>
      <c r="P139" s="617">
        <f t="shared" ref="P139:P146" si="48">IF(N139="","",O139/M139)</f>
        <v>0</v>
      </c>
      <c r="Q139" s="948"/>
      <c r="R139" s="629"/>
      <c r="S139" s="532"/>
      <c r="T139" s="830"/>
      <c r="U139" s="950"/>
      <c r="V139" s="956"/>
      <c r="W139" s="957"/>
      <c r="X139" s="957"/>
      <c r="Y139" s="948"/>
      <c r="Z139" s="957"/>
      <c r="AA139" s="957"/>
      <c r="AB139" s="957"/>
      <c r="AC139" s="958"/>
    </row>
    <row r="140" spans="1:29" s="623" customFormat="1" hidden="1" outlineLevel="2" x14ac:dyDescent="0.2">
      <c r="A140" s="497">
        <f t="shared" si="36"/>
        <v>8</v>
      </c>
      <c r="B140" s="524"/>
      <c r="C140" s="523"/>
      <c r="D140" s="959">
        <v>0.70833333333333337</v>
      </c>
      <c r="E140" s="523"/>
      <c r="F140" s="948"/>
      <c r="G140" s="948"/>
      <c r="H140" s="960"/>
      <c r="I140" s="961">
        <v>0.5</v>
      </c>
      <c r="J140" s="990">
        <f>IF(F138=0,"0",H138/I138)</f>
        <v>183.85714285714286</v>
      </c>
      <c r="K140" s="948"/>
      <c r="L140" s="963">
        <f t="shared" ref="L140:L146" si="49">N139</f>
        <v>0.66666666666666663</v>
      </c>
      <c r="M140" s="639">
        <f t="shared" si="47"/>
        <v>91.928571428571431</v>
      </c>
      <c r="N140" s="959">
        <v>0.70833333333333337</v>
      </c>
      <c r="O140" s="964"/>
      <c r="P140" s="640">
        <f t="shared" si="48"/>
        <v>0</v>
      </c>
      <c r="Q140" s="964"/>
      <c r="R140" s="831"/>
      <c r="S140" s="832"/>
      <c r="T140" s="833"/>
      <c r="U140" s="950"/>
      <c r="V140" s="965"/>
      <c r="W140" s="948"/>
      <c r="X140" s="948"/>
      <c r="Y140" s="948"/>
      <c r="Z140" s="948"/>
      <c r="AA140" s="948"/>
      <c r="AB140" s="948"/>
      <c r="AC140" s="966"/>
    </row>
    <row r="141" spans="1:29" s="623" customFormat="1" hidden="1" outlineLevel="2" x14ac:dyDescent="0.2">
      <c r="A141" s="497">
        <f t="shared" si="36"/>
        <v>8</v>
      </c>
      <c r="B141" s="524"/>
      <c r="C141" s="523"/>
      <c r="D141" s="967">
        <v>0.75</v>
      </c>
      <c r="E141" s="523"/>
      <c r="F141" s="948"/>
      <c r="G141" s="948"/>
      <c r="H141" s="960"/>
      <c r="I141" s="961">
        <v>1</v>
      </c>
      <c r="J141" s="990">
        <f>IF(F138=0,"0",H138/I138)</f>
        <v>183.85714285714286</v>
      </c>
      <c r="K141" s="948"/>
      <c r="L141" s="968">
        <f t="shared" si="49"/>
        <v>0.70833333333333337</v>
      </c>
      <c r="M141" s="618">
        <f t="shared" si="47"/>
        <v>183.85714285714286</v>
      </c>
      <c r="N141" s="967">
        <v>0.75</v>
      </c>
      <c r="O141" s="969"/>
      <c r="P141" s="617">
        <f t="shared" si="48"/>
        <v>0</v>
      </c>
      <c r="Q141" s="948"/>
      <c r="R141" s="532"/>
      <c r="S141" s="532"/>
      <c r="T141" s="830"/>
      <c r="U141" s="950"/>
      <c r="V141" s="965"/>
      <c r="W141" s="948"/>
      <c r="X141" s="948"/>
      <c r="Y141" s="948"/>
      <c r="Z141" s="948"/>
      <c r="AA141" s="948"/>
      <c r="AB141" s="948"/>
      <c r="AC141" s="966"/>
    </row>
    <row r="142" spans="1:29" s="623" customFormat="1" hidden="1" outlineLevel="2" x14ac:dyDescent="0.2">
      <c r="A142" s="497">
        <f t="shared" ref="A142:A173" si="50">$A$11</f>
        <v>8</v>
      </c>
      <c r="B142" s="524"/>
      <c r="C142" s="523"/>
      <c r="D142" s="959">
        <v>0.79166666666666663</v>
      </c>
      <c r="E142" s="523"/>
      <c r="F142" s="948"/>
      <c r="G142" s="948"/>
      <c r="H142" s="960"/>
      <c r="I142" s="961">
        <v>1</v>
      </c>
      <c r="J142" s="990">
        <f>IF(F138=0,"0",H138/I138)</f>
        <v>183.85714285714286</v>
      </c>
      <c r="K142" s="948"/>
      <c r="L142" s="963">
        <f t="shared" si="49"/>
        <v>0.75</v>
      </c>
      <c r="M142" s="639">
        <f t="shared" si="47"/>
        <v>183.85714285714286</v>
      </c>
      <c r="N142" s="959">
        <v>0.79166666666666663</v>
      </c>
      <c r="O142" s="964"/>
      <c r="P142" s="640">
        <f t="shared" si="48"/>
        <v>0</v>
      </c>
      <c r="Q142" s="964"/>
      <c r="R142" s="653"/>
      <c r="S142" s="832"/>
      <c r="T142" s="833"/>
      <c r="U142" s="950"/>
      <c r="V142" s="965"/>
      <c r="W142" s="948"/>
      <c r="X142" s="948"/>
      <c r="Y142" s="948"/>
      <c r="Z142" s="948"/>
      <c r="AA142" s="948"/>
      <c r="AB142" s="948"/>
      <c r="AC142" s="966"/>
    </row>
    <row r="143" spans="1:29" s="623" customFormat="1" hidden="1" outlineLevel="2" x14ac:dyDescent="0.2">
      <c r="A143" s="497">
        <f t="shared" si="50"/>
        <v>8</v>
      </c>
      <c r="B143" s="524"/>
      <c r="C143" s="523"/>
      <c r="D143" s="967">
        <v>0.83333333333333337</v>
      </c>
      <c r="E143" s="523"/>
      <c r="F143" s="948"/>
      <c r="G143" s="948"/>
      <c r="H143" s="960"/>
      <c r="I143" s="961">
        <v>0.5</v>
      </c>
      <c r="J143" s="990">
        <f>IF(F138=0,"0",H138/I138)</f>
        <v>183.85714285714286</v>
      </c>
      <c r="K143" s="948"/>
      <c r="L143" s="968">
        <f t="shared" si="49"/>
        <v>0.79166666666666663</v>
      </c>
      <c r="M143" s="618">
        <f t="shared" si="47"/>
        <v>91.928571428571431</v>
      </c>
      <c r="N143" s="967">
        <v>0.83333333333333337</v>
      </c>
      <c r="O143" s="969"/>
      <c r="P143" s="617">
        <f t="shared" si="48"/>
        <v>0</v>
      </c>
      <c r="Q143" s="948"/>
      <c r="R143" s="532"/>
      <c r="S143" s="532"/>
      <c r="T143" s="830"/>
      <c r="U143" s="950"/>
      <c r="V143" s="965"/>
      <c r="W143" s="948"/>
      <c r="X143" s="948"/>
      <c r="Y143" s="948"/>
      <c r="Z143" s="948"/>
      <c r="AA143" s="948"/>
      <c r="AB143" s="948"/>
      <c r="AC143" s="966"/>
    </row>
    <row r="144" spans="1:29" s="623" customFormat="1" hidden="1" outlineLevel="2" x14ac:dyDescent="0.2">
      <c r="A144" s="497">
        <f t="shared" si="50"/>
        <v>8</v>
      </c>
      <c r="B144" s="524"/>
      <c r="C144" s="523"/>
      <c r="D144" s="959">
        <v>0.875</v>
      </c>
      <c r="E144" s="523"/>
      <c r="F144" s="948"/>
      <c r="G144" s="948"/>
      <c r="H144" s="960"/>
      <c r="I144" s="961">
        <v>1</v>
      </c>
      <c r="J144" s="990">
        <f>IF(F138=0,"0",H138/I138)</f>
        <v>183.85714285714286</v>
      </c>
      <c r="K144" s="948"/>
      <c r="L144" s="963">
        <f t="shared" si="49"/>
        <v>0.83333333333333337</v>
      </c>
      <c r="M144" s="639">
        <f t="shared" si="47"/>
        <v>183.85714285714286</v>
      </c>
      <c r="N144" s="959">
        <v>0.875</v>
      </c>
      <c r="O144" s="964"/>
      <c r="P144" s="640">
        <f t="shared" si="48"/>
        <v>0</v>
      </c>
      <c r="Q144" s="964"/>
      <c r="R144" s="832"/>
      <c r="S144" s="832"/>
      <c r="T144" s="833"/>
      <c r="U144" s="950"/>
      <c r="V144" s="965"/>
      <c r="W144" s="948"/>
      <c r="X144" s="948"/>
      <c r="Y144" s="948"/>
      <c r="Z144" s="948"/>
      <c r="AA144" s="948"/>
      <c r="AB144" s="948"/>
      <c r="AC144" s="966"/>
    </row>
    <row r="145" spans="1:29" s="623" customFormat="1" hidden="1" outlineLevel="2" x14ac:dyDescent="0.2">
      <c r="A145" s="497">
        <f t="shared" si="50"/>
        <v>8</v>
      </c>
      <c r="B145" s="524"/>
      <c r="C145" s="523"/>
      <c r="D145" s="967">
        <v>0.91666666666666663</v>
      </c>
      <c r="E145" s="523"/>
      <c r="F145" s="948"/>
      <c r="G145" s="948"/>
      <c r="H145" s="960"/>
      <c r="I145" s="961">
        <v>1</v>
      </c>
      <c r="J145" s="990">
        <f>IF(F138=0,"0",H138/I138)</f>
        <v>183.85714285714286</v>
      </c>
      <c r="K145" s="948"/>
      <c r="L145" s="968">
        <f t="shared" si="49"/>
        <v>0.875</v>
      </c>
      <c r="M145" s="618">
        <f t="shared" si="47"/>
        <v>183.85714285714286</v>
      </c>
      <c r="N145" s="967">
        <v>0.91666666666666663</v>
      </c>
      <c r="O145" s="969"/>
      <c r="P145" s="617">
        <f t="shared" si="48"/>
        <v>0</v>
      </c>
      <c r="Q145" s="948"/>
      <c r="R145" s="532"/>
      <c r="S145" s="532"/>
      <c r="T145" s="830"/>
      <c r="U145" s="950"/>
      <c r="V145" s="965"/>
      <c r="W145" s="948"/>
      <c r="X145" s="948"/>
      <c r="Y145" s="948"/>
      <c r="Z145" s="948"/>
      <c r="AA145" s="948"/>
      <c r="AB145" s="948"/>
      <c r="AC145" s="966"/>
    </row>
    <row r="146" spans="1:29" s="623" customFormat="1" hidden="1" outlineLevel="2" x14ac:dyDescent="0.2">
      <c r="A146" s="497">
        <f t="shared" si="50"/>
        <v>8</v>
      </c>
      <c r="B146" s="524"/>
      <c r="C146" s="523"/>
      <c r="D146" s="977">
        <v>0.95833333333333337</v>
      </c>
      <c r="E146" s="523"/>
      <c r="F146" s="948"/>
      <c r="G146" s="948"/>
      <c r="H146" s="960"/>
      <c r="I146" s="961">
        <v>1</v>
      </c>
      <c r="J146" s="990">
        <f>IF(F138=0,"0",H138/I138)</f>
        <v>183.85714285714286</v>
      </c>
      <c r="K146" s="948"/>
      <c r="L146" s="978">
        <f t="shared" si="49"/>
        <v>0.91666666666666663</v>
      </c>
      <c r="M146" s="639">
        <f t="shared" si="47"/>
        <v>183.85714285714286</v>
      </c>
      <c r="N146" s="977">
        <v>0.95833333333333337</v>
      </c>
      <c r="O146" s="979"/>
      <c r="P146" s="641">
        <f t="shared" si="48"/>
        <v>0</v>
      </c>
      <c r="Q146" s="979"/>
      <c r="R146" s="835"/>
      <c r="S146" s="835"/>
      <c r="T146" s="836"/>
      <c r="U146" s="950"/>
      <c r="V146" s="973"/>
      <c r="W146" s="974"/>
      <c r="X146" s="974"/>
      <c r="Y146" s="948"/>
      <c r="Z146" s="974"/>
      <c r="AA146" s="974"/>
      <c r="AB146" s="974"/>
      <c r="AC146" s="975"/>
    </row>
    <row r="147" spans="1:29" s="624" customFormat="1" hidden="1" outlineLevel="1" collapsed="1" x14ac:dyDescent="0.2">
      <c r="A147" s="497">
        <f t="shared" si="50"/>
        <v>8</v>
      </c>
      <c r="B147" s="551">
        <f>B129</f>
        <v>46073</v>
      </c>
      <c r="C147" s="550" t="s">
        <v>211</v>
      </c>
      <c r="D147" s="540"/>
      <c r="E147" s="550"/>
      <c r="F147" s="548">
        <v>16500</v>
      </c>
      <c r="G147" s="548">
        <v>650</v>
      </c>
      <c r="H147" s="547">
        <f>+F147*12*G147/100000</f>
        <v>1287</v>
      </c>
      <c r="I147" s="546">
        <f>IF(F147="","0",SUM(I148:I155))</f>
        <v>7</v>
      </c>
      <c r="J147" s="990"/>
      <c r="K147" s="545"/>
      <c r="L147" s="837" t="str">
        <f>C147</f>
        <v>T3</v>
      </c>
      <c r="M147" s="543" t="str">
        <f>IF(O147=0,"0",SUM(M148:M155))</f>
        <v>0</v>
      </c>
      <c r="N147" s="540"/>
      <c r="O147" s="542">
        <f>SUM(O148:O155)</f>
        <v>0</v>
      </c>
      <c r="P147" s="541" t="e">
        <f>+O147/M147</f>
        <v>#DIV/0!</v>
      </c>
      <c r="Q147" s="540"/>
      <c r="R147" s="838"/>
      <c r="S147" s="838"/>
      <c r="T147" s="839"/>
      <c r="U147" s="536"/>
      <c r="V147" s="948"/>
      <c r="W147" s="948"/>
      <c r="X147" s="948"/>
      <c r="Y147" s="948"/>
      <c r="Z147" s="948"/>
      <c r="AA147" s="948"/>
      <c r="AB147" s="948"/>
      <c r="AC147" s="976"/>
    </row>
    <row r="148" spans="1:29" s="623" customFormat="1" hidden="1" outlineLevel="2" x14ac:dyDescent="0.2">
      <c r="A148" s="497">
        <f t="shared" si="50"/>
        <v>8</v>
      </c>
      <c r="B148" s="524"/>
      <c r="C148" s="523"/>
      <c r="D148" s="959">
        <v>0</v>
      </c>
      <c r="E148" s="523"/>
      <c r="F148" s="948"/>
      <c r="G148" s="948"/>
      <c r="H148" s="960"/>
      <c r="I148" s="961">
        <v>1</v>
      </c>
      <c r="J148" s="990">
        <f>IF(F147=0,"0",H147/I147)</f>
        <v>183.85714285714286</v>
      </c>
      <c r="K148" s="948"/>
      <c r="L148" s="963">
        <v>0.95833333333333337</v>
      </c>
      <c r="M148" s="639">
        <f t="shared" ref="M148:M155" si="51">IF(N148="","",J148*I148)</f>
        <v>183.85714285714286</v>
      </c>
      <c r="N148" s="959">
        <v>0</v>
      </c>
      <c r="O148" s="964"/>
      <c r="P148" s="640">
        <f t="shared" ref="P148:P155" si="52">IF(N148="","",O148/M148)</f>
        <v>0</v>
      </c>
      <c r="Q148" s="964"/>
      <c r="R148" s="832"/>
      <c r="S148" s="832"/>
      <c r="T148" s="833"/>
      <c r="U148" s="950"/>
      <c r="V148" s="956"/>
      <c r="W148" s="957"/>
      <c r="X148" s="957"/>
      <c r="Y148" s="948"/>
      <c r="Z148" s="957"/>
      <c r="AA148" s="957"/>
      <c r="AB148" s="957"/>
      <c r="AC148" s="958"/>
    </row>
    <row r="149" spans="1:29" s="623" customFormat="1" hidden="1" outlineLevel="2" x14ac:dyDescent="0.2">
      <c r="A149" s="497">
        <f t="shared" si="50"/>
        <v>8</v>
      </c>
      <c r="B149" s="524"/>
      <c r="C149" s="523"/>
      <c r="D149" s="967">
        <v>4.1666666666666664E-2</v>
      </c>
      <c r="E149" s="523"/>
      <c r="F149" s="948"/>
      <c r="G149" s="948"/>
      <c r="H149" s="960"/>
      <c r="I149" s="961">
        <v>0.5</v>
      </c>
      <c r="J149" s="990">
        <f>IF(F147=0,"0",H147/I147)</f>
        <v>183.85714285714286</v>
      </c>
      <c r="K149" s="948"/>
      <c r="L149" s="968">
        <f t="shared" ref="L149:L155" si="53">N148</f>
        <v>0</v>
      </c>
      <c r="M149" s="618">
        <f t="shared" si="51"/>
        <v>91.928571428571431</v>
      </c>
      <c r="N149" s="967">
        <v>4.1666666666666664E-2</v>
      </c>
      <c r="O149" s="969"/>
      <c r="P149" s="617">
        <f t="shared" si="52"/>
        <v>0</v>
      </c>
      <c r="Q149" s="948"/>
      <c r="R149" s="532"/>
      <c r="S149" s="532"/>
      <c r="T149" s="830"/>
      <c r="U149" s="950"/>
      <c r="V149" s="965"/>
      <c r="W149" s="948"/>
      <c r="X149" s="948"/>
      <c r="Y149" s="948"/>
      <c r="Z149" s="948"/>
      <c r="AA149" s="948"/>
      <c r="AB149" s="948"/>
      <c r="AC149" s="966"/>
    </row>
    <row r="150" spans="1:29" s="623" customFormat="1" hidden="1" outlineLevel="2" x14ac:dyDescent="0.2">
      <c r="A150" s="497">
        <f t="shared" si="50"/>
        <v>8</v>
      </c>
      <c r="B150" s="524"/>
      <c r="C150" s="523"/>
      <c r="D150" s="959">
        <v>8.3333333333333329E-2</v>
      </c>
      <c r="E150" s="523"/>
      <c r="F150" s="948"/>
      <c r="G150" s="948"/>
      <c r="H150" s="960"/>
      <c r="I150" s="961">
        <v>1</v>
      </c>
      <c r="J150" s="990">
        <f>IF(F147=0,"0",H147/I147)</f>
        <v>183.85714285714286</v>
      </c>
      <c r="K150" s="948"/>
      <c r="L150" s="963">
        <f t="shared" si="53"/>
        <v>4.1666666666666664E-2</v>
      </c>
      <c r="M150" s="639">
        <f t="shared" si="51"/>
        <v>183.85714285714286</v>
      </c>
      <c r="N150" s="959">
        <v>8.3333333333333329E-2</v>
      </c>
      <c r="O150" s="964"/>
      <c r="P150" s="640">
        <f t="shared" si="52"/>
        <v>0</v>
      </c>
      <c r="Q150" s="964"/>
      <c r="R150" s="832"/>
      <c r="S150" s="832"/>
      <c r="T150" s="833"/>
      <c r="U150" s="950"/>
      <c r="V150" s="965"/>
      <c r="W150" s="948"/>
      <c r="X150" s="948"/>
      <c r="Y150" s="948"/>
      <c r="Z150" s="948"/>
      <c r="AA150" s="948"/>
      <c r="AB150" s="948"/>
      <c r="AC150" s="966"/>
    </row>
    <row r="151" spans="1:29" s="623" customFormat="1" hidden="1" outlineLevel="2" x14ac:dyDescent="0.2">
      <c r="A151" s="497">
        <f t="shared" si="50"/>
        <v>8</v>
      </c>
      <c r="B151" s="524"/>
      <c r="C151" s="523"/>
      <c r="D151" s="967">
        <v>0.125</v>
      </c>
      <c r="E151" s="523"/>
      <c r="F151" s="948"/>
      <c r="G151" s="948"/>
      <c r="H151" s="960"/>
      <c r="I151" s="961">
        <v>1</v>
      </c>
      <c r="J151" s="990">
        <f>IF(F147=0,"0",H147/I147)</f>
        <v>183.85714285714286</v>
      </c>
      <c r="K151" s="948"/>
      <c r="L151" s="968">
        <f t="shared" si="53"/>
        <v>8.3333333333333329E-2</v>
      </c>
      <c r="M151" s="618">
        <f t="shared" si="51"/>
        <v>183.85714285714286</v>
      </c>
      <c r="N151" s="967">
        <v>0.125</v>
      </c>
      <c r="O151" s="969"/>
      <c r="P151" s="617">
        <f t="shared" si="52"/>
        <v>0</v>
      </c>
      <c r="Q151" s="948"/>
      <c r="R151" s="532"/>
      <c r="S151" s="532"/>
      <c r="T151" s="830"/>
      <c r="U151" s="950"/>
      <c r="V151" s="965"/>
      <c r="W151" s="948"/>
      <c r="X151" s="948"/>
      <c r="Y151" s="948"/>
      <c r="Z151" s="948"/>
      <c r="AA151" s="948"/>
      <c r="AB151" s="948"/>
      <c r="AC151" s="966"/>
    </row>
    <row r="152" spans="1:29" s="623" customFormat="1" hidden="1" outlineLevel="2" x14ac:dyDescent="0.2">
      <c r="A152" s="497">
        <f t="shared" si="50"/>
        <v>8</v>
      </c>
      <c r="B152" s="524"/>
      <c r="C152" s="523"/>
      <c r="D152" s="959">
        <v>0.16666666666666666</v>
      </c>
      <c r="E152" s="523"/>
      <c r="F152" s="948"/>
      <c r="G152" s="948"/>
      <c r="H152" s="960"/>
      <c r="I152" s="961">
        <v>0.5</v>
      </c>
      <c r="J152" s="990">
        <f>IF(F147=0,"0",H147/I147)</f>
        <v>183.85714285714286</v>
      </c>
      <c r="K152" s="948"/>
      <c r="L152" s="963">
        <f t="shared" si="53"/>
        <v>0.125</v>
      </c>
      <c r="M152" s="639">
        <f t="shared" si="51"/>
        <v>91.928571428571431</v>
      </c>
      <c r="N152" s="959">
        <v>0.16666666666666666</v>
      </c>
      <c r="O152" s="964"/>
      <c r="P152" s="640">
        <f t="shared" si="52"/>
        <v>0</v>
      </c>
      <c r="Q152" s="964"/>
      <c r="R152" s="840"/>
      <c r="S152" s="832"/>
      <c r="T152" s="833"/>
      <c r="U152" s="950"/>
      <c r="V152" s="965"/>
      <c r="W152" s="948"/>
      <c r="X152" s="948"/>
      <c r="Y152" s="948"/>
      <c r="Z152" s="948"/>
      <c r="AA152" s="948"/>
      <c r="AB152" s="948"/>
      <c r="AC152" s="966"/>
    </row>
    <row r="153" spans="1:29" s="623" customFormat="1" hidden="1" outlineLevel="2" x14ac:dyDescent="0.2">
      <c r="A153" s="497">
        <f t="shared" si="50"/>
        <v>8</v>
      </c>
      <c r="B153" s="524"/>
      <c r="C153" s="523"/>
      <c r="D153" s="967">
        <v>0.20833333333333334</v>
      </c>
      <c r="E153" s="523"/>
      <c r="F153" s="948"/>
      <c r="G153" s="948"/>
      <c r="H153" s="960"/>
      <c r="I153" s="961">
        <v>1</v>
      </c>
      <c r="J153" s="990">
        <f>IF(F147=0,"0",H147/I147)</f>
        <v>183.85714285714286</v>
      </c>
      <c r="K153" s="948"/>
      <c r="L153" s="968">
        <f t="shared" si="53"/>
        <v>0.16666666666666666</v>
      </c>
      <c r="M153" s="618">
        <f t="shared" si="51"/>
        <v>183.85714285714286</v>
      </c>
      <c r="N153" s="967">
        <v>0.20833333333333334</v>
      </c>
      <c r="O153" s="969"/>
      <c r="P153" s="617">
        <f t="shared" si="52"/>
        <v>0</v>
      </c>
      <c r="Q153" s="948"/>
      <c r="R153" s="629"/>
      <c r="S153" s="532"/>
      <c r="T153" s="830"/>
      <c r="U153" s="950"/>
      <c r="V153" s="965"/>
      <c r="W153" s="948"/>
      <c r="X153" s="948"/>
      <c r="Y153" s="948"/>
      <c r="Z153" s="948"/>
      <c r="AA153" s="948"/>
      <c r="AB153" s="948"/>
      <c r="AC153" s="966"/>
    </row>
    <row r="154" spans="1:29" s="623" customFormat="1" hidden="1" outlineLevel="2" x14ac:dyDescent="0.2">
      <c r="A154" s="497">
        <f t="shared" si="50"/>
        <v>8</v>
      </c>
      <c r="B154" s="524"/>
      <c r="C154" s="523"/>
      <c r="D154" s="959">
        <v>0.25</v>
      </c>
      <c r="E154" s="523"/>
      <c r="F154" s="948"/>
      <c r="G154" s="948"/>
      <c r="H154" s="960"/>
      <c r="I154" s="961">
        <v>1</v>
      </c>
      <c r="J154" s="990">
        <f>IF(F147=0,"0",H147/I147)</f>
        <v>183.85714285714286</v>
      </c>
      <c r="K154" s="948"/>
      <c r="L154" s="963">
        <f t="shared" si="53"/>
        <v>0.20833333333333334</v>
      </c>
      <c r="M154" s="639">
        <f t="shared" si="51"/>
        <v>183.85714285714286</v>
      </c>
      <c r="N154" s="959">
        <v>0.25</v>
      </c>
      <c r="O154" s="964"/>
      <c r="P154" s="640">
        <f t="shared" si="52"/>
        <v>0</v>
      </c>
      <c r="Q154" s="964"/>
      <c r="R154" s="832"/>
      <c r="S154" s="832"/>
      <c r="T154" s="833"/>
      <c r="U154" s="950"/>
      <c r="V154" s="965"/>
      <c r="W154" s="948"/>
      <c r="X154" s="948"/>
      <c r="Y154" s="948"/>
      <c r="Z154" s="948"/>
      <c r="AA154" s="948"/>
      <c r="AB154" s="948"/>
      <c r="AC154" s="966"/>
    </row>
    <row r="155" spans="1:29" s="623" customFormat="1" ht="15.75" hidden="1" outlineLevel="2" thickBot="1" x14ac:dyDescent="0.25">
      <c r="A155" s="497">
        <f t="shared" si="50"/>
        <v>8</v>
      </c>
      <c r="B155" s="511"/>
      <c r="C155" s="510"/>
      <c r="D155" s="980">
        <v>0.33333333333333331</v>
      </c>
      <c r="E155" s="510"/>
      <c r="F155" s="974"/>
      <c r="G155" s="974"/>
      <c r="H155" s="981"/>
      <c r="I155" s="982">
        <v>1</v>
      </c>
      <c r="J155" s="990">
        <f>IF(F147=0,"0",H147/I147)</f>
        <v>183.85714285714286</v>
      </c>
      <c r="K155" s="948"/>
      <c r="L155" s="983">
        <f t="shared" si="53"/>
        <v>0.25</v>
      </c>
      <c r="M155" s="644">
        <f t="shared" si="51"/>
        <v>183.85714285714286</v>
      </c>
      <c r="N155" s="980">
        <v>0.33333333333333331</v>
      </c>
      <c r="O155" s="984"/>
      <c r="P155" s="645">
        <f t="shared" si="52"/>
        <v>0</v>
      </c>
      <c r="Q155" s="985"/>
      <c r="R155" s="841"/>
      <c r="S155" s="841"/>
      <c r="T155" s="842"/>
      <c r="U155" s="950"/>
      <c r="V155" s="973"/>
      <c r="W155" s="974"/>
      <c r="X155" s="974"/>
      <c r="Y155" s="948"/>
      <c r="Z155" s="974"/>
      <c r="AA155" s="974"/>
      <c r="AB155" s="974"/>
      <c r="AC155" s="975"/>
    </row>
    <row r="156" spans="1:29" s="625" customFormat="1" ht="14.45" hidden="1" customHeight="1" outlineLevel="1" collapsed="1" thickBot="1" x14ac:dyDescent="0.25">
      <c r="A156" s="497">
        <f t="shared" si="50"/>
        <v>8</v>
      </c>
      <c r="B156" s="496"/>
      <c r="C156" s="986"/>
      <c r="D156" s="987"/>
      <c r="E156" s="986"/>
      <c r="F156" s="988"/>
      <c r="G156" s="988"/>
      <c r="H156" s="962"/>
      <c r="I156" s="986"/>
      <c r="J156" s="952"/>
      <c r="K156" s="988"/>
      <c r="L156" s="987"/>
      <c r="M156" s="627"/>
      <c r="N156" s="987"/>
      <c r="O156" s="988"/>
      <c r="P156" s="628"/>
      <c r="Q156" s="988"/>
      <c r="R156" s="843"/>
      <c r="S156" s="843"/>
      <c r="T156" s="843"/>
      <c r="U156" s="950"/>
      <c r="V156" s="988"/>
      <c r="W156" s="988"/>
      <c r="X156" s="988"/>
      <c r="Y156" s="988"/>
      <c r="Z156" s="988"/>
      <c r="AA156" s="988"/>
      <c r="AB156" s="988"/>
      <c r="AC156" s="988"/>
    </row>
    <row r="157" spans="1:29" s="621" customFormat="1" ht="16.5" collapsed="1" thickBot="1" x14ac:dyDescent="0.25">
      <c r="A157" s="497">
        <f t="shared" si="50"/>
        <v>8</v>
      </c>
      <c r="B157" s="595">
        <f>B158</f>
        <v>46074</v>
      </c>
      <c r="C157" s="593"/>
      <c r="D157" s="814"/>
      <c r="E157" s="593"/>
      <c r="F157" s="587">
        <f>+F158+F167+F176</f>
        <v>32500</v>
      </c>
      <c r="G157" s="587"/>
      <c r="H157" s="594">
        <f>+H158+H167+H176</f>
        <v>2446.8000000000002</v>
      </c>
      <c r="I157" s="593">
        <f>+I158+I167+I176</f>
        <v>21</v>
      </c>
      <c r="J157" s="592">
        <f>+J158+J167+J176</f>
        <v>0</v>
      </c>
      <c r="K157" s="587"/>
      <c r="L157" s="815"/>
      <c r="M157" s="816">
        <f>SUM(M159:M166,M168:M175,M177:M184)</f>
        <v>2446.8000000000002</v>
      </c>
      <c r="N157" s="814"/>
      <c r="O157" s="817">
        <f>SUM(O159:O166,O168:O175,O177:O184)</f>
        <v>0</v>
      </c>
      <c r="P157" s="818">
        <f>+O157/M157</f>
        <v>0</v>
      </c>
      <c r="Q157" s="819"/>
      <c r="R157" s="820"/>
      <c r="S157" s="820"/>
      <c r="T157" s="821"/>
      <c r="U157" s="585"/>
      <c r="V157" s="585"/>
      <c r="W157" s="585"/>
      <c r="X157" s="585"/>
      <c r="Y157" s="585"/>
      <c r="Z157" s="585"/>
      <c r="AA157" s="585"/>
      <c r="AB157" s="585"/>
      <c r="AC157" s="585"/>
    </row>
    <row r="158" spans="1:29" hidden="1" outlineLevel="1" x14ac:dyDescent="0.2">
      <c r="A158" s="497">
        <f t="shared" si="50"/>
        <v>8</v>
      </c>
      <c r="B158" s="844">
        <f>+B129+1</f>
        <v>46074</v>
      </c>
      <c r="C158" s="583" t="s">
        <v>208</v>
      </c>
      <c r="D158" s="545"/>
      <c r="E158" s="583"/>
      <c r="F158" s="548">
        <v>8000</v>
      </c>
      <c r="G158" s="548">
        <v>650</v>
      </c>
      <c r="H158" s="547">
        <f>+F158*12*G158/100000</f>
        <v>624</v>
      </c>
      <c r="I158" s="546">
        <f>IF(F158="","0",SUM(I159:I166))</f>
        <v>7</v>
      </c>
      <c r="J158" s="951"/>
      <c r="K158" s="545"/>
      <c r="L158" s="989" t="str">
        <f>C158</f>
        <v>T1</v>
      </c>
      <c r="M158" s="845">
        <f>SUM(M159:M166)</f>
        <v>623.99999999999989</v>
      </c>
      <c r="N158" s="545"/>
      <c r="O158" s="565">
        <f>SUM(O159:O166)</f>
        <v>0</v>
      </c>
      <c r="P158" s="588">
        <f>+O158/M158</f>
        <v>0</v>
      </c>
      <c r="Q158" s="617"/>
      <c r="R158" s="846"/>
      <c r="S158" s="846"/>
      <c r="T158" s="822"/>
      <c r="U158" s="568"/>
      <c r="V158" s="956"/>
      <c r="W158" s="957"/>
      <c r="X158" s="957"/>
      <c r="Y158" s="948"/>
      <c r="Z158" s="957"/>
      <c r="AA158" s="957"/>
      <c r="AB158" s="957"/>
      <c r="AC158" s="958"/>
    </row>
    <row r="159" spans="1:29" hidden="1" outlineLevel="2" x14ac:dyDescent="0.2">
      <c r="A159" s="497">
        <f t="shared" si="50"/>
        <v>8</v>
      </c>
      <c r="B159" s="524"/>
      <c r="C159" s="523"/>
      <c r="D159" s="959">
        <v>0.33333333333333331</v>
      </c>
      <c r="E159" s="523"/>
      <c r="F159" s="948"/>
      <c r="G159" s="948"/>
      <c r="H159" s="960"/>
      <c r="I159" s="961">
        <v>1</v>
      </c>
      <c r="J159" s="990">
        <f>IF(F158=0,"0",H158/I158)</f>
        <v>89.142857142857139</v>
      </c>
      <c r="K159" s="948"/>
      <c r="L159" s="963">
        <v>0.29166666666666669</v>
      </c>
      <c r="M159" s="639">
        <f t="shared" ref="M159:M166" si="54">IF(N159="","",J159*I159)</f>
        <v>89.142857142857139</v>
      </c>
      <c r="N159" s="959">
        <v>0.33333333333333331</v>
      </c>
      <c r="O159" s="964"/>
      <c r="P159" s="640">
        <f t="shared" ref="P159:P166" si="55">IF(N159="","",O159/M159)</f>
        <v>0</v>
      </c>
      <c r="Q159" s="640"/>
      <c r="R159" s="653"/>
      <c r="S159" s="847"/>
      <c r="T159" s="824"/>
      <c r="U159" s="568"/>
      <c r="V159" s="965"/>
      <c r="W159" s="948"/>
      <c r="X159" s="948"/>
      <c r="Y159" s="948"/>
      <c r="Z159" s="948"/>
      <c r="AA159" s="948"/>
      <c r="AB159" s="948"/>
      <c r="AC159" s="966"/>
    </row>
    <row r="160" spans="1:29" hidden="1" outlineLevel="2" x14ac:dyDescent="0.2">
      <c r="A160" s="497">
        <f t="shared" si="50"/>
        <v>8</v>
      </c>
      <c r="B160" s="524"/>
      <c r="C160" s="523"/>
      <c r="D160" s="967">
        <v>0.375</v>
      </c>
      <c r="E160" s="523"/>
      <c r="F160" s="948"/>
      <c r="G160" s="948"/>
      <c r="H160" s="960"/>
      <c r="I160" s="961">
        <v>0.5</v>
      </c>
      <c r="J160" s="990">
        <f>IF(F158=0,"0",H158/I158)</f>
        <v>89.142857142857139</v>
      </c>
      <c r="K160" s="948"/>
      <c r="L160" s="968">
        <f t="shared" ref="L160:L166" si="56">N159</f>
        <v>0.33333333333333331</v>
      </c>
      <c r="M160" s="618">
        <f t="shared" si="54"/>
        <v>44.571428571428569</v>
      </c>
      <c r="N160" s="967">
        <v>0.375</v>
      </c>
      <c r="O160" s="969"/>
      <c r="P160" s="617">
        <f t="shared" si="55"/>
        <v>0</v>
      </c>
      <c r="Q160" s="617"/>
      <c r="R160" s="846"/>
      <c r="S160" s="846"/>
      <c r="T160" s="822"/>
      <c r="U160" s="568"/>
      <c r="V160" s="965"/>
      <c r="W160" s="948"/>
      <c r="X160" s="948"/>
      <c r="Y160" s="948"/>
      <c r="Z160" s="948"/>
      <c r="AA160" s="948"/>
      <c r="AB160" s="948"/>
      <c r="AC160" s="966"/>
    </row>
    <row r="161" spans="1:29" hidden="1" outlineLevel="2" x14ac:dyDescent="0.2">
      <c r="A161" s="497">
        <f t="shared" si="50"/>
        <v>8</v>
      </c>
      <c r="B161" s="524"/>
      <c r="C161" s="523"/>
      <c r="D161" s="959">
        <v>0.41666666666666669</v>
      </c>
      <c r="E161" s="523"/>
      <c r="F161" s="948"/>
      <c r="G161" s="948"/>
      <c r="H161" s="960"/>
      <c r="I161" s="961">
        <v>1</v>
      </c>
      <c r="J161" s="990">
        <f>IF(F158=0,"0",H158/I158)</f>
        <v>89.142857142857139</v>
      </c>
      <c r="K161" s="948"/>
      <c r="L161" s="963">
        <f t="shared" si="56"/>
        <v>0.375</v>
      </c>
      <c r="M161" s="639">
        <f t="shared" si="54"/>
        <v>89.142857142857139</v>
      </c>
      <c r="N161" s="959">
        <v>0.41666666666666669</v>
      </c>
      <c r="O161" s="964"/>
      <c r="P161" s="640">
        <f t="shared" si="55"/>
        <v>0</v>
      </c>
      <c r="Q161" s="640"/>
      <c r="R161" s="847"/>
      <c r="S161" s="847"/>
      <c r="T161" s="824"/>
      <c r="U161" s="568"/>
      <c r="V161" s="965"/>
      <c r="W161" s="948"/>
      <c r="X161" s="948"/>
      <c r="Y161" s="948"/>
      <c r="Z161" s="948"/>
      <c r="AA161" s="948"/>
      <c r="AB161" s="948"/>
      <c r="AC161" s="966"/>
    </row>
    <row r="162" spans="1:29" hidden="1" outlineLevel="2" x14ac:dyDescent="0.2">
      <c r="A162" s="497">
        <f t="shared" si="50"/>
        <v>8</v>
      </c>
      <c r="B162" s="524"/>
      <c r="C162" s="523"/>
      <c r="D162" s="967">
        <v>0.45833333333333331</v>
      </c>
      <c r="E162" s="523"/>
      <c r="F162" s="948"/>
      <c r="G162" s="948"/>
      <c r="H162" s="960"/>
      <c r="I162" s="961">
        <v>1</v>
      </c>
      <c r="J162" s="990">
        <f>IF(F158=0,"0",H158/I158)</f>
        <v>89.142857142857139</v>
      </c>
      <c r="K162" s="948"/>
      <c r="L162" s="968">
        <f t="shared" si="56"/>
        <v>0.41666666666666669</v>
      </c>
      <c r="M162" s="618">
        <f t="shared" si="54"/>
        <v>89.142857142857139</v>
      </c>
      <c r="N162" s="967">
        <v>0.45833333333333331</v>
      </c>
      <c r="O162" s="969"/>
      <c r="P162" s="617">
        <f t="shared" si="55"/>
        <v>0</v>
      </c>
      <c r="Q162" s="617"/>
      <c r="R162" s="846"/>
      <c r="S162" s="846"/>
      <c r="T162" s="822"/>
      <c r="U162" s="568"/>
      <c r="V162" s="965"/>
      <c r="W162" s="948"/>
      <c r="X162" s="948"/>
      <c r="Y162" s="948"/>
      <c r="Z162" s="948"/>
      <c r="AA162" s="948"/>
      <c r="AB162" s="948"/>
      <c r="AC162" s="966"/>
    </row>
    <row r="163" spans="1:29" hidden="1" outlineLevel="2" x14ac:dyDescent="0.2">
      <c r="A163" s="497">
        <f t="shared" si="50"/>
        <v>8</v>
      </c>
      <c r="B163" s="524"/>
      <c r="C163" s="523"/>
      <c r="D163" s="959">
        <v>0.5</v>
      </c>
      <c r="E163" s="523"/>
      <c r="F163" s="948"/>
      <c r="G163" s="948"/>
      <c r="H163" s="960"/>
      <c r="I163" s="961">
        <v>0.5</v>
      </c>
      <c r="J163" s="990">
        <f>IF(F158=0,"0",H158/I158)</f>
        <v>89.142857142857139</v>
      </c>
      <c r="K163" s="948"/>
      <c r="L163" s="963">
        <f t="shared" si="56"/>
        <v>0.45833333333333331</v>
      </c>
      <c r="M163" s="639">
        <f t="shared" si="54"/>
        <v>44.571428571428569</v>
      </c>
      <c r="N163" s="959">
        <v>0.5</v>
      </c>
      <c r="O163" s="964"/>
      <c r="P163" s="640">
        <f t="shared" si="55"/>
        <v>0</v>
      </c>
      <c r="Q163" s="640"/>
      <c r="R163" s="653"/>
      <c r="S163" s="847"/>
      <c r="T163" s="824"/>
      <c r="U163" s="568"/>
      <c r="V163" s="965"/>
      <c r="W163" s="948"/>
      <c r="X163" s="948"/>
      <c r="Y163" s="948"/>
      <c r="Z163" s="948"/>
      <c r="AA163" s="948"/>
      <c r="AB163" s="948"/>
      <c r="AC163" s="966"/>
    </row>
    <row r="164" spans="1:29" hidden="1" outlineLevel="2" x14ac:dyDescent="0.2">
      <c r="A164" s="497">
        <f t="shared" si="50"/>
        <v>8</v>
      </c>
      <c r="B164" s="524"/>
      <c r="C164" s="523"/>
      <c r="D164" s="967">
        <v>0.54166666666666663</v>
      </c>
      <c r="E164" s="523"/>
      <c r="F164" s="948"/>
      <c r="G164" s="948"/>
      <c r="H164" s="960"/>
      <c r="I164" s="961">
        <v>1</v>
      </c>
      <c r="J164" s="990">
        <f>IF(F158=0,"0",H158/I158)</f>
        <v>89.142857142857139</v>
      </c>
      <c r="K164" s="948"/>
      <c r="L164" s="968">
        <f t="shared" si="56"/>
        <v>0.5</v>
      </c>
      <c r="M164" s="618">
        <f t="shared" si="54"/>
        <v>89.142857142857139</v>
      </c>
      <c r="N164" s="967">
        <v>0.54166666666666663</v>
      </c>
      <c r="O164" s="969"/>
      <c r="P164" s="617">
        <f t="shared" si="55"/>
        <v>0</v>
      </c>
      <c r="Q164" s="617"/>
      <c r="R164" s="848"/>
      <c r="S164" s="846"/>
      <c r="T164" s="822"/>
      <c r="U164" s="568"/>
      <c r="V164" s="965"/>
      <c r="W164" s="948"/>
      <c r="X164" s="948"/>
      <c r="Y164" s="948"/>
      <c r="Z164" s="948"/>
      <c r="AA164" s="948"/>
      <c r="AB164" s="948"/>
      <c r="AC164" s="966"/>
    </row>
    <row r="165" spans="1:29" hidden="1" outlineLevel="2" x14ac:dyDescent="0.2">
      <c r="A165" s="497">
        <f t="shared" si="50"/>
        <v>8</v>
      </c>
      <c r="B165" s="524"/>
      <c r="C165" s="523"/>
      <c r="D165" s="959">
        <v>0.58333333333333337</v>
      </c>
      <c r="E165" s="523"/>
      <c r="F165" s="948"/>
      <c r="G165" s="948"/>
      <c r="H165" s="960"/>
      <c r="I165" s="961">
        <v>1</v>
      </c>
      <c r="J165" s="990">
        <f>IF(F158=0,"0",H158/I158)</f>
        <v>89.142857142857139</v>
      </c>
      <c r="K165" s="948"/>
      <c r="L165" s="963">
        <f t="shared" si="56"/>
        <v>0.54166666666666663</v>
      </c>
      <c r="M165" s="639">
        <f t="shared" si="54"/>
        <v>89.142857142857139</v>
      </c>
      <c r="N165" s="959">
        <v>0.58333333333333337</v>
      </c>
      <c r="O165" s="964"/>
      <c r="P165" s="640">
        <f t="shared" si="55"/>
        <v>0</v>
      </c>
      <c r="Q165" s="640"/>
      <c r="R165" s="847"/>
      <c r="S165" s="847"/>
      <c r="T165" s="824"/>
      <c r="U165" s="568"/>
      <c r="V165" s="965"/>
      <c r="W165" s="948"/>
      <c r="X165" s="948"/>
      <c r="Y165" s="948"/>
      <c r="Z165" s="948"/>
      <c r="AA165" s="948"/>
      <c r="AB165" s="948"/>
      <c r="AC165" s="966"/>
    </row>
    <row r="166" spans="1:29" hidden="1" outlineLevel="2" x14ac:dyDescent="0.2">
      <c r="A166" s="497">
        <f t="shared" si="50"/>
        <v>8</v>
      </c>
      <c r="B166" s="524"/>
      <c r="C166" s="523"/>
      <c r="D166" s="970">
        <v>0.625</v>
      </c>
      <c r="E166" s="523"/>
      <c r="F166" s="948"/>
      <c r="G166" s="948"/>
      <c r="H166" s="960"/>
      <c r="I166" s="961">
        <v>1</v>
      </c>
      <c r="J166" s="990">
        <f>IF(F158=0,"0",H158/I158)</f>
        <v>89.142857142857139</v>
      </c>
      <c r="K166" s="948"/>
      <c r="L166" s="971">
        <f t="shared" si="56"/>
        <v>0.58333333333333337</v>
      </c>
      <c r="M166" s="618">
        <f t="shared" si="54"/>
        <v>89.142857142857139</v>
      </c>
      <c r="N166" s="970">
        <v>0.625</v>
      </c>
      <c r="O166" s="972"/>
      <c r="P166" s="503">
        <f t="shared" si="55"/>
        <v>0</v>
      </c>
      <c r="Q166" s="503"/>
      <c r="R166" s="571"/>
      <c r="S166" s="571"/>
      <c r="T166" s="826"/>
      <c r="U166" s="568"/>
      <c r="V166" s="973"/>
      <c r="W166" s="974"/>
      <c r="X166" s="974"/>
      <c r="Y166" s="948"/>
      <c r="Z166" s="974"/>
      <c r="AA166" s="974"/>
      <c r="AB166" s="974"/>
      <c r="AC166" s="975"/>
    </row>
    <row r="167" spans="1:29" s="622" customFormat="1" hidden="1" outlineLevel="1" collapsed="1" x14ac:dyDescent="0.2">
      <c r="A167" s="497">
        <f t="shared" si="50"/>
        <v>8</v>
      </c>
      <c r="B167" s="551">
        <f>B158</f>
        <v>46074</v>
      </c>
      <c r="C167" s="550" t="s">
        <v>210</v>
      </c>
      <c r="D167" s="563"/>
      <c r="E167" s="550"/>
      <c r="F167" s="549">
        <v>16500</v>
      </c>
      <c r="G167" s="548">
        <v>620</v>
      </c>
      <c r="H167" s="547">
        <f>+F167*12*G167/100000</f>
        <v>1227.5999999999999</v>
      </c>
      <c r="I167" s="546">
        <f>IF(F167="","0",SUM(I168:I175))</f>
        <v>7</v>
      </c>
      <c r="J167" s="990"/>
      <c r="K167" s="545"/>
      <c r="L167" s="827" t="str">
        <f>C167</f>
        <v>T2</v>
      </c>
      <c r="M167" s="566" t="str">
        <f>IF(O167=0,"0",SUM(M168:M175))</f>
        <v>0</v>
      </c>
      <c r="N167" s="563"/>
      <c r="O167" s="565">
        <f>SUM(O168:O175)</f>
        <v>0</v>
      </c>
      <c r="P167" s="564" t="e">
        <f>+O167/M167</f>
        <v>#DIV/0!</v>
      </c>
      <c r="Q167" s="563"/>
      <c r="R167" s="828"/>
      <c r="S167" s="828"/>
      <c r="T167" s="829"/>
      <c r="U167" s="536"/>
      <c r="V167" s="948"/>
      <c r="W167" s="948"/>
      <c r="X167" s="948"/>
      <c r="Y167" s="948"/>
      <c r="Z167" s="948"/>
      <c r="AA167" s="948"/>
      <c r="AB167" s="948"/>
      <c r="AC167" s="976"/>
    </row>
    <row r="168" spans="1:29" s="623" customFormat="1" hidden="1" outlineLevel="2" x14ac:dyDescent="0.2">
      <c r="A168" s="497">
        <f t="shared" si="50"/>
        <v>8</v>
      </c>
      <c r="B168" s="524"/>
      <c r="C168" s="523"/>
      <c r="D168" s="967">
        <v>0.66666666666666663</v>
      </c>
      <c r="E168" s="523"/>
      <c r="F168" s="948"/>
      <c r="G168" s="948"/>
      <c r="H168" s="960"/>
      <c r="I168" s="961">
        <v>1</v>
      </c>
      <c r="J168" s="990">
        <f>IF(F167=0,"0",H167/I167)</f>
        <v>175.37142857142857</v>
      </c>
      <c r="K168" s="948"/>
      <c r="L168" s="968">
        <v>0.625</v>
      </c>
      <c r="M168" s="618">
        <f t="shared" ref="M168:M175" si="57">IF(N168="","",J168*I168)</f>
        <v>175.37142857142857</v>
      </c>
      <c r="N168" s="967">
        <v>0.66666666666666663</v>
      </c>
      <c r="O168" s="969"/>
      <c r="P168" s="617">
        <f t="shared" ref="P168:P175" si="58">IF(N168="","",O168/M168)</f>
        <v>0</v>
      </c>
      <c r="Q168" s="948"/>
      <c r="R168" s="629"/>
      <c r="S168" s="532"/>
      <c r="T168" s="830"/>
      <c r="U168" s="950"/>
      <c r="V168" s="956"/>
      <c r="W168" s="957"/>
      <c r="X168" s="957"/>
      <c r="Y168" s="948"/>
      <c r="Z168" s="957"/>
      <c r="AA168" s="957"/>
      <c r="AB168" s="957"/>
      <c r="AC168" s="958"/>
    </row>
    <row r="169" spans="1:29" s="623" customFormat="1" hidden="1" outlineLevel="2" x14ac:dyDescent="0.2">
      <c r="A169" s="497">
        <f t="shared" si="50"/>
        <v>8</v>
      </c>
      <c r="B169" s="524"/>
      <c r="C169" s="523"/>
      <c r="D169" s="959">
        <v>0.70833333333333337</v>
      </c>
      <c r="E169" s="523"/>
      <c r="F169" s="948"/>
      <c r="G169" s="948"/>
      <c r="H169" s="960"/>
      <c r="I169" s="961">
        <v>0.5</v>
      </c>
      <c r="J169" s="990">
        <f>IF(F167=0,"0",H167/I167)</f>
        <v>175.37142857142857</v>
      </c>
      <c r="K169" s="948"/>
      <c r="L169" s="963">
        <f t="shared" ref="L169:L175" si="59">N168</f>
        <v>0.66666666666666663</v>
      </c>
      <c r="M169" s="639">
        <f t="shared" si="57"/>
        <v>87.685714285714283</v>
      </c>
      <c r="N169" s="959">
        <v>0.70833333333333337</v>
      </c>
      <c r="O169" s="964"/>
      <c r="P169" s="640">
        <f t="shared" si="58"/>
        <v>0</v>
      </c>
      <c r="Q169" s="964"/>
      <c r="R169" s="831"/>
      <c r="S169" s="832"/>
      <c r="T169" s="833"/>
      <c r="U169" s="950"/>
      <c r="V169" s="965"/>
      <c r="W169" s="948"/>
      <c r="X169" s="948"/>
      <c r="Y169" s="948"/>
      <c r="Z169" s="948"/>
      <c r="AA169" s="948"/>
      <c r="AB169" s="948"/>
      <c r="AC169" s="966"/>
    </row>
    <row r="170" spans="1:29" s="623" customFormat="1" hidden="1" outlineLevel="2" x14ac:dyDescent="0.2">
      <c r="A170" s="497">
        <f t="shared" si="50"/>
        <v>8</v>
      </c>
      <c r="B170" s="524"/>
      <c r="C170" s="523"/>
      <c r="D170" s="967">
        <v>0.75</v>
      </c>
      <c r="E170" s="523"/>
      <c r="F170" s="948"/>
      <c r="G170" s="948"/>
      <c r="H170" s="960"/>
      <c r="I170" s="961">
        <v>1</v>
      </c>
      <c r="J170" s="990">
        <f>IF(F167=0,"0",H167/I167)</f>
        <v>175.37142857142857</v>
      </c>
      <c r="K170" s="948"/>
      <c r="L170" s="968">
        <f t="shared" si="59"/>
        <v>0.70833333333333337</v>
      </c>
      <c r="M170" s="618">
        <f t="shared" si="57"/>
        <v>175.37142857142857</v>
      </c>
      <c r="N170" s="967">
        <v>0.75</v>
      </c>
      <c r="O170" s="969"/>
      <c r="P170" s="617">
        <f t="shared" si="58"/>
        <v>0</v>
      </c>
      <c r="Q170" s="948"/>
      <c r="R170" s="532"/>
      <c r="S170" s="532"/>
      <c r="T170" s="830"/>
      <c r="U170" s="950"/>
      <c r="V170" s="965"/>
      <c r="W170" s="948"/>
      <c r="X170" s="948"/>
      <c r="Y170" s="948"/>
      <c r="Z170" s="948"/>
      <c r="AA170" s="948"/>
      <c r="AB170" s="948"/>
      <c r="AC170" s="966"/>
    </row>
    <row r="171" spans="1:29" s="623" customFormat="1" hidden="1" outlineLevel="2" x14ac:dyDescent="0.2">
      <c r="A171" s="497">
        <f t="shared" si="50"/>
        <v>8</v>
      </c>
      <c r="B171" s="524"/>
      <c r="C171" s="523"/>
      <c r="D171" s="959">
        <v>0.79166666666666663</v>
      </c>
      <c r="E171" s="523"/>
      <c r="F171" s="948"/>
      <c r="G171" s="948"/>
      <c r="H171" s="960"/>
      <c r="I171" s="961">
        <v>1</v>
      </c>
      <c r="J171" s="990">
        <f>IF(F167=0,"0",H167/I167)</f>
        <v>175.37142857142857</v>
      </c>
      <c r="K171" s="948"/>
      <c r="L171" s="963">
        <f t="shared" si="59"/>
        <v>0.75</v>
      </c>
      <c r="M171" s="639">
        <f t="shared" si="57"/>
        <v>175.37142857142857</v>
      </c>
      <c r="N171" s="959">
        <v>0.79166666666666663</v>
      </c>
      <c r="O171" s="964"/>
      <c r="P171" s="640">
        <f t="shared" si="58"/>
        <v>0</v>
      </c>
      <c r="Q171" s="964"/>
      <c r="R171" s="653"/>
      <c r="S171" s="832"/>
      <c r="T171" s="833"/>
      <c r="U171" s="950"/>
      <c r="V171" s="965"/>
      <c r="W171" s="948"/>
      <c r="X171" s="948"/>
      <c r="Y171" s="948"/>
      <c r="Z171" s="948"/>
      <c r="AA171" s="948"/>
      <c r="AB171" s="948"/>
      <c r="AC171" s="966"/>
    </row>
    <row r="172" spans="1:29" s="623" customFormat="1" hidden="1" outlineLevel="2" x14ac:dyDescent="0.2">
      <c r="A172" s="497">
        <f t="shared" si="50"/>
        <v>8</v>
      </c>
      <c r="B172" s="524"/>
      <c r="C172" s="523"/>
      <c r="D172" s="967">
        <v>0.83333333333333337</v>
      </c>
      <c r="E172" s="523"/>
      <c r="F172" s="948"/>
      <c r="G172" s="948"/>
      <c r="H172" s="960"/>
      <c r="I172" s="961">
        <v>0.5</v>
      </c>
      <c r="J172" s="990">
        <f>IF(F167=0,"0",H167/I167)</f>
        <v>175.37142857142857</v>
      </c>
      <c r="K172" s="948"/>
      <c r="L172" s="968">
        <f t="shared" si="59"/>
        <v>0.79166666666666663</v>
      </c>
      <c r="M172" s="618">
        <f t="shared" si="57"/>
        <v>87.685714285714283</v>
      </c>
      <c r="N172" s="967">
        <v>0.83333333333333337</v>
      </c>
      <c r="O172" s="969"/>
      <c r="P172" s="617">
        <f t="shared" si="58"/>
        <v>0</v>
      </c>
      <c r="Q172" s="948"/>
      <c r="R172" s="532"/>
      <c r="S172" s="532"/>
      <c r="T172" s="830"/>
      <c r="U172" s="950"/>
      <c r="V172" s="965"/>
      <c r="W172" s="948"/>
      <c r="X172" s="948"/>
      <c r="Y172" s="948"/>
      <c r="Z172" s="948"/>
      <c r="AA172" s="948"/>
      <c r="AB172" s="948"/>
      <c r="AC172" s="966"/>
    </row>
    <row r="173" spans="1:29" s="623" customFormat="1" hidden="1" outlineLevel="2" x14ac:dyDescent="0.2">
      <c r="A173" s="497">
        <f t="shared" si="50"/>
        <v>8</v>
      </c>
      <c r="B173" s="524"/>
      <c r="C173" s="523"/>
      <c r="D173" s="959">
        <v>0.875</v>
      </c>
      <c r="E173" s="523"/>
      <c r="F173" s="948"/>
      <c r="G173" s="948"/>
      <c r="H173" s="960"/>
      <c r="I173" s="961">
        <v>1</v>
      </c>
      <c r="J173" s="990">
        <f>IF(F167=0,"0",H167/I167)</f>
        <v>175.37142857142857</v>
      </c>
      <c r="K173" s="948"/>
      <c r="L173" s="963">
        <f t="shared" si="59"/>
        <v>0.83333333333333337</v>
      </c>
      <c r="M173" s="639">
        <f t="shared" si="57"/>
        <v>175.37142857142857</v>
      </c>
      <c r="N173" s="959">
        <v>0.875</v>
      </c>
      <c r="O173" s="964"/>
      <c r="P173" s="640">
        <f t="shared" si="58"/>
        <v>0</v>
      </c>
      <c r="Q173" s="964"/>
      <c r="R173" s="832"/>
      <c r="S173" s="832"/>
      <c r="T173" s="833"/>
      <c r="U173" s="950"/>
      <c r="V173" s="965"/>
      <c r="W173" s="948"/>
      <c r="X173" s="948"/>
      <c r="Y173" s="948"/>
      <c r="Z173" s="948"/>
      <c r="AA173" s="948"/>
      <c r="AB173" s="948"/>
      <c r="AC173" s="966"/>
    </row>
    <row r="174" spans="1:29" s="623" customFormat="1" hidden="1" outlineLevel="2" x14ac:dyDescent="0.2">
      <c r="A174" s="497">
        <f t="shared" ref="A174:A205" si="60">$A$11</f>
        <v>8</v>
      </c>
      <c r="B174" s="524"/>
      <c r="C174" s="523"/>
      <c r="D174" s="967">
        <v>0.91666666666666663</v>
      </c>
      <c r="E174" s="523"/>
      <c r="F174" s="948"/>
      <c r="G174" s="948"/>
      <c r="H174" s="960"/>
      <c r="I174" s="961">
        <v>1</v>
      </c>
      <c r="J174" s="990">
        <f>IF(F167=0,"0",H167/I167)</f>
        <v>175.37142857142857</v>
      </c>
      <c r="K174" s="948"/>
      <c r="L174" s="968">
        <f t="shared" si="59"/>
        <v>0.875</v>
      </c>
      <c r="M174" s="618">
        <f t="shared" si="57"/>
        <v>175.37142857142857</v>
      </c>
      <c r="N174" s="967">
        <v>0.91666666666666663</v>
      </c>
      <c r="O174" s="969"/>
      <c r="P174" s="617">
        <f t="shared" si="58"/>
        <v>0</v>
      </c>
      <c r="Q174" s="948"/>
      <c r="R174" s="532"/>
      <c r="S174" s="532"/>
      <c r="T174" s="830"/>
      <c r="U174" s="950"/>
      <c r="V174" s="965"/>
      <c r="W174" s="948"/>
      <c r="X174" s="948"/>
      <c r="Y174" s="948"/>
      <c r="Z174" s="948"/>
      <c r="AA174" s="948"/>
      <c r="AB174" s="948"/>
      <c r="AC174" s="966"/>
    </row>
    <row r="175" spans="1:29" s="623" customFormat="1" hidden="1" outlineLevel="2" x14ac:dyDescent="0.2">
      <c r="A175" s="497">
        <f t="shared" si="60"/>
        <v>8</v>
      </c>
      <c r="B175" s="524"/>
      <c r="C175" s="523"/>
      <c r="D175" s="977">
        <v>0.95833333333333337</v>
      </c>
      <c r="E175" s="523"/>
      <c r="F175" s="948"/>
      <c r="G175" s="948"/>
      <c r="H175" s="960"/>
      <c r="I175" s="961">
        <v>1</v>
      </c>
      <c r="J175" s="990">
        <f>IF(F167=0,"0",H167/I167)</f>
        <v>175.37142857142857</v>
      </c>
      <c r="K175" s="948"/>
      <c r="L175" s="978">
        <f t="shared" si="59"/>
        <v>0.91666666666666663</v>
      </c>
      <c r="M175" s="639">
        <f t="shared" si="57"/>
        <v>175.37142857142857</v>
      </c>
      <c r="N175" s="977">
        <v>0.95833333333333337</v>
      </c>
      <c r="O175" s="979"/>
      <c r="P175" s="641">
        <f t="shared" si="58"/>
        <v>0</v>
      </c>
      <c r="Q175" s="979"/>
      <c r="R175" s="835"/>
      <c r="S175" s="835"/>
      <c r="T175" s="836"/>
      <c r="U175" s="950"/>
      <c r="V175" s="973"/>
      <c r="W175" s="974"/>
      <c r="X175" s="974"/>
      <c r="Y175" s="948"/>
      <c r="Z175" s="974"/>
      <c r="AA175" s="974"/>
      <c r="AB175" s="974"/>
      <c r="AC175" s="975"/>
    </row>
    <row r="176" spans="1:29" s="624" customFormat="1" hidden="1" outlineLevel="1" collapsed="1" x14ac:dyDescent="0.2">
      <c r="A176" s="497">
        <f t="shared" si="60"/>
        <v>8</v>
      </c>
      <c r="B176" s="551">
        <f>B158</f>
        <v>46074</v>
      </c>
      <c r="C176" s="550" t="s">
        <v>211</v>
      </c>
      <c r="D176" s="540"/>
      <c r="E176" s="550"/>
      <c r="F176" s="549">
        <v>8000</v>
      </c>
      <c r="G176" s="548">
        <v>620</v>
      </c>
      <c r="H176" s="547">
        <f>+F176*12*G176/100000</f>
        <v>595.20000000000005</v>
      </c>
      <c r="I176" s="546">
        <f>IF(F176="","0",SUM(I177:I184))</f>
        <v>7</v>
      </c>
      <c r="J176" s="990"/>
      <c r="K176" s="545"/>
      <c r="L176" s="837" t="str">
        <f>C176</f>
        <v>T3</v>
      </c>
      <c r="M176" s="543" t="str">
        <f>IF(O176=0,"0",SUM(M177:M184))</f>
        <v>0</v>
      </c>
      <c r="N176" s="540"/>
      <c r="O176" s="542">
        <f>SUM(O177:O184)</f>
        <v>0</v>
      </c>
      <c r="P176" s="541" t="e">
        <f>+O176/M176</f>
        <v>#DIV/0!</v>
      </c>
      <c r="Q176" s="540"/>
      <c r="R176" s="838"/>
      <c r="S176" s="838"/>
      <c r="T176" s="839"/>
      <c r="U176" s="536"/>
      <c r="V176" s="948"/>
      <c r="W176" s="948"/>
      <c r="X176" s="948"/>
      <c r="Y176" s="948"/>
      <c r="Z176" s="948"/>
      <c r="AA176" s="948"/>
      <c r="AB176" s="948"/>
      <c r="AC176" s="976"/>
    </row>
    <row r="177" spans="1:29" s="623" customFormat="1" hidden="1" outlineLevel="2" x14ac:dyDescent="0.2">
      <c r="A177" s="497">
        <f t="shared" si="60"/>
        <v>8</v>
      </c>
      <c r="B177" s="524"/>
      <c r="C177" s="523"/>
      <c r="D177" s="959">
        <v>0</v>
      </c>
      <c r="E177" s="523"/>
      <c r="F177" s="948"/>
      <c r="G177" s="948"/>
      <c r="H177" s="960"/>
      <c r="I177" s="961">
        <v>1</v>
      </c>
      <c r="J177" s="990">
        <f>IF(F176=0,"0",H176/I176)</f>
        <v>85.028571428571439</v>
      </c>
      <c r="K177" s="948"/>
      <c r="L177" s="963">
        <v>0.95833333333333337</v>
      </c>
      <c r="M177" s="639">
        <f t="shared" ref="M177:M184" si="61">IF(N177="","",J177*I177)</f>
        <v>85.028571428571439</v>
      </c>
      <c r="N177" s="959">
        <v>0</v>
      </c>
      <c r="O177" s="964"/>
      <c r="P177" s="640">
        <f t="shared" ref="P177:P184" si="62">IF(N177="","",O177/M177)</f>
        <v>0</v>
      </c>
      <c r="Q177" s="964"/>
      <c r="R177" s="832"/>
      <c r="S177" s="832"/>
      <c r="T177" s="833"/>
      <c r="U177" s="950"/>
      <c r="V177" s="956"/>
      <c r="W177" s="957"/>
      <c r="X177" s="957"/>
      <c r="Y177" s="948"/>
      <c r="Z177" s="957"/>
      <c r="AA177" s="957"/>
      <c r="AB177" s="957"/>
      <c r="AC177" s="958"/>
    </row>
    <row r="178" spans="1:29" s="623" customFormat="1" hidden="1" outlineLevel="2" x14ac:dyDescent="0.2">
      <c r="A178" s="497">
        <f t="shared" si="60"/>
        <v>8</v>
      </c>
      <c r="B178" s="524"/>
      <c r="C178" s="523"/>
      <c r="D178" s="967">
        <v>4.1666666666666664E-2</v>
      </c>
      <c r="E178" s="523"/>
      <c r="F178" s="948"/>
      <c r="G178" s="948"/>
      <c r="H178" s="960"/>
      <c r="I178" s="961">
        <v>0.5</v>
      </c>
      <c r="J178" s="990">
        <f>IF(F176=0,"0",H176/I176)</f>
        <v>85.028571428571439</v>
      </c>
      <c r="K178" s="948"/>
      <c r="L178" s="968">
        <f t="shared" ref="L178:L184" si="63">N177</f>
        <v>0</v>
      </c>
      <c r="M178" s="618">
        <f t="shared" si="61"/>
        <v>42.51428571428572</v>
      </c>
      <c r="N178" s="967">
        <v>4.1666666666666664E-2</v>
      </c>
      <c r="O178" s="969"/>
      <c r="P178" s="617">
        <f t="shared" si="62"/>
        <v>0</v>
      </c>
      <c r="Q178" s="948"/>
      <c r="R178" s="532"/>
      <c r="S178" s="532"/>
      <c r="T178" s="830"/>
      <c r="U178" s="950"/>
      <c r="V178" s="965"/>
      <c r="W178" s="948"/>
      <c r="X178" s="948"/>
      <c r="Y178" s="948"/>
      <c r="Z178" s="948"/>
      <c r="AA178" s="948"/>
      <c r="AB178" s="948"/>
      <c r="AC178" s="966"/>
    </row>
    <row r="179" spans="1:29" s="623" customFormat="1" hidden="1" outlineLevel="2" x14ac:dyDescent="0.2">
      <c r="A179" s="497">
        <f t="shared" si="60"/>
        <v>8</v>
      </c>
      <c r="B179" s="524"/>
      <c r="C179" s="523"/>
      <c r="D179" s="959">
        <v>8.3333333333333329E-2</v>
      </c>
      <c r="E179" s="523"/>
      <c r="F179" s="948"/>
      <c r="G179" s="948"/>
      <c r="H179" s="960"/>
      <c r="I179" s="961">
        <v>1</v>
      </c>
      <c r="J179" s="990">
        <f>IF(F176=0,"0",H176/I176)</f>
        <v>85.028571428571439</v>
      </c>
      <c r="K179" s="948"/>
      <c r="L179" s="963">
        <f t="shared" si="63"/>
        <v>4.1666666666666664E-2</v>
      </c>
      <c r="M179" s="639">
        <f t="shared" si="61"/>
        <v>85.028571428571439</v>
      </c>
      <c r="N179" s="959">
        <v>8.3333333333333329E-2</v>
      </c>
      <c r="O179" s="964"/>
      <c r="P179" s="640">
        <f t="shared" si="62"/>
        <v>0</v>
      </c>
      <c r="Q179" s="964"/>
      <c r="R179" s="832"/>
      <c r="S179" s="832"/>
      <c r="T179" s="833"/>
      <c r="U179" s="950"/>
      <c r="V179" s="965"/>
      <c r="W179" s="948"/>
      <c r="X179" s="948"/>
      <c r="Y179" s="948"/>
      <c r="Z179" s="948"/>
      <c r="AA179" s="948"/>
      <c r="AB179" s="948"/>
      <c r="AC179" s="966"/>
    </row>
    <row r="180" spans="1:29" s="623" customFormat="1" hidden="1" outlineLevel="2" x14ac:dyDescent="0.2">
      <c r="A180" s="497">
        <f t="shared" si="60"/>
        <v>8</v>
      </c>
      <c r="B180" s="524"/>
      <c r="C180" s="523"/>
      <c r="D180" s="967">
        <v>0.125</v>
      </c>
      <c r="E180" s="523"/>
      <c r="F180" s="948"/>
      <c r="G180" s="948"/>
      <c r="H180" s="960"/>
      <c r="I180" s="961">
        <v>1</v>
      </c>
      <c r="J180" s="990">
        <f>IF(F176=0,"0",H176/I176)</f>
        <v>85.028571428571439</v>
      </c>
      <c r="K180" s="948"/>
      <c r="L180" s="968">
        <f t="shared" si="63"/>
        <v>8.3333333333333329E-2</v>
      </c>
      <c r="M180" s="618">
        <f t="shared" si="61"/>
        <v>85.028571428571439</v>
      </c>
      <c r="N180" s="967">
        <v>0.125</v>
      </c>
      <c r="O180" s="969"/>
      <c r="P180" s="617">
        <f t="shared" si="62"/>
        <v>0</v>
      </c>
      <c r="Q180" s="948"/>
      <c r="R180" s="532"/>
      <c r="S180" s="532"/>
      <c r="T180" s="830"/>
      <c r="U180" s="950"/>
      <c r="V180" s="965"/>
      <c r="W180" s="948"/>
      <c r="X180" s="948"/>
      <c r="Y180" s="948"/>
      <c r="Z180" s="948"/>
      <c r="AA180" s="948"/>
      <c r="AB180" s="948"/>
      <c r="AC180" s="966"/>
    </row>
    <row r="181" spans="1:29" s="623" customFormat="1" hidden="1" outlineLevel="2" x14ac:dyDescent="0.2">
      <c r="A181" s="497">
        <f t="shared" si="60"/>
        <v>8</v>
      </c>
      <c r="B181" s="524"/>
      <c r="C181" s="523"/>
      <c r="D181" s="959">
        <v>0.16666666666666666</v>
      </c>
      <c r="E181" s="523"/>
      <c r="F181" s="948"/>
      <c r="G181" s="948"/>
      <c r="H181" s="960"/>
      <c r="I181" s="961">
        <v>0.5</v>
      </c>
      <c r="J181" s="990">
        <f>IF(F176=0,"0",H176/I176)</f>
        <v>85.028571428571439</v>
      </c>
      <c r="K181" s="948"/>
      <c r="L181" s="963">
        <f t="shared" si="63"/>
        <v>0.125</v>
      </c>
      <c r="M181" s="639">
        <f t="shared" si="61"/>
        <v>42.51428571428572</v>
      </c>
      <c r="N181" s="959">
        <v>0.16666666666666666</v>
      </c>
      <c r="O181" s="964"/>
      <c r="P181" s="640">
        <f t="shared" si="62"/>
        <v>0</v>
      </c>
      <c r="Q181" s="964"/>
      <c r="R181" s="840"/>
      <c r="S181" s="832"/>
      <c r="T181" s="833"/>
      <c r="U181" s="950"/>
      <c r="V181" s="965"/>
      <c r="W181" s="948"/>
      <c r="X181" s="948"/>
      <c r="Y181" s="948"/>
      <c r="Z181" s="948"/>
      <c r="AA181" s="948"/>
      <c r="AB181" s="948"/>
      <c r="AC181" s="966"/>
    </row>
    <row r="182" spans="1:29" s="623" customFormat="1" hidden="1" outlineLevel="2" x14ac:dyDescent="0.2">
      <c r="A182" s="497">
        <f t="shared" si="60"/>
        <v>8</v>
      </c>
      <c r="B182" s="524"/>
      <c r="C182" s="523"/>
      <c r="D182" s="967">
        <v>0.20833333333333334</v>
      </c>
      <c r="E182" s="523"/>
      <c r="F182" s="948"/>
      <c r="G182" s="948"/>
      <c r="H182" s="960"/>
      <c r="I182" s="961">
        <v>1</v>
      </c>
      <c r="J182" s="990">
        <f>IF(F176=0,"0",H176/I176)</f>
        <v>85.028571428571439</v>
      </c>
      <c r="K182" s="948"/>
      <c r="L182" s="968">
        <f t="shared" si="63"/>
        <v>0.16666666666666666</v>
      </c>
      <c r="M182" s="618">
        <f t="shared" si="61"/>
        <v>85.028571428571439</v>
      </c>
      <c r="N182" s="967">
        <v>0.20833333333333334</v>
      </c>
      <c r="O182" s="969"/>
      <c r="P182" s="617">
        <f t="shared" si="62"/>
        <v>0</v>
      </c>
      <c r="Q182" s="948"/>
      <c r="R182" s="629"/>
      <c r="S182" s="532"/>
      <c r="T182" s="830"/>
      <c r="U182" s="950"/>
      <c r="V182" s="965"/>
      <c r="W182" s="948"/>
      <c r="X182" s="948"/>
      <c r="Y182" s="948"/>
      <c r="Z182" s="948"/>
      <c r="AA182" s="948"/>
      <c r="AB182" s="948"/>
      <c r="AC182" s="966"/>
    </row>
    <row r="183" spans="1:29" s="623" customFormat="1" hidden="1" outlineLevel="2" x14ac:dyDescent="0.2">
      <c r="A183" s="497">
        <f t="shared" si="60"/>
        <v>8</v>
      </c>
      <c r="B183" s="524"/>
      <c r="C183" s="523"/>
      <c r="D183" s="959">
        <v>0.25</v>
      </c>
      <c r="E183" s="523"/>
      <c r="F183" s="948"/>
      <c r="G183" s="948"/>
      <c r="H183" s="960"/>
      <c r="I183" s="961">
        <v>1</v>
      </c>
      <c r="J183" s="990">
        <f>IF(F176=0,"0",H176/I176)</f>
        <v>85.028571428571439</v>
      </c>
      <c r="K183" s="948"/>
      <c r="L183" s="963">
        <f t="shared" si="63"/>
        <v>0.20833333333333334</v>
      </c>
      <c r="M183" s="639">
        <f t="shared" si="61"/>
        <v>85.028571428571439</v>
      </c>
      <c r="N183" s="959">
        <v>0.25</v>
      </c>
      <c r="O183" s="964"/>
      <c r="P183" s="640">
        <f t="shared" si="62"/>
        <v>0</v>
      </c>
      <c r="Q183" s="964"/>
      <c r="R183" s="832"/>
      <c r="S183" s="832"/>
      <c r="T183" s="833"/>
      <c r="U183" s="950"/>
      <c r="V183" s="965"/>
      <c r="W183" s="948"/>
      <c r="X183" s="948"/>
      <c r="Y183" s="948"/>
      <c r="Z183" s="948"/>
      <c r="AA183" s="948"/>
      <c r="AB183" s="948"/>
      <c r="AC183" s="966"/>
    </row>
    <row r="184" spans="1:29" s="623" customFormat="1" ht="15.75" hidden="1" outlineLevel="2" thickBot="1" x14ac:dyDescent="0.25">
      <c r="A184" s="497">
        <f t="shared" si="60"/>
        <v>8</v>
      </c>
      <c r="B184" s="511"/>
      <c r="C184" s="510"/>
      <c r="D184" s="980">
        <v>0.33333333333333331</v>
      </c>
      <c r="E184" s="510"/>
      <c r="F184" s="974"/>
      <c r="G184" s="974"/>
      <c r="H184" s="981"/>
      <c r="I184" s="982">
        <v>1</v>
      </c>
      <c r="J184" s="990">
        <f>IF(F176=0,"0",H176/I176)</f>
        <v>85.028571428571439</v>
      </c>
      <c r="K184" s="948"/>
      <c r="L184" s="983">
        <f t="shared" si="63"/>
        <v>0.25</v>
      </c>
      <c r="M184" s="644">
        <f t="shared" si="61"/>
        <v>85.028571428571439</v>
      </c>
      <c r="N184" s="980">
        <v>0.33333333333333331</v>
      </c>
      <c r="O184" s="984"/>
      <c r="P184" s="645">
        <f t="shared" si="62"/>
        <v>0</v>
      </c>
      <c r="Q184" s="985"/>
      <c r="R184" s="841"/>
      <c r="S184" s="841"/>
      <c r="T184" s="842"/>
      <c r="U184" s="950"/>
      <c r="V184" s="973"/>
      <c r="W184" s="974"/>
      <c r="X184" s="974"/>
      <c r="Y184" s="948"/>
      <c r="Z184" s="974"/>
      <c r="AA184" s="974"/>
      <c r="AB184" s="974"/>
      <c r="AC184" s="975"/>
    </row>
    <row r="185" spans="1:29" s="625" customFormat="1" ht="14.45" hidden="1" customHeight="1" outlineLevel="1" collapsed="1" thickBot="1" x14ac:dyDescent="0.25">
      <c r="A185" s="497">
        <f t="shared" si="60"/>
        <v>8</v>
      </c>
      <c r="B185" s="496"/>
      <c r="C185" s="986"/>
      <c r="D185" s="987"/>
      <c r="E185" s="986"/>
      <c r="F185" s="988"/>
      <c r="G185" s="988"/>
      <c r="H185" s="962"/>
      <c r="I185" s="986"/>
      <c r="J185" s="952"/>
      <c r="K185" s="988"/>
      <c r="L185" s="987"/>
      <c r="M185" s="627"/>
      <c r="N185" s="987"/>
      <c r="O185" s="988"/>
      <c r="P185" s="628"/>
      <c r="Q185" s="988"/>
      <c r="R185" s="843"/>
      <c r="S185" s="843"/>
      <c r="T185" s="843"/>
      <c r="U185" s="950"/>
      <c r="V185" s="988"/>
      <c r="W185" s="988"/>
      <c r="X185" s="988"/>
      <c r="Y185" s="988"/>
      <c r="Z185" s="988"/>
      <c r="AA185" s="988"/>
      <c r="AB185" s="988"/>
      <c r="AC185" s="988"/>
    </row>
    <row r="186" spans="1:29" s="621" customFormat="1" ht="15.75" collapsed="1" x14ac:dyDescent="0.2">
      <c r="A186" s="497">
        <f t="shared" si="60"/>
        <v>8</v>
      </c>
      <c r="B186" s="595">
        <f>B187</f>
        <v>46075</v>
      </c>
      <c r="C186" s="593"/>
      <c r="D186" s="814"/>
      <c r="E186" s="593"/>
      <c r="F186" s="587">
        <f>+F187+F196+F205</f>
        <v>49500</v>
      </c>
      <c r="G186" s="587"/>
      <c r="H186" s="594">
        <f>+H187+H196+H205</f>
        <v>3682.7999999999997</v>
      </c>
      <c r="I186" s="593">
        <f>+I187+I196+I205</f>
        <v>21</v>
      </c>
      <c r="J186" s="592">
        <f>+J187+J196+J205</f>
        <v>0</v>
      </c>
      <c r="K186" s="587"/>
      <c r="L186" s="815"/>
      <c r="M186" s="816">
        <f>SUM(M188:M195,M197:M204,M206:M213)</f>
        <v>3682.8000000000006</v>
      </c>
      <c r="N186" s="814"/>
      <c r="O186" s="817">
        <f>SUM(O188:O195,O197:O204,O206:O213)</f>
        <v>0</v>
      </c>
      <c r="P186" s="818">
        <f>+O186/M186</f>
        <v>0</v>
      </c>
      <c r="Q186" s="819"/>
      <c r="R186" s="820"/>
      <c r="S186" s="820"/>
      <c r="T186" s="821"/>
      <c r="U186" s="585"/>
      <c r="V186" s="585"/>
      <c r="W186" s="585"/>
      <c r="X186" s="585"/>
      <c r="Y186" s="585"/>
      <c r="Z186" s="585"/>
      <c r="AA186" s="585"/>
      <c r="AB186" s="585"/>
      <c r="AC186" s="585"/>
    </row>
    <row r="187" spans="1:29" hidden="1" outlineLevel="1" x14ac:dyDescent="0.2">
      <c r="A187" s="497">
        <f t="shared" si="60"/>
        <v>8</v>
      </c>
      <c r="B187" s="844">
        <f>+B158+1</f>
        <v>46075</v>
      </c>
      <c r="C187" s="583" t="s">
        <v>208</v>
      </c>
      <c r="D187" s="545"/>
      <c r="E187" s="583"/>
      <c r="F187" s="548">
        <v>16500</v>
      </c>
      <c r="G187" s="548">
        <v>620</v>
      </c>
      <c r="H187" s="547">
        <f>+F187*12*G187/100000</f>
        <v>1227.5999999999999</v>
      </c>
      <c r="I187" s="546">
        <f>IF(F187="","0",SUM(I188:I195))</f>
        <v>7</v>
      </c>
      <c r="J187" s="951"/>
      <c r="K187" s="545"/>
      <c r="L187" s="989" t="str">
        <f>C187</f>
        <v>T1</v>
      </c>
      <c r="M187" s="845">
        <f>SUM(M188:M195)</f>
        <v>1227.6000000000001</v>
      </c>
      <c r="N187" s="545"/>
      <c r="O187" s="565">
        <f>SUM(O188:O195)</f>
        <v>0</v>
      </c>
      <c r="P187" s="588">
        <f>+O187/M187</f>
        <v>0</v>
      </c>
      <c r="Q187" s="617"/>
      <c r="R187" s="846"/>
      <c r="S187" s="846"/>
      <c r="T187" s="822"/>
      <c r="U187" s="568"/>
      <c r="V187" s="956"/>
      <c r="W187" s="957"/>
      <c r="X187" s="957"/>
      <c r="Y187" s="948"/>
      <c r="Z187" s="957"/>
      <c r="AA187" s="957"/>
      <c r="AB187" s="957"/>
      <c r="AC187" s="958"/>
    </row>
    <row r="188" spans="1:29" hidden="1" outlineLevel="2" x14ac:dyDescent="0.2">
      <c r="A188" s="497">
        <f t="shared" si="60"/>
        <v>8</v>
      </c>
      <c r="B188" s="524"/>
      <c r="C188" s="523"/>
      <c r="D188" s="959">
        <v>0.33333333333333331</v>
      </c>
      <c r="E188" s="523"/>
      <c r="F188" s="948"/>
      <c r="G188" s="948"/>
      <c r="H188" s="960"/>
      <c r="I188" s="961">
        <v>1</v>
      </c>
      <c r="J188" s="990">
        <f>IF(F187=0,"0",H187/I187)</f>
        <v>175.37142857142857</v>
      </c>
      <c r="K188" s="948"/>
      <c r="L188" s="963">
        <v>0.29166666666666669</v>
      </c>
      <c r="M188" s="639">
        <f t="shared" ref="M188:M195" si="64">IF(N188="","",J188*I188)</f>
        <v>175.37142857142857</v>
      </c>
      <c r="N188" s="959">
        <v>0.33333333333333331</v>
      </c>
      <c r="O188" s="964"/>
      <c r="P188" s="640">
        <f t="shared" ref="P188:P195" si="65">IF(N188="","",O188/M188)</f>
        <v>0</v>
      </c>
      <c r="Q188" s="640"/>
      <c r="R188" s="653"/>
      <c r="S188" s="847"/>
      <c r="T188" s="824"/>
      <c r="U188" s="568"/>
      <c r="V188" s="965"/>
      <c r="W188" s="948"/>
      <c r="X188" s="948"/>
      <c r="Y188" s="948"/>
      <c r="Z188" s="948"/>
      <c r="AA188" s="948"/>
      <c r="AB188" s="948"/>
      <c r="AC188" s="966"/>
    </row>
    <row r="189" spans="1:29" hidden="1" outlineLevel="2" x14ac:dyDescent="0.2">
      <c r="A189" s="497">
        <f t="shared" si="60"/>
        <v>8</v>
      </c>
      <c r="B189" s="524"/>
      <c r="C189" s="523"/>
      <c r="D189" s="967">
        <v>0.375</v>
      </c>
      <c r="E189" s="523"/>
      <c r="F189" s="948"/>
      <c r="G189" s="948"/>
      <c r="H189" s="960"/>
      <c r="I189" s="961">
        <v>0.5</v>
      </c>
      <c r="J189" s="990">
        <f>IF(F187=0,"0",H187/I187)</f>
        <v>175.37142857142857</v>
      </c>
      <c r="K189" s="948"/>
      <c r="L189" s="968">
        <f t="shared" ref="L189:L195" si="66">N188</f>
        <v>0.33333333333333331</v>
      </c>
      <c r="M189" s="618">
        <f t="shared" si="64"/>
        <v>87.685714285714283</v>
      </c>
      <c r="N189" s="967">
        <v>0.375</v>
      </c>
      <c r="O189" s="969"/>
      <c r="P189" s="617">
        <f t="shared" si="65"/>
        <v>0</v>
      </c>
      <c r="Q189" s="617"/>
      <c r="R189" s="846"/>
      <c r="S189" s="846"/>
      <c r="T189" s="822"/>
      <c r="U189" s="568"/>
      <c r="V189" s="965"/>
      <c r="W189" s="948"/>
      <c r="X189" s="948"/>
      <c r="Y189" s="948"/>
      <c r="Z189" s="948"/>
      <c r="AA189" s="948"/>
      <c r="AB189" s="948"/>
      <c r="AC189" s="966"/>
    </row>
    <row r="190" spans="1:29" hidden="1" outlineLevel="2" x14ac:dyDescent="0.2">
      <c r="A190" s="497">
        <f t="shared" si="60"/>
        <v>8</v>
      </c>
      <c r="B190" s="524"/>
      <c r="C190" s="523"/>
      <c r="D190" s="959">
        <v>0.41666666666666669</v>
      </c>
      <c r="E190" s="523"/>
      <c r="F190" s="948"/>
      <c r="G190" s="948"/>
      <c r="H190" s="960"/>
      <c r="I190" s="961">
        <v>1</v>
      </c>
      <c r="J190" s="990">
        <f>IF(F187=0,"0",H187/I187)</f>
        <v>175.37142857142857</v>
      </c>
      <c r="K190" s="948"/>
      <c r="L190" s="963">
        <f t="shared" si="66"/>
        <v>0.375</v>
      </c>
      <c r="M190" s="639">
        <f t="shared" si="64"/>
        <v>175.37142857142857</v>
      </c>
      <c r="N190" s="959">
        <v>0.41666666666666669</v>
      </c>
      <c r="O190" s="964"/>
      <c r="P190" s="640">
        <f t="shared" si="65"/>
        <v>0</v>
      </c>
      <c r="Q190" s="640"/>
      <c r="R190" s="847"/>
      <c r="S190" s="847"/>
      <c r="T190" s="824"/>
      <c r="U190" s="568"/>
      <c r="V190" s="965"/>
      <c r="W190" s="948"/>
      <c r="X190" s="948"/>
      <c r="Y190" s="948"/>
      <c r="Z190" s="948"/>
      <c r="AA190" s="948"/>
      <c r="AB190" s="948"/>
      <c r="AC190" s="966"/>
    </row>
    <row r="191" spans="1:29" hidden="1" outlineLevel="2" x14ac:dyDescent="0.2">
      <c r="A191" s="497">
        <f t="shared" si="60"/>
        <v>8</v>
      </c>
      <c r="B191" s="524"/>
      <c r="C191" s="523"/>
      <c r="D191" s="967">
        <v>0.45833333333333331</v>
      </c>
      <c r="E191" s="523"/>
      <c r="F191" s="948"/>
      <c r="G191" s="948"/>
      <c r="H191" s="960"/>
      <c r="I191" s="961">
        <v>1</v>
      </c>
      <c r="J191" s="990">
        <f>IF(F187=0,"0",H187/I187)</f>
        <v>175.37142857142857</v>
      </c>
      <c r="K191" s="948"/>
      <c r="L191" s="968">
        <f t="shared" si="66"/>
        <v>0.41666666666666669</v>
      </c>
      <c r="M191" s="618">
        <f t="shared" si="64"/>
        <v>175.37142857142857</v>
      </c>
      <c r="N191" s="967">
        <v>0.45833333333333331</v>
      </c>
      <c r="O191" s="969"/>
      <c r="P191" s="617">
        <f t="shared" si="65"/>
        <v>0</v>
      </c>
      <c r="Q191" s="617"/>
      <c r="R191" s="846"/>
      <c r="S191" s="846"/>
      <c r="T191" s="822"/>
      <c r="U191" s="568"/>
      <c r="V191" s="965"/>
      <c r="W191" s="948"/>
      <c r="X191" s="948"/>
      <c r="Y191" s="948"/>
      <c r="Z191" s="948"/>
      <c r="AA191" s="948"/>
      <c r="AB191" s="948"/>
      <c r="AC191" s="966"/>
    </row>
    <row r="192" spans="1:29" hidden="1" outlineLevel="2" x14ac:dyDescent="0.2">
      <c r="A192" s="497">
        <f t="shared" si="60"/>
        <v>8</v>
      </c>
      <c r="B192" s="524"/>
      <c r="C192" s="523"/>
      <c r="D192" s="959">
        <v>0.5</v>
      </c>
      <c r="E192" s="523"/>
      <c r="F192" s="948"/>
      <c r="G192" s="948"/>
      <c r="H192" s="960"/>
      <c r="I192" s="961">
        <v>0.5</v>
      </c>
      <c r="J192" s="990">
        <f>IF(F187=0,"0",H187/I187)</f>
        <v>175.37142857142857</v>
      </c>
      <c r="K192" s="948"/>
      <c r="L192" s="963">
        <f t="shared" si="66"/>
        <v>0.45833333333333331</v>
      </c>
      <c r="M192" s="639">
        <f t="shared" si="64"/>
        <v>87.685714285714283</v>
      </c>
      <c r="N192" s="959">
        <v>0.5</v>
      </c>
      <c r="O192" s="964"/>
      <c r="P192" s="640">
        <f t="shared" si="65"/>
        <v>0</v>
      </c>
      <c r="Q192" s="640"/>
      <c r="R192" s="653"/>
      <c r="S192" s="847"/>
      <c r="T192" s="824"/>
      <c r="U192" s="568"/>
      <c r="V192" s="965"/>
      <c r="W192" s="948"/>
      <c r="X192" s="948"/>
      <c r="Y192" s="948"/>
      <c r="Z192" s="948"/>
      <c r="AA192" s="948"/>
      <c r="AB192" s="948"/>
      <c r="AC192" s="966"/>
    </row>
    <row r="193" spans="1:29" hidden="1" outlineLevel="2" x14ac:dyDescent="0.2">
      <c r="A193" s="497">
        <f t="shared" si="60"/>
        <v>8</v>
      </c>
      <c r="B193" s="524"/>
      <c r="C193" s="523"/>
      <c r="D193" s="967">
        <v>0.54166666666666663</v>
      </c>
      <c r="E193" s="523"/>
      <c r="F193" s="948"/>
      <c r="G193" s="948"/>
      <c r="H193" s="960"/>
      <c r="I193" s="961">
        <v>1</v>
      </c>
      <c r="J193" s="990">
        <f>IF(F187=0,"0",H187/I187)</f>
        <v>175.37142857142857</v>
      </c>
      <c r="K193" s="948"/>
      <c r="L193" s="968">
        <f t="shared" si="66"/>
        <v>0.5</v>
      </c>
      <c r="M193" s="618">
        <f t="shared" si="64"/>
        <v>175.37142857142857</v>
      </c>
      <c r="N193" s="967">
        <v>0.54166666666666663</v>
      </c>
      <c r="O193" s="969"/>
      <c r="P193" s="617">
        <f t="shared" si="65"/>
        <v>0</v>
      </c>
      <c r="Q193" s="617"/>
      <c r="R193" s="848"/>
      <c r="S193" s="846"/>
      <c r="T193" s="822"/>
      <c r="U193" s="568"/>
      <c r="V193" s="965"/>
      <c r="W193" s="948"/>
      <c r="X193" s="948"/>
      <c r="Y193" s="948"/>
      <c r="Z193" s="948"/>
      <c r="AA193" s="948"/>
      <c r="AB193" s="948"/>
      <c r="AC193" s="966"/>
    </row>
    <row r="194" spans="1:29" hidden="1" outlineLevel="2" x14ac:dyDescent="0.2">
      <c r="A194" s="497">
        <f t="shared" si="60"/>
        <v>8</v>
      </c>
      <c r="B194" s="524"/>
      <c r="C194" s="523"/>
      <c r="D194" s="959">
        <v>0.58333333333333337</v>
      </c>
      <c r="E194" s="523"/>
      <c r="F194" s="948"/>
      <c r="G194" s="948"/>
      <c r="H194" s="960"/>
      <c r="I194" s="961">
        <v>1</v>
      </c>
      <c r="J194" s="990">
        <f>IF(F187=0,"0",H187/I187)</f>
        <v>175.37142857142857</v>
      </c>
      <c r="K194" s="948"/>
      <c r="L194" s="963">
        <f t="shared" si="66"/>
        <v>0.54166666666666663</v>
      </c>
      <c r="M194" s="639">
        <f t="shared" si="64"/>
        <v>175.37142857142857</v>
      </c>
      <c r="N194" s="959">
        <v>0.58333333333333337</v>
      </c>
      <c r="O194" s="964"/>
      <c r="P194" s="640">
        <f t="shared" si="65"/>
        <v>0</v>
      </c>
      <c r="Q194" s="640"/>
      <c r="R194" s="847"/>
      <c r="S194" s="847"/>
      <c r="T194" s="824"/>
      <c r="U194" s="568"/>
      <c r="V194" s="965"/>
      <c r="W194" s="948"/>
      <c r="X194" s="948"/>
      <c r="Y194" s="948"/>
      <c r="Z194" s="948"/>
      <c r="AA194" s="948"/>
      <c r="AB194" s="948"/>
      <c r="AC194" s="966"/>
    </row>
    <row r="195" spans="1:29" hidden="1" outlineLevel="2" x14ac:dyDescent="0.2">
      <c r="A195" s="497">
        <f t="shared" si="60"/>
        <v>8</v>
      </c>
      <c r="B195" s="524"/>
      <c r="C195" s="523"/>
      <c r="D195" s="970">
        <v>0.625</v>
      </c>
      <c r="E195" s="523"/>
      <c r="F195" s="948"/>
      <c r="G195" s="948"/>
      <c r="H195" s="960"/>
      <c r="I195" s="961">
        <v>1</v>
      </c>
      <c r="J195" s="990">
        <f>IF(F187=0,"0",H187/I187)</f>
        <v>175.37142857142857</v>
      </c>
      <c r="K195" s="948"/>
      <c r="L195" s="971">
        <f t="shared" si="66"/>
        <v>0.58333333333333337</v>
      </c>
      <c r="M195" s="618">
        <f t="shared" si="64"/>
        <v>175.37142857142857</v>
      </c>
      <c r="N195" s="970">
        <v>0.625</v>
      </c>
      <c r="O195" s="972"/>
      <c r="P195" s="503">
        <f t="shared" si="65"/>
        <v>0</v>
      </c>
      <c r="Q195" s="503"/>
      <c r="R195" s="571"/>
      <c r="S195" s="571"/>
      <c r="T195" s="826"/>
      <c r="U195" s="568"/>
      <c r="V195" s="973"/>
      <c r="W195" s="974"/>
      <c r="X195" s="974"/>
      <c r="Y195" s="948"/>
      <c r="Z195" s="974"/>
      <c r="AA195" s="974"/>
      <c r="AB195" s="974"/>
      <c r="AC195" s="975"/>
    </row>
    <row r="196" spans="1:29" s="622" customFormat="1" hidden="1" outlineLevel="1" collapsed="1" x14ac:dyDescent="0.2">
      <c r="A196" s="497">
        <f t="shared" si="60"/>
        <v>8</v>
      </c>
      <c r="B196" s="551">
        <f>B187</f>
        <v>46075</v>
      </c>
      <c r="C196" s="550" t="s">
        <v>210</v>
      </c>
      <c r="D196" s="563"/>
      <c r="E196" s="550"/>
      <c r="F196" s="548">
        <v>16500</v>
      </c>
      <c r="G196" s="548">
        <v>620</v>
      </c>
      <c r="H196" s="547">
        <f>+F196*12*G196/100000</f>
        <v>1227.5999999999999</v>
      </c>
      <c r="I196" s="546">
        <f>IF(F196="","0",SUM(I197:I204))</f>
        <v>7</v>
      </c>
      <c r="J196" s="990"/>
      <c r="K196" s="545"/>
      <c r="L196" s="827" t="str">
        <f>C196</f>
        <v>T2</v>
      </c>
      <c r="M196" s="566" t="str">
        <f>IF(O196=0,"0",SUM(M197:M204))</f>
        <v>0</v>
      </c>
      <c r="N196" s="563"/>
      <c r="O196" s="565">
        <f>SUM(O197:O204)</f>
        <v>0</v>
      </c>
      <c r="P196" s="564" t="e">
        <f>+O196/M196</f>
        <v>#DIV/0!</v>
      </c>
      <c r="Q196" s="563"/>
      <c r="R196" s="828"/>
      <c r="S196" s="828"/>
      <c r="T196" s="829"/>
      <c r="U196" s="536"/>
      <c r="V196" s="948"/>
      <c r="W196" s="948"/>
      <c r="X196" s="948"/>
      <c r="Y196" s="948"/>
      <c r="Z196" s="948"/>
      <c r="AA196" s="948"/>
      <c r="AB196" s="948"/>
      <c r="AC196" s="976"/>
    </row>
    <row r="197" spans="1:29" s="623" customFormat="1" hidden="1" outlineLevel="2" x14ac:dyDescent="0.2">
      <c r="A197" s="497">
        <f t="shared" si="60"/>
        <v>8</v>
      </c>
      <c r="B197" s="524"/>
      <c r="C197" s="523"/>
      <c r="D197" s="967">
        <v>0.66666666666666663</v>
      </c>
      <c r="E197" s="523"/>
      <c r="F197" s="948"/>
      <c r="G197" s="948"/>
      <c r="H197" s="960"/>
      <c r="I197" s="961">
        <v>1</v>
      </c>
      <c r="J197" s="990">
        <f>IF(F196=0,"0",H196/I196)</f>
        <v>175.37142857142857</v>
      </c>
      <c r="K197" s="948"/>
      <c r="L197" s="968">
        <v>0.625</v>
      </c>
      <c r="M197" s="618">
        <f t="shared" ref="M197:M204" si="67">IF(N197="","",J197*I197)</f>
        <v>175.37142857142857</v>
      </c>
      <c r="N197" s="967">
        <v>0.66666666666666663</v>
      </c>
      <c r="O197" s="969"/>
      <c r="P197" s="617">
        <f t="shared" ref="P197:P204" si="68">IF(N197="","",O197/M197)</f>
        <v>0</v>
      </c>
      <c r="Q197" s="948"/>
      <c r="R197" s="629"/>
      <c r="S197" s="532"/>
      <c r="T197" s="830"/>
      <c r="U197" s="950"/>
      <c r="V197" s="956"/>
      <c r="W197" s="957"/>
      <c r="X197" s="957"/>
      <c r="Y197" s="948"/>
      <c r="Z197" s="957"/>
      <c r="AA197" s="957"/>
      <c r="AB197" s="957"/>
      <c r="AC197" s="958"/>
    </row>
    <row r="198" spans="1:29" s="623" customFormat="1" hidden="1" outlineLevel="2" x14ac:dyDescent="0.2">
      <c r="A198" s="497">
        <f t="shared" si="60"/>
        <v>8</v>
      </c>
      <c r="B198" s="524"/>
      <c r="C198" s="523"/>
      <c r="D198" s="959">
        <v>0.70833333333333337</v>
      </c>
      <c r="E198" s="523"/>
      <c r="F198" s="948"/>
      <c r="G198" s="948"/>
      <c r="H198" s="960"/>
      <c r="I198" s="961">
        <v>0.5</v>
      </c>
      <c r="J198" s="990">
        <f>IF(F196=0,"0",H196/I196)</f>
        <v>175.37142857142857</v>
      </c>
      <c r="K198" s="948"/>
      <c r="L198" s="963">
        <f t="shared" ref="L198:L204" si="69">N197</f>
        <v>0.66666666666666663</v>
      </c>
      <c r="M198" s="639">
        <f t="shared" si="67"/>
        <v>87.685714285714283</v>
      </c>
      <c r="N198" s="959">
        <v>0.70833333333333337</v>
      </c>
      <c r="O198" s="964"/>
      <c r="P198" s="640">
        <f t="shared" si="68"/>
        <v>0</v>
      </c>
      <c r="Q198" s="964"/>
      <c r="R198" s="831"/>
      <c r="S198" s="832"/>
      <c r="T198" s="833"/>
      <c r="U198" s="950"/>
      <c r="V198" s="965"/>
      <c r="W198" s="948"/>
      <c r="X198" s="948"/>
      <c r="Y198" s="948"/>
      <c r="Z198" s="948"/>
      <c r="AA198" s="948"/>
      <c r="AB198" s="948"/>
      <c r="AC198" s="966"/>
    </row>
    <row r="199" spans="1:29" s="623" customFormat="1" hidden="1" outlineLevel="2" x14ac:dyDescent="0.2">
      <c r="A199" s="497">
        <f t="shared" si="60"/>
        <v>8</v>
      </c>
      <c r="B199" s="524"/>
      <c r="C199" s="523"/>
      <c r="D199" s="967">
        <v>0.75</v>
      </c>
      <c r="E199" s="523"/>
      <c r="F199" s="948"/>
      <c r="G199" s="948"/>
      <c r="H199" s="960"/>
      <c r="I199" s="961">
        <v>1</v>
      </c>
      <c r="J199" s="990">
        <f>IF(F196=0,"0",H196/I196)</f>
        <v>175.37142857142857</v>
      </c>
      <c r="K199" s="948"/>
      <c r="L199" s="968">
        <f t="shared" si="69"/>
        <v>0.70833333333333337</v>
      </c>
      <c r="M199" s="618">
        <f t="shared" si="67"/>
        <v>175.37142857142857</v>
      </c>
      <c r="N199" s="967">
        <v>0.75</v>
      </c>
      <c r="O199" s="969"/>
      <c r="P199" s="617">
        <f t="shared" si="68"/>
        <v>0</v>
      </c>
      <c r="Q199" s="948"/>
      <c r="R199" s="532"/>
      <c r="S199" s="532"/>
      <c r="T199" s="830"/>
      <c r="U199" s="950"/>
      <c r="V199" s="965"/>
      <c r="W199" s="948"/>
      <c r="X199" s="948"/>
      <c r="Y199" s="948"/>
      <c r="Z199" s="948"/>
      <c r="AA199" s="948"/>
      <c r="AB199" s="948"/>
      <c r="AC199" s="966"/>
    </row>
    <row r="200" spans="1:29" s="623" customFormat="1" hidden="1" outlineLevel="2" x14ac:dyDescent="0.2">
      <c r="A200" s="497">
        <f t="shared" si="60"/>
        <v>8</v>
      </c>
      <c r="B200" s="524"/>
      <c r="C200" s="523"/>
      <c r="D200" s="959">
        <v>0.79166666666666663</v>
      </c>
      <c r="E200" s="523"/>
      <c r="F200" s="948"/>
      <c r="G200" s="948"/>
      <c r="H200" s="960"/>
      <c r="I200" s="961">
        <v>1</v>
      </c>
      <c r="J200" s="990">
        <f>IF(F196=0,"0",H196/I196)</f>
        <v>175.37142857142857</v>
      </c>
      <c r="K200" s="948"/>
      <c r="L200" s="963">
        <f t="shared" si="69"/>
        <v>0.75</v>
      </c>
      <c r="M200" s="639">
        <f t="shared" si="67"/>
        <v>175.37142857142857</v>
      </c>
      <c r="N200" s="959">
        <v>0.79166666666666663</v>
      </c>
      <c r="O200" s="964"/>
      <c r="P200" s="640">
        <f t="shared" si="68"/>
        <v>0</v>
      </c>
      <c r="Q200" s="964"/>
      <c r="R200" s="653"/>
      <c r="S200" s="832"/>
      <c r="T200" s="833"/>
      <c r="U200" s="950"/>
      <c r="V200" s="965"/>
      <c r="W200" s="948"/>
      <c r="X200" s="948"/>
      <c r="Y200" s="948"/>
      <c r="Z200" s="948"/>
      <c r="AA200" s="948"/>
      <c r="AB200" s="948"/>
      <c r="AC200" s="966"/>
    </row>
    <row r="201" spans="1:29" s="623" customFormat="1" hidden="1" outlineLevel="2" x14ac:dyDescent="0.2">
      <c r="A201" s="497">
        <f t="shared" si="60"/>
        <v>8</v>
      </c>
      <c r="B201" s="524"/>
      <c r="C201" s="523"/>
      <c r="D201" s="967">
        <v>0.83333333333333337</v>
      </c>
      <c r="E201" s="523"/>
      <c r="F201" s="948"/>
      <c r="G201" s="948"/>
      <c r="H201" s="960"/>
      <c r="I201" s="961">
        <v>0.5</v>
      </c>
      <c r="J201" s="990">
        <f>IF(F196=0,"0",H196/I196)</f>
        <v>175.37142857142857</v>
      </c>
      <c r="K201" s="948"/>
      <c r="L201" s="968">
        <f t="shared" si="69"/>
        <v>0.79166666666666663</v>
      </c>
      <c r="M201" s="618">
        <f t="shared" si="67"/>
        <v>87.685714285714283</v>
      </c>
      <c r="N201" s="967">
        <v>0.83333333333333337</v>
      </c>
      <c r="O201" s="969"/>
      <c r="P201" s="617">
        <f t="shared" si="68"/>
        <v>0</v>
      </c>
      <c r="Q201" s="948"/>
      <c r="R201" s="532"/>
      <c r="S201" s="532"/>
      <c r="T201" s="830"/>
      <c r="U201" s="950"/>
      <c r="V201" s="965"/>
      <c r="W201" s="948"/>
      <c r="X201" s="948"/>
      <c r="Y201" s="948"/>
      <c r="Z201" s="948"/>
      <c r="AA201" s="948"/>
      <c r="AB201" s="948"/>
      <c r="AC201" s="966"/>
    </row>
    <row r="202" spans="1:29" s="623" customFormat="1" hidden="1" outlineLevel="2" x14ac:dyDescent="0.2">
      <c r="A202" s="497">
        <f t="shared" si="60"/>
        <v>8</v>
      </c>
      <c r="B202" s="524"/>
      <c r="C202" s="523"/>
      <c r="D202" s="959">
        <v>0.875</v>
      </c>
      <c r="E202" s="523"/>
      <c r="F202" s="948"/>
      <c r="G202" s="948"/>
      <c r="H202" s="960"/>
      <c r="I202" s="961">
        <v>1</v>
      </c>
      <c r="J202" s="990">
        <f>IF(F196=0,"0",H196/I196)</f>
        <v>175.37142857142857</v>
      </c>
      <c r="K202" s="948"/>
      <c r="L202" s="963">
        <f t="shared" si="69"/>
        <v>0.83333333333333337</v>
      </c>
      <c r="M202" s="639">
        <f t="shared" si="67"/>
        <v>175.37142857142857</v>
      </c>
      <c r="N202" s="959">
        <v>0.875</v>
      </c>
      <c r="O202" s="964"/>
      <c r="P202" s="640">
        <f t="shared" si="68"/>
        <v>0</v>
      </c>
      <c r="Q202" s="964"/>
      <c r="R202" s="832"/>
      <c r="S202" s="832"/>
      <c r="T202" s="833"/>
      <c r="U202" s="950"/>
      <c r="V202" s="965"/>
      <c r="W202" s="948"/>
      <c r="X202" s="948"/>
      <c r="Y202" s="948"/>
      <c r="Z202" s="948"/>
      <c r="AA202" s="948"/>
      <c r="AB202" s="948"/>
      <c r="AC202" s="966"/>
    </row>
    <row r="203" spans="1:29" s="623" customFormat="1" hidden="1" outlineLevel="2" x14ac:dyDescent="0.2">
      <c r="A203" s="497">
        <f t="shared" si="60"/>
        <v>8</v>
      </c>
      <c r="B203" s="524"/>
      <c r="C203" s="523"/>
      <c r="D203" s="967">
        <v>0.91666666666666663</v>
      </c>
      <c r="E203" s="523"/>
      <c r="F203" s="948"/>
      <c r="G203" s="948"/>
      <c r="H203" s="960"/>
      <c r="I203" s="961">
        <v>1</v>
      </c>
      <c r="J203" s="990">
        <f>IF(F196=0,"0",H196/I196)</f>
        <v>175.37142857142857</v>
      </c>
      <c r="K203" s="948"/>
      <c r="L203" s="968">
        <f t="shared" si="69"/>
        <v>0.875</v>
      </c>
      <c r="M203" s="618">
        <f t="shared" si="67"/>
        <v>175.37142857142857</v>
      </c>
      <c r="N203" s="967">
        <v>0.91666666666666663</v>
      </c>
      <c r="O203" s="969"/>
      <c r="P203" s="617">
        <f t="shared" si="68"/>
        <v>0</v>
      </c>
      <c r="Q203" s="948"/>
      <c r="R203" s="532"/>
      <c r="S203" s="532"/>
      <c r="T203" s="830"/>
      <c r="U203" s="950"/>
      <c r="V203" s="965"/>
      <c r="W203" s="948"/>
      <c r="X203" s="948"/>
      <c r="Y203" s="948"/>
      <c r="Z203" s="948"/>
      <c r="AA203" s="948"/>
      <c r="AB203" s="948"/>
      <c r="AC203" s="966"/>
    </row>
    <row r="204" spans="1:29" s="623" customFormat="1" hidden="1" outlineLevel="2" x14ac:dyDescent="0.2">
      <c r="A204" s="497">
        <f t="shared" si="60"/>
        <v>8</v>
      </c>
      <c r="B204" s="524"/>
      <c r="C204" s="523"/>
      <c r="D204" s="977">
        <v>0.95833333333333337</v>
      </c>
      <c r="E204" s="523"/>
      <c r="F204" s="948"/>
      <c r="G204" s="948"/>
      <c r="H204" s="960"/>
      <c r="I204" s="961">
        <v>1</v>
      </c>
      <c r="J204" s="990">
        <f>IF(F196=0,"0",H196/I196)</f>
        <v>175.37142857142857</v>
      </c>
      <c r="K204" s="948"/>
      <c r="L204" s="978">
        <f t="shared" si="69"/>
        <v>0.91666666666666663</v>
      </c>
      <c r="M204" s="639">
        <f t="shared" si="67"/>
        <v>175.37142857142857</v>
      </c>
      <c r="N204" s="977">
        <v>0.95833333333333337</v>
      </c>
      <c r="O204" s="979"/>
      <c r="P204" s="641">
        <f t="shared" si="68"/>
        <v>0</v>
      </c>
      <c r="Q204" s="979"/>
      <c r="R204" s="835"/>
      <c r="S204" s="835"/>
      <c r="T204" s="836"/>
      <c r="U204" s="950"/>
      <c r="V204" s="973"/>
      <c r="W204" s="974"/>
      <c r="X204" s="974"/>
      <c r="Y204" s="948"/>
      <c r="Z204" s="974"/>
      <c r="AA204" s="974"/>
      <c r="AB204" s="974"/>
      <c r="AC204" s="975"/>
    </row>
    <row r="205" spans="1:29" s="624" customFormat="1" hidden="1" outlineLevel="1" collapsed="1" x14ac:dyDescent="0.2">
      <c r="A205" s="497">
        <f t="shared" si="60"/>
        <v>8</v>
      </c>
      <c r="B205" s="551">
        <f>B187</f>
        <v>46075</v>
      </c>
      <c r="C205" s="550" t="s">
        <v>211</v>
      </c>
      <c r="D205" s="540"/>
      <c r="E205" s="550"/>
      <c r="F205" s="548">
        <v>16500</v>
      </c>
      <c r="G205" s="548">
        <v>620</v>
      </c>
      <c r="H205" s="547">
        <f>+F205*12*G205/100000</f>
        <v>1227.5999999999999</v>
      </c>
      <c r="I205" s="546">
        <f>IF(F205="","0",SUM(I206:I213))</f>
        <v>7</v>
      </c>
      <c r="J205" s="990"/>
      <c r="K205" s="545"/>
      <c r="L205" s="837" t="str">
        <f>C205</f>
        <v>T3</v>
      </c>
      <c r="M205" s="543" t="str">
        <f>IF(O205=0,"0",SUM(M206:M213))</f>
        <v>0</v>
      </c>
      <c r="N205" s="540"/>
      <c r="O205" s="542">
        <f>SUM(O206:O213)</f>
        <v>0</v>
      </c>
      <c r="P205" s="541" t="e">
        <f>+O205/M205</f>
        <v>#DIV/0!</v>
      </c>
      <c r="Q205" s="540"/>
      <c r="R205" s="838"/>
      <c r="S205" s="838"/>
      <c r="T205" s="839"/>
      <c r="U205" s="536"/>
      <c r="V205" s="948"/>
      <c r="W205" s="948"/>
      <c r="X205" s="948"/>
      <c r="Y205" s="948"/>
      <c r="Z205" s="948"/>
      <c r="AA205" s="948"/>
      <c r="AB205" s="948"/>
      <c r="AC205" s="976"/>
    </row>
    <row r="206" spans="1:29" s="623" customFormat="1" hidden="1" outlineLevel="2" x14ac:dyDescent="0.2">
      <c r="A206" s="497">
        <f t="shared" ref="A206:A213" si="70">$A$11</f>
        <v>8</v>
      </c>
      <c r="B206" s="524"/>
      <c r="C206" s="523"/>
      <c r="D206" s="959">
        <v>0</v>
      </c>
      <c r="E206" s="523"/>
      <c r="F206" s="948"/>
      <c r="G206" s="948"/>
      <c r="H206" s="960"/>
      <c r="I206" s="961">
        <v>1</v>
      </c>
      <c r="J206" s="990">
        <f>IF(F205=0,"0",H205/I205)</f>
        <v>175.37142857142857</v>
      </c>
      <c r="K206" s="948"/>
      <c r="L206" s="963">
        <v>0.95833333333333337</v>
      </c>
      <c r="M206" s="639">
        <f t="shared" ref="M206:M213" si="71">IF(N206="","",J206*I206)</f>
        <v>175.37142857142857</v>
      </c>
      <c r="N206" s="959">
        <v>0</v>
      </c>
      <c r="O206" s="964"/>
      <c r="P206" s="640">
        <f t="shared" ref="P206:P213" si="72">IF(N206="","",O206/M206)</f>
        <v>0</v>
      </c>
      <c r="Q206" s="964"/>
      <c r="R206" s="832"/>
      <c r="S206" s="832"/>
      <c r="T206" s="833"/>
      <c r="U206" s="950"/>
      <c r="V206" s="956"/>
      <c r="W206" s="957"/>
      <c r="X206" s="957"/>
      <c r="Y206" s="948"/>
      <c r="Z206" s="957"/>
      <c r="AA206" s="957"/>
      <c r="AB206" s="957"/>
      <c r="AC206" s="958"/>
    </row>
    <row r="207" spans="1:29" s="623" customFormat="1" hidden="1" outlineLevel="2" x14ac:dyDescent="0.2">
      <c r="A207" s="497">
        <f t="shared" si="70"/>
        <v>8</v>
      </c>
      <c r="B207" s="524"/>
      <c r="C207" s="523"/>
      <c r="D207" s="967">
        <v>4.1666666666666664E-2</v>
      </c>
      <c r="E207" s="523"/>
      <c r="F207" s="948"/>
      <c r="G207" s="948"/>
      <c r="H207" s="960"/>
      <c r="I207" s="961">
        <v>0.5</v>
      </c>
      <c r="J207" s="990">
        <f>IF(F205=0,"0",H205/I205)</f>
        <v>175.37142857142857</v>
      </c>
      <c r="K207" s="948"/>
      <c r="L207" s="968">
        <f t="shared" ref="L207:L213" si="73">N206</f>
        <v>0</v>
      </c>
      <c r="M207" s="618">
        <f t="shared" si="71"/>
        <v>87.685714285714283</v>
      </c>
      <c r="N207" s="967">
        <v>4.1666666666666664E-2</v>
      </c>
      <c r="O207" s="969"/>
      <c r="P207" s="617">
        <f t="shared" si="72"/>
        <v>0</v>
      </c>
      <c r="Q207" s="948"/>
      <c r="R207" s="532"/>
      <c r="S207" s="532"/>
      <c r="T207" s="830"/>
      <c r="U207" s="950"/>
      <c r="V207" s="965"/>
      <c r="W207" s="948"/>
      <c r="X207" s="948"/>
      <c r="Y207" s="948"/>
      <c r="Z207" s="948"/>
      <c r="AA207" s="948"/>
      <c r="AB207" s="948"/>
      <c r="AC207" s="966"/>
    </row>
    <row r="208" spans="1:29" s="623" customFormat="1" hidden="1" outlineLevel="2" x14ac:dyDescent="0.2">
      <c r="A208" s="497">
        <f t="shared" si="70"/>
        <v>8</v>
      </c>
      <c r="B208" s="524"/>
      <c r="C208" s="523"/>
      <c r="D208" s="959">
        <v>8.3333333333333329E-2</v>
      </c>
      <c r="E208" s="523"/>
      <c r="F208" s="948"/>
      <c r="G208" s="948"/>
      <c r="H208" s="960"/>
      <c r="I208" s="961">
        <v>1</v>
      </c>
      <c r="J208" s="990">
        <f>IF(F205=0,"0",H205/I205)</f>
        <v>175.37142857142857</v>
      </c>
      <c r="K208" s="948"/>
      <c r="L208" s="963">
        <f t="shared" si="73"/>
        <v>4.1666666666666664E-2</v>
      </c>
      <c r="M208" s="639">
        <f t="shared" si="71"/>
        <v>175.37142857142857</v>
      </c>
      <c r="N208" s="959">
        <v>8.3333333333333329E-2</v>
      </c>
      <c r="O208" s="964"/>
      <c r="P208" s="640">
        <f t="shared" si="72"/>
        <v>0</v>
      </c>
      <c r="Q208" s="964"/>
      <c r="R208" s="832"/>
      <c r="S208" s="832"/>
      <c r="T208" s="833"/>
      <c r="U208" s="950"/>
      <c r="V208" s="965"/>
      <c r="W208" s="948"/>
      <c r="X208" s="948"/>
      <c r="Y208" s="948"/>
      <c r="Z208" s="948"/>
      <c r="AA208" s="948"/>
      <c r="AB208" s="948"/>
      <c r="AC208" s="966"/>
    </row>
    <row r="209" spans="1:29" s="623" customFormat="1" hidden="1" outlineLevel="2" x14ac:dyDescent="0.2">
      <c r="A209" s="497">
        <f t="shared" si="70"/>
        <v>8</v>
      </c>
      <c r="B209" s="524"/>
      <c r="C209" s="523"/>
      <c r="D209" s="967">
        <v>0.125</v>
      </c>
      <c r="E209" s="523"/>
      <c r="F209" s="948"/>
      <c r="G209" s="948"/>
      <c r="H209" s="960"/>
      <c r="I209" s="961">
        <v>1</v>
      </c>
      <c r="J209" s="990">
        <f>IF(F205=0,"0",H205/I205)</f>
        <v>175.37142857142857</v>
      </c>
      <c r="K209" s="948"/>
      <c r="L209" s="968">
        <f t="shared" si="73"/>
        <v>8.3333333333333329E-2</v>
      </c>
      <c r="M209" s="618">
        <f t="shared" si="71"/>
        <v>175.37142857142857</v>
      </c>
      <c r="N209" s="967">
        <v>0.125</v>
      </c>
      <c r="O209" s="969"/>
      <c r="P209" s="617">
        <f t="shared" si="72"/>
        <v>0</v>
      </c>
      <c r="Q209" s="948"/>
      <c r="R209" s="532"/>
      <c r="S209" s="532"/>
      <c r="T209" s="830"/>
      <c r="U209" s="950"/>
      <c r="V209" s="965"/>
      <c r="W209" s="948"/>
      <c r="X209" s="948"/>
      <c r="Y209" s="948"/>
      <c r="Z209" s="948"/>
      <c r="AA209" s="948"/>
      <c r="AB209" s="948"/>
      <c r="AC209" s="966"/>
    </row>
    <row r="210" spans="1:29" s="623" customFormat="1" hidden="1" outlineLevel="2" x14ac:dyDescent="0.2">
      <c r="A210" s="497">
        <f t="shared" si="70"/>
        <v>8</v>
      </c>
      <c r="B210" s="524"/>
      <c r="C210" s="523"/>
      <c r="D210" s="959">
        <v>0.16666666666666666</v>
      </c>
      <c r="E210" s="523"/>
      <c r="F210" s="948"/>
      <c r="G210" s="948"/>
      <c r="H210" s="960"/>
      <c r="I210" s="961">
        <v>0.5</v>
      </c>
      <c r="J210" s="990">
        <f>IF(F205=0,"0",H205/I205)</f>
        <v>175.37142857142857</v>
      </c>
      <c r="K210" s="948"/>
      <c r="L210" s="963">
        <f t="shared" si="73"/>
        <v>0.125</v>
      </c>
      <c r="M210" s="639">
        <f t="shared" si="71"/>
        <v>87.685714285714283</v>
      </c>
      <c r="N210" s="959">
        <v>0.16666666666666666</v>
      </c>
      <c r="O210" s="964"/>
      <c r="P210" s="640">
        <f t="shared" si="72"/>
        <v>0</v>
      </c>
      <c r="Q210" s="964"/>
      <c r="R210" s="840"/>
      <c r="S210" s="832"/>
      <c r="T210" s="833"/>
      <c r="U210" s="950"/>
      <c r="V210" s="965"/>
      <c r="W210" s="948"/>
      <c r="X210" s="948"/>
      <c r="Y210" s="948"/>
      <c r="Z210" s="948"/>
      <c r="AA210" s="948"/>
      <c r="AB210" s="948"/>
      <c r="AC210" s="966"/>
    </row>
    <row r="211" spans="1:29" s="623" customFormat="1" hidden="1" outlineLevel="2" x14ac:dyDescent="0.2">
      <c r="A211" s="497">
        <f t="shared" si="70"/>
        <v>8</v>
      </c>
      <c r="B211" s="524"/>
      <c r="C211" s="523"/>
      <c r="D211" s="967">
        <v>0.20833333333333334</v>
      </c>
      <c r="E211" s="523"/>
      <c r="F211" s="948"/>
      <c r="G211" s="948"/>
      <c r="H211" s="960"/>
      <c r="I211" s="961">
        <v>1</v>
      </c>
      <c r="J211" s="990">
        <f>IF(F205=0,"0",H205/I205)</f>
        <v>175.37142857142857</v>
      </c>
      <c r="K211" s="948"/>
      <c r="L211" s="968">
        <f t="shared" si="73"/>
        <v>0.16666666666666666</v>
      </c>
      <c r="M211" s="618">
        <f t="shared" si="71"/>
        <v>175.37142857142857</v>
      </c>
      <c r="N211" s="967">
        <v>0.20833333333333334</v>
      </c>
      <c r="O211" s="969"/>
      <c r="P211" s="617">
        <f t="shared" si="72"/>
        <v>0</v>
      </c>
      <c r="Q211" s="948"/>
      <c r="R211" s="629"/>
      <c r="S211" s="532"/>
      <c r="T211" s="830"/>
      <c r="U211" s="950"/>
      <c r="V211" s="965"/>
      <c r="W211" s="948"/>
      <c r="X211" s="948"/>
      <c r="Y211" s="948"/>
      <c r="Z211" s="948"/>
      <c r="AA211" s="948"/>
      <c r="AB211" s="948"/>
      <c r="AC211" s="966"/>
    </row>
    <row r="212" spans="1:29" s="623" customFormat="1" hidden="1" outlineLevel="2" x14ac:dyDescent="0.2">
      <c r="A212" s="497">
        <f t="shared" si="70"/>
        <v>8</v>
      </c>
      <c r="B212" s="524"/>
      <c r="C212" s="523"/>
      <c r="D212" s="959">
        <v>0.25</v>
      </c>
      <c r="E212" s="523"/>
      <c r="F212" s="948"/>
      <c r="G212" s="948"/>
      <c r="H212" s="960"/>
      <c r="I212" s="961">
        <v>1</v>
      </c>
      <c r="J212" s="990">
        <f>IF(F205=0,"0",H205/I205)</f>
        <v>175.37142857142857</v>
      </c>
      <c r="K212" s="948"/>
      <c r="L212" s="963">
        <f t="shared" si="73"/>
        <v>0.20833333333333334</v>
      </c>
      <c r="M212" s="639">
        <f t="shared" si="71"/>
        <v>175.37142857142857</v>
      </c>
      <c r="N212" s="959">
        <v>0.25</v>
      </c>
      <c r="O212" s="964"/>
      <c r="P212" s="640">
        <f t="shared" si="72"/>
        <v>0</v>
      </c>
      <c r="Q212" s="964"/>
      <c r="R212" s="832"/>
      <c r="S212" s="832"/>
      <c r="T212" s="833"/>
      <c r="U212" s="950"/>
      <c r="V212" s="965"/>
      <c r="W212" s="948"/>
      <c r="X212" s="948"/>
      <c r="Y212" s="948"/>
      <c r="Z212" s="948"/>
      <c r="AA212" s="948"/>
      <c r="AB212" s="948"/>
      <c r="AC212" s="966"/>
    </row>
    <row r="213" spans="1:29" s="623" customFormat="1" ht="15.75" hidden="1" outlineLevel="2" thickBot="1" x14ac:dyDescent="0.25">
      <c r="A213" s="497">
        <f t="shared" si="70"/>
        <v>8</v>
      </c>
      <c r="B213" s="511"/>
      <c r="C213" s="510"/>
      <c r="D213" s="980">
        <v>0.33333333333333331</v>
      </c>
      <c r="E213" s="510"/>
      <c r="F213" s="974"/>
      <c r="G213" s="974"/>
      <c r="H213" s="981"/>
      <c r="I213" s="982">
        <v>1</v>
      </c>
      <c r="J213" s="990">
        <f>IF(F205=0,"0",H205/I205)</f>
        <v>175.37142857142857</v>
      </c>
      <c r="K213" s="948"/>
      <c r="L213" s="983">
        <f t="shared" si="73"/>
        <v>0.25</v>
      </c>
      <c r="M213" s="644">
        <f t="shared" si="71"/>
        <v>175.37142857142857</v>
      </c>
      <c r="N213" s="980">
        <v>0.33333333333333331</v>
      </c>
      <c r="O213" s="984"/>
      <c r="P213" s="645">
        <f t="shared" si="72"/>
        <v>0</v>
      </c>
      <c r="Q213" s="985"/>
      <c r="R213" s="841"/>
      <c r="S213" s="841"/>
      <c r="T213" s="842"/>
      <c r="U213" s="950"/>
      <c r="V213" s="973"/>
      <c r="W213" s="974"/>
      <c r="X213" s="974"/>
      <c r="Y213" s="948"/>
      <c r="Z213" s="974"/>
      <c r="AA213" s="974"/>
      <c r="AB213" s="974"/>
      <c r="AC213" s="975"/>
    </row>
    <row r="214" spans="1:29" s="625" customFormat="1" ht="14.45" hidden="1" customHeight="1" outlineLevel="1" collapsed="1" x14ac:dyDescent="0.2">
      <c r="A214" s="497"/>
      <c r="B214" s="496"/>
      <c r="C214" s="986"/>
      <c r="D214" s="987"/>
      <c r="E214" s="986"/>
      <c r="F214" s="988"/>
      <c r="G214" s="988"/>
      <c r="H214" s="948"/>
      <c r="I214" s="986"/>
      <c r="J214" s="952"/>
      <c r="K214" s="988"/>
      <c r="L214" s="987"/>
      <c r="M214" s="627"/>
      <c r="N214" s="987"/>
      <c r="O214" s="988"/>
      <c r="P214" s="628"/>
      <c r="Q214" s="988"/>
      <c r="R214" s="843"/>
      <c r="S214" s="843"/>
      <c r="T214" s="843"/>
      <c r="U214" s="950"/>
      <c r="V214" s="988"/>
      <c r="W214" s="988"/>
      <c r="X214" s="988"/>
      <c r="Y214" s="988"/>
      <c r="Z214" s="988"/>
      <c r="AA214" s="988"/>
      <c r="AB214" s="988"/>
      <c r="AC214" s="988"/>
    </row>
    <row r="215" spans="1:29" collapsed="1" x14ac:dyDescent="0.2">
      <c r="A215" s="948"/>
      <c r="B215" s="948"/>
      <c r="C215" s="948"/>
      <c r="D215" s="948"/>
      <c r="E215" s="948"/>
      <c r="F215" s="948"/>
      <c r="G215" s="948"/>
      <c r="H215" s="948"/>
      <c r="I215" s="949"/>
      <c r="J215" s="948"/>
      <c r="K215" s="948"/>
      <c r="L215" s="948"/>
      <c r="M215" s="948"/>
      <c r="N215" s="948"/>
      <c r="O215" s="948"/>
      <c r="P215" s="948"/>
      <c r="Q215" s="948"/>
      <c r="R215" s="532"/>
      <c r="S215" s="532"/>
      <c r="T215" s="532"/>
      <c r="U215" s="950"/>
      <c r="V215" s="948"/>
      <c r="W215" s="948"/>
      <c r="X215" s="948"/>
      <c r="Y215" s="948"/>
      <c r="Z215" s="948"/>
      <c r="AA215" s="948"/>
      <c r="AB215" s="948"/>
      <c r="AC215" s="948"/>
    </row>
    <row r="216" spans="1:29" x14ac:dyDescent="0.2">
      <c r="A216" s="948"/>
      <c r="B216" s="948"/>
      <c r="C216" s="948"/>
      <c r="D216" s="948"/>
      <c r="E216" s="948"/>
      <c r="F216" s="948"/>
      <c r="G216" s="948"/>
      <c r="H216" s="948"/>
      <c r="I216" s="949"/>
      <c r="J216" s="948"/>
      <c r="K216" s="948"/>
      <c r="L216" s="948"/>
      <c r="M216" s="948"/>
      <c r="N216" s="948"/>
      <c r="O216" s="948"/>
      <c r="P216" s="948"/>
      <c r="Q216" s="948"/>
      <c r="R216" s="532"/>
      <c r="S216" s="532"/>
      <c r="T216" s="532"/>
      <c r="U216" s="950"/>
      <c r="V216" s="948"/>
      <c r="W216" s="948"/>
      <c r="X216" s="948"/>
      <c r="Y216" s="948"/>
      <c r="Z216" s="948"/>
      <c r="AA216" s="948"/>
      <c r="AB216" s="948"/>
      <c r="AC216" s="948"/>
    </row>
  </sheetData>
  <autoFilter ref="A9:AC9" xr:uid="{670CC44A-1B17-4A2A-A894-800350C4C103}"/>
  <conditionalFormatting sqref="D12:D19 D89 N89:O89 D91:D98 N91:O98">
    <cfRule type="cellIs" dxfId="102" priority="28" operator="greaterThan">
      <formula>0</formula>
    </cfRule>
  </conditionalFormatting>
  <conditionalFormatting sqref="D21:D28">
    <cfRule type="cellIs" dxfId="101" priority="27" operator="greaterThan">
      <formula>0</formula>
    </cfRule>
  </conditionalFormatting>
  <conditionalFormatting sqref="D30:D38">
    <cfRule type="cellIs" dxfId="100" priority="26" operator="greaterThan">
      <formula>0</formula>
    </cfRule>
  </conditionalFormatting>
  <conditionalFormatting sqref="D41:D48">
    <cfRule type="cellIs" dxfId="99" priority="19" operator="greaterThan">
      <formula>0</formula>
    </cfRule>
  </conditionalFormatting>
  <conditionalFormatting sqref="D50:D57">
    <cfRule type="cellIs" dxfId="98" priority="18" operator="greaterThan">
      <formula>0</formula>
    </cfRule>
  </conditionalFormatting>
  <conditionalFormatting sqref="D59:D67">
    <cfRule type="cellIs" dxfId="97" priority="17" operator="greaterThan">
      <formula>0</formula>
    </cfRule>
  </conditionalFormatting>
  <conditionalFormatting sqref="D70:D77">
    <cfRule type="cellIs" dxfId="96" priority="16" operator="greaterThan">
      <formula>0</formula>
    </cfRule>
  </conditionalFormatting>
  <conditionalFormatting sqref="D79:D86">
    <cfRule type="cellIs" dxfId="95" priority="15" operator="greaterThan">
      <formula>0</formula>
    </cfRule>
  </conditionalFormatting>
  <conditionalFormatting sqref="D101:D108">
    <cfRule type="cellIs" dxfId="94" priority="13" operator="greaterThan">
      <formula>0</formula>
    </cfRule>
  </conditionalFormatting>
  <conditionalFormatting sqref="D110:D117">
    <cfRule type="cellIs" dxfId="93" priority="12" operator="greaterThan">
      <formula>0</formula>
    </cfRule>
  </conditionalFormatting>
  <conditionalFormatting sqref="D119:D127">
    <cfRule type="cellIs" dxfId="92" priority="11" operator="greaterThan">
      <formula>0</formula>
    </cfRule>
  </conditionalFormatting>
  <conditionalFormatting sqref="D130:D137">
    <cfRule type="cellIs" dxfId="91" priority="10" operator="greaterThan">
      <formula>0</formula>
    </cfRule>
  </conditionalFormatting>
  <conditionalFormatting sqref="D139:D146">
    <cfRule type="cellIs" dxfId="90" priority="9" operator="greaterThan">
      <formula>0</formula>
    </cfRule>
  </conditionalFormatting>
  <conditionalFormatting sqref="D148:D156">
    <cfRule type="cellIs" dxfId="89" priority="8" operator="greaterThan">
      <formula>0</formula>
    </cfRule>
  </conditionalFormatting>
  <conditionalFormatting sqref="D159:D166">
    <cfRule type="cellIs" dxfId="88" priority="7" operator="greaterThan">
      <formula>0</formula>
    </cfRule>
  </conditionalFormatting>
  <conditionalFormatting sqref="D168:D175">
    <cfRule type="cellIs" dxfId="87" priority="6" operator="greaterThan">
      <formula>0</formula>
    </cfRule>
  </conditionalFormatting>
  <conditionalFormatting sqref="D177:D185">
    <cfRule type="cellIs" dxfId="86" priority="5" operator="greaterThan">
      <formula>0</formula>
    </cfRule>
  </conditionalFormatting>
  <conditionalFormatting sqref="D188:D195">
    <cfRule type="cellIs" dxfId="85" priority="4" operator="greaterThan">
      <formula>0</formula>
    </cfRule>
  </conditionalFormatting>
  <conditionalFormatting sqref="D197:D204">
    <cfRule type="cellIs" dxfId="84" priority="3" operator="greaterThan">
      <formula>0</formula>
    </cfRule>
  </conditionalFormatting>
  <conditionalFormatting sqref="D206:D214">
    <cfRule type="cellIs" dxfId="83" priority="2" operator="greaterThan">
      <formula>0</formula>
    </cfRule>
  </conditionalFormatting>
  <conditionalFormatting sqref="N12:O19">
    <cfRule type="cellIs" dxfId="82" priority="114" operator="greaterThan">
      <formula>0</formula>
    </cfRule>
  </conditionalFormatting>
  <conditionalFormatting sqref="N21:O28">
    <cfRule type="cellIs" dxfId="81" priority="113" operator="greaterThan">
      <formula>0</formula>
    </cfRule>
  </conditionalFormatting>
  <conditionalFormatting sqref="N30:O38">
    <cfRule type="cellIs" dxfId="80" priority="112" operator="greaterThan">
      <formula>0</formula>
    </cfRule>
  </conditionalFormatting>
  <conditionalFormatting sqref="N41:O48">
    <cfRule type="cellIs" dxfId="79" priority="64" operator="greaterThan">
      <formula>0</formula>
    </cfRule>
  </conditionalFormatting>
  <conditionalFormatting sqref="N50:O57">
    <cfRule type="cellIs" dxfId="78" priority="63" operator="greaterThan">
      <formula>0</formula>
    </cfRule>
  </conditionalFormatting>
  <conditionalFormatting sqref="N59:O67">
    <cfRule type="cellIs" dxfId="77" priority="62" operator="greaterThan">
      <formula>0</formula>
    </cfRule>
  </conditionalFormatting>
  <conditionalFormatting sqref="N70:O77">
    <cfRule type="cellIs" dxfId="76" priority="58" operator="greaterThan">
      <formula>0</formula>
    </cfRule>
  </conditionalFormatting>
  <conditionalFormatting sqref="N79:O86">
    <cfRule type="cellIs" dxfId="75" priority="57" operator="greaterThan">
      <formula>0</formula>
    </cfRule>
  </conditionalFormatting>
  <conditionalFormatting sqref="N101:O108">
    <cfRule type="cellIs" dxfId="74" priority="52" operator="greaterThan">
      <formula>0</formula>
    </cfRule>
  </conditionalFormatting>
  <conditionalFormatting sqref="N110:O117">
    <cfRule type="cellIs" dxfId="73" priority="1" operator="greaterThan">
      <formula>0</formula>
    </cfRule>
  </conditionalFormatting>
  <conditionalFormatting sqref="N119:O127">
    <cfRule type="cellIs" dxfId="72" priority="50" operator="greaterThan">
      <formula>0</formula>
    </cfRule>
  </conditionalFormatting>
  <conditionalFormatting sqref="N130:O137">
    <cfRule type="cellIs" dxfId="71" priority="46" operator="greaterThan">
      <formula>0</formula>
    </cfRule>
  </conditionalFormatting>
  <conditionalFormatting sqref="N139:O146">
    <cfRule type="cellIs" dxfId="70" priority="45" operator="greaterThan">
      <formula>0</formula>
    </cfRule>
  </conditionalFormatting>
  <conditionalFormatting sqref="N148:O156">
    <cfRule type="cellIs" dxfId="69" priority="44" operator="greaterThan">
      <formula>0</formula>
    </cfRule>
  </conditionalFormatting>
  <conditionalFormatting sqref="N159:O166">
    <cfRule type="cellIs" dxfId="68" priority="40" operator="greaterThan">
      <formula>0</formula>
    </cfRule>
  </conditionalFormatting>
  <conditionalFormatting sqref="N168:O175">
    <cfRule type="cellIs" dxfId="67" priority="39" operator="greaterThan">
      <formula>0</formula>
    </cfRule>
  </conditionalFormatting>
  <conditionalFormatting sqref="N177:O185">
    <cfRule type="cellIs" dxfId="66" priority="38" operator="greaterThan">
      <formula>0</formula>
    </cfRule>
  </conditionalFormatting>
  <conditionalFormatting sqref="N188:O195">
    <cfRule type="cellIs" dxfId="65" priority="34" operator="greaterThan">
      <formula>0</formula>
    </cfRule>
  </conditionalFormatting>
  <conditionalFormatting sqref="N197:O204">
    <cfRule type="cellIs" dxfId="64" priority="33" operator="greaterThan">
      <formula>0</formula>
    </cfRule>
  </conditionalFormatting>
  <conditionalFormatting sqref="N206:O214">
    <cfRule type="cellIs" dxfId="63" priority="32" operator="greaterThan">
      <formula>0</formula>
    </cfRule>
  </conditionalFormatting>
  <conditionalFormatting sqref="O10:O11">
    <cfRule type="cellIs" dxfId="62" priority="108" operator="lessThan">
      <formula>M10</formula>
    </cfRule>
  </conditionalFormatting>
  <conditionalFormatting sqref="O20">
    <cfRule type="cellIs" dxfId="61" priority="110" operator="lessThan">
      <formula>M20</formula>
    </cfRule>
  </conditionalFormatting>
  <conditionalFormatting sqref="O29">
    <cfRule type="cellIs" dxfId="60" priority="109" operator="lessThan">
      <formula>M29</formula>
    </cfRule>
  </conditionalFormatting>
  <conditionalFormatting sqref="O39:O40">
    <cfRule type="cellIs" dxfId="59" priority="59" operator="lessThan">
      <formula>M39</formula>
    </cfRule>
  </conditionalFormatting>
  <conditionalFormatting sqref="O49">
    <cfRule type="cellIs" dxfId="58" priority="61" operator="lessThan">
      <formula>M49</formula>
    </cfRule>
  </conditionalFormatting>
  <conditionalFormatting sqref="O58">
    <cfRule type="cellIs" dxfId="57" priority="60" operator="lessThan">
      <formula>M58</formula>
    </cfRule>
  </conditionalFormatting>
  <conditionalFormatting sqref="O68:O69">
    <cfRule type="cellIs" dxfId="56" priority="53" operator="lessThan">
      <formula>M68</formula>
    </cfRule>
  </conditionalFormatting>
  <conditionalFormatting sqref="O78">
    <cfRule type="cellIs" dxfId="55" priority="55" operator="lessThan">
      <formula>M78</formula>
    </cfRule>
  </conditionalFormatting>
  <conditionalFormatting sqref="O87:O88">
    <cfRule type="cellIs" dxfId="54" priority="54" operator="lessThan">
      <formula>M87</formula>
    </cfRule>
  </conditionalFormatting>
  <conditionalFormatting sqref="O99:O100">
    <cfRule type="cellIs" dxfId="53" priority="47" operator="lessThan">
      <formula>M99</formula>
    </cfRule>
  </conditionalFormatting>
  <conditionalFormatting sqref="O109">
    <cfRule type="cellIs" dxfId="52" priority="49" operator="lessThan">
      <formula>M109</formula>
    </cfRule>
  </conditionalFormatting>
  <conditionalFormatting sqref="O118">
    <cfRule type="cellIs" dxfId="51" priority="48" operator="lessThan">
      <formula>M118</formula>
    </cfRule>
  </conditionalFormatting>
  <conditionalFormatting sqref="O128:O129">
    <cfRule type="cellIs" dxfId="50" priority="41" operator="lessThan">
      <formula>M128</formula>
    </cfRule>
  </conditionalFormatting>
  <conditionalFormatting sqref="O138">
    <cfRule type="cellIs" dxfId="49" priority="43" operator="lessThan">
      <formula>M138</formula>
    </cfRule>
  </conditionalFormatting>
  <conditionalFormatting sqref="O147">
    <cfRule type="cellIs" dxfId="48" priority="42" operator="lessThan">
      <formula>M147</formula>
    </cfRule>
  </conditionalFormatting>
  <conditionalFormatting sqref="O157:O158">
    <cfRule type="cellIs" dxfId="47" priority="35" operator="lessThan">
      <formula>M157</formula>
    </cfRule>
  </conditionalFormatting>
  <conditionalFormatting sqref="O167">
    <cfRule type="cellIs" dxfId="46" priority="37" operator="lessThan">
      <formula>M167</formula>
    </cfRule>
  </conditionalFormatting>
  <conditionalFormatting sqref="O176">
    <cfRule type="cellIs" dxfId="45" priority="36" operator="lessThan">
      <formula>M176</formula>
    </cfRule>
  </conditionalFormatting>
  <conditionalFormatting sqref="O186:O187">
    <cfRule type="cellIs" dxfId="44" priority="29" operator="lessThan">
      <formula>M186</formula>
    </cfRule>
  </conditionalFormatting>
  <conditionalFormatting sqref="O196">
    <cfRule type="cellIs" dxfId="43" priority="31" operator="lessThan">
      <formula>M196</formula>
    </cfRule>
  </conditionalFormatting>
  <conditionalFormatting sqref="O205">
    <cfRule type="cellIs" dxfId="42" priority="30" operator="lessThan">
      <formula>M205</formula>
    </cfRule>
  </conditionalFormatting>
  <dataValidations disablePrompts="1" count="1">
    <dataValidation type="list" allowBlank="1" showInputMessage="1" showErrorMessage="1" sqref="G147 G78:G97 G196 G11 G20 G29 G58 G40 G49 G69 G100 G109 G118 G129 G187 G138 G158 G167 G176 G205" xr:uid="{C73AD1AE-E61B-4546-BD2F-57C2C1B4C73F}">
      <formula1>$N$3:$P$3</formula1>
    </dataValidation>
  </dataValidation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E4C3D-FCDC-418F-BAF4-F690C75BF831}">
  <sheetPr codeName="Hoja2">
    <tabColor rgb="FF00B050"/>
  </sheetPr>
  <dimension ref="A1:AB210"/>
  <sheetViews>
    <sheetView zoomScaleNormal="100" workbookViewId="0">
      <pane xSplit="10" ySplit="7" topLeftCell="K83" activePane="bottomRight" state="frozen"/>
      <selection pane="topRight" activeCell="J1" sqref="J1"/>
      <selection pane="bottomLeft" activeCell="I7" sqref="I7"/>
      <selection pane="bottomRight" activeCell="J1" sqref="J1"/>
    </sheetView>
  </sheetViews>
  <sheetFormatPr baseColWidth="10" defaultColWidth="10.7109375" defaultRowHeight="15" outlineLevelRow="2" outlineLevelCol="1" x14ac:dyDescent="0.2"/>
  <cols>
    <col min="1" max="1" width="8.85546875" style="485" hidden="1" customWidth="1" outlineLevel="1"/>
    <col min="2" max="2" width="13.5703125" style="485" hidden="1" customWidth="1" outlineLevel="1"/>
    <col min="3" max="4" width="6.5703125" style="485" hidden="1" customWidth="1" outlineLevel="1"/>
    <col min="5" max="5" width="11" style="485" hidden="1" customWidth="1" outlineLevel="1"/>
    <col min="6" max="6" width="9.28515625" style="485" hidden="1" customWidth="1" outlineLevel="1"/>
    <col min="7" max="7" width="9.5703125" style="485" hidden="1" customWidth="1" outlineLevel="1"/>
    <col min="8" max="8" width="10.140625" style="488" hidden="1" customWidth="1" outlineLevel="1"/>
    <col min="9" max="9" width="9.140625" style="485" hidden="1" customWidth="1" outlineLevel="1"/>
    <col min="10" max="10" width="3.5703125" style="485" customWidth="1" collapsed="1"/>
    <col min="11" max="11" width="6" style="485" bestFit="1" customWidth="1"/>
    <col min="12" max="12" width="9.85546875" style="485" bestFit="1" customWidth="1"/>
    <col min="13" max="13" width="7.42578125" style="485" bestFit="1" customWidth="1"/>
    <col min="14" max="14" width="12.85546875" style="485" bestFit="1" customWidth="1"/>
    <col min="15" max="15" width="7.85546875" style="485" bestFit="1" customWidth="1"/>
    <col min="16" max="16" width="3.5703125" style="485" customWidth="1"/>
    <col min="17" max="17" width="47" style="487" bestFit="1" customWidth="1"/>
    <col min="18" max="18" width="31.42578125" style="487" customWidth="1"/>
    <col min="19" max="19" width="18.42578125" style="487" customWidth="1"/>
    <col min="20" max="20" width="3.5703125" style="486" customWidth="1"/>
    <col min="21" max="21" width="23.140625" style="485" customWidth="1"/>
    <col min="22" max="22" width="9.5703125" style="485" bestFit="1" customWidth="1"/>
    <col min="23" max="23" width="12.85546875" style="485" bestFit="1" customWidth="1"/>
    <col min="24" max="24" width="1.5703125" style="485" customWidth="1"/>
    <col min="25" max="25" width="30" style="485" bestFit="1" customWidth="1"/>
    <col min="26" max="26" width="20.42578125" style="485" bestFit="1" customWidth="1"/>
    <col min="27" max="27" width="11" style="485" bestFit="1" customWidth="1"/>
    <col min="28" max="28" width="12.5703125" style="485" bestFit="1" customWidth="1"/>
    <col min="29" max="16384" width="10.7109375" style="485"/>
  </cols>
  <sheetData>
    <row r="1" spans="1:28" ht="17.25" x14ac:dyDescent="0.2">
      <c r="K1" s="637" t="s">
        <v>183</v>
      </c>
      <c r="L1" s="637" t="s">
        <v>184</v>
      </c>
      <c r="M1" s="637">
        <v>3</v>
      </c>
    </row>
    <row r="2" spans="1:28" x14ac:dyDescent="0.2">
      <c r="L2" s="485" t="s">
        <v>185</v>
      </c>
      <c r="M2" s="485">
        <v>60000</v>
      </c>
    </row>
    <row r="3" spans="1:28" x14ac:dyDescent="0.2">
      <c r="L3" s="485" t="s">
        <v>186</v>
      </c>
      <c r="M3" s="485">
        <v>630</v>
      </c>
      <c r="N3" s="485">
        <v>650</v>
      </c>
    </row>
    <row r="4" spans="1:28" x14ac:dyDescent="0.2">
      <c r="L4" s="485" t="s">
        <v>187</v>
      </c>
      <c r="M4" s="485">
        <f>M3*M2/100000</f>
        <v>378</v>
      </c>
      <c r="N4" s="485">
        <f>N3*M2/100000</f>
        <v>390</v>
      </c>
    </row>
    <row r="5" spans="1:28" x14ac:dyDescent="0.2">
      <c r="K5" s="616">
        <v>30000</v>
      </c>
      <c r="L5" s="616">
        <v>8</v>
      </c>
      <c r="M5" s="615">
        <f>(K5*12*M3/100000)/(M4*L5)</f>
        <v>0.75</v>
      </c>
      <c r="N5" s="615">
        <f>(K5*12*N3/100000)/(N4*L5)</f>
        <v>0.75</v>
      </c>
    </row>
    <row r="7" spans="1:28" s="488" customFormat="1" x14ac:dyDescent="0.2">
      <c r="A7" s="523" t="s">
        <v>190</v>
      </c>
      <c r="B7" s="523" t="s">
        <v>2</v>
      </c>
      <c r="C7" s="523" t="s">
        <v>3</v>
      </c>
      <c r="D7" s="523" t="s">
        <v>192</v>
      </c>
      <c r="E7" s="523" t="s">
        <v>6</v>
      </c>
      <c r="F7" s="523" t="s">
        <v>186</v>
      </c>
      <c r="G7" s="523" t="s">
        <v>193</v>
      </c>
      <c r="H7" s="523" t="s">
        <v>194</v>
      </c>
      <c r="I7" s="523" t="s">
        <v>187</v>
      </c>
      <c r="K7" s="614" t="s">
        <v>288</v>
      </c>
      <c r="L7" s="613" t="s">
        <v>196</v>
      </c>
      <c r="M7" s="613" t="s">
        <v>191</v>
      </c>
      <c r="N7" s="612" t="s">
        <v>197</v>
      </c>
      <c r="O7" s="611"/>
      <c r="P7" s="611"/>
      <c r="Q7" s="610" t="s">
        <v>198</v>
      </c>
      <c r="R7" s="610" t="s">
        <v>199</v>
      </c>
      <c r="S7" s="609" t="s">
        <v>200</v>
      </c>
      <c r="T7" s="608"/>
      <c r="U7" s="488" t="s">
        <v>201</v>
      </c>
      <c r="V7" s="607" t="s">
        <v>202</v>
      </c>
      <c r="W7" s="607" t="s">
        <v>203</v>
      </c>
      <c r="Y7" s="488" t="s">
        <v>204</v>
      </c>
      <c r="Z7" s="488" t="s">
        <v>205</v>
      </c>
      <c r="AA7" s="488" t="s">
        <v>206</v>
      </c>
      <c r="AB7" s="488" t="s">
        <v>207</v>
      </c>
    </row>
    <row r="8" spans="1:28" s="585" customFormat="1" ht="15.75" x14ac:dyDescent="0.2">
      <c r="A8" s="497">
        <f>$A$9</f>
        <v>8</v>
      </c>
      <c r="B8" s="595">
        <f>B9</f>
        <v>46069</v>
      </c>
      <c r="C8" s="593"/>
      <c r="D8" s="593"/>
      <c r="E8" s="587">
        <f>+E9+E18+E27</f>
        <v>90000</v>
      </c>
      <c r="F8" s="587"/>
      <c r="G8" s="594">
        <f>+G9+G18+G27</f>
        <v>7020</v>
      </c>
      <c r="H8" s="593">
        <f>+H9+H18+H27</f>
        <v>23.5</v>
      </c>
      <c r="I8" s="592">
        <f>+I10+I18+I27</f>
        <v>4992</v>
      </c>
      <c r="J8" s="587"/>
      <c r="K8" s="591"/>
      <c r="L8" s="590">
        <f>SUM(L10:L17,L19:L26,L28:L35)</f>
        <v>7020</v>
      </c>
      <c r="M8" s="589"/>
      <c r="N8" s="565">
        <f>SUM(N10:N17,N19:N26,N28:N35)</f>
        <v>5556.8400000000011</v>
      </c>
      <c r="O8" s="588">
        <f>+N8/L8</f>
        <v>0.79157264957264972</v>
      </c>
      <c r="P8" s="587"/>
      <c r="Q8" s="586"/>
      <c r="R8" s="586"/>
      <c r="S8" s="586"/>
    </row>
    <row r="9" spans="1:28" outlineLevel="1" x14ac:dyDescent="0.2">
      <c r="A9" s="606">
        <v>8</v>
      </c>
      <c r="B9" s="584">
        <v>46069</v>
      </c>
      <c r="C9" s="583" t="s">
        <v>208</v>
      </c>
      <c r="D9" s="583"/>
      <c r="E9" s="548">
        <v>30000</v>
      </c>
      <c r="F9" s="548">
        <v>650</v>
      </c>
      <c r="G9" s="547">
        <f>+E9*12*F9/100000</f>
        <v>2340</v>
      </c>
      <c r="H9" s="546">
        <f>IF(E9="","0",SUM(H10:H17))</f>
        <v>7.5</v>
      </c>
      <c r="I9" s="604">
        <f>SUM(I10:I17)</f>
        <v>2496</v>
      </c>
      <c r="J9" s="545"/>
      <c r="K9" s="636" t="str">
        <f>C9</f>
        <v>T1</v>
      </c>
      <c r="L9" s="582">
        <f>SUM(L10:L17)</f>
        <v>2340</v>
      </c>
      <c r="M9" s="545"/>
      <c r="N9" s="565">
        <f>SUM(N10:N17)</f>
        <v>1623.96</v>
      </c>
      <c r="O9" s="581">
        <f>+N9/L9</f>
        <v>0.69400000000000006</v>
      </c>
      <c r="P9" s="579"/>
      <c r="Q9" s="577"/>
      <c r="R9" s="577"/>
      <c r="S9" s="576"/>
      <c r="T9" s="568"/>
      <c r="U9" s="535"/>
      <c r="V9" s="534"/>
      <c r="W9" s="534"/>
      <c r="Y9" s="534"/>
      <c r="Z9" s="534"/>
      <c r="AA9" s="534"/>
      <c r="AB9" s="533"/>
    </row>
    <row r="10" spans="1:28" outlineLevel="2" x14ac:dyDescent="0.2">
      <c r="A10" s="497">
        <f t="shared" ref="A10:A41" si="0">$A$9</f>
        <v>8</v>
      </c>
      <c r="B10" s="524"/>
      <c r="C10" s="523"/>
      <c r="D10" s="523"/>
      <c r="G10" s="522"/>
      <c r="H10" s="521">
        <v>0.5</v>
      </c>
      <c r="I10" s="596">
        <f>IF(E9=0,"0",G9/H9)</f>
        <v>312</v>
      </c>
      <c r="K10" s="520">
        <v>0.29166666666666669</v>
      </c>
      <c r="L10" s="519">
        <f t="shared" ref="L10:L17" si="1">IF(M10="","",I10*H10)</f>
        <v>156</v>
      </c>
      <c r="M10" s="518">
        <v>0.33333333333333331</v>
      </c>
      <c r="N10" s="516">
        <v>192.91</v>
      </c>
      <c r="O10" s="517">
        <f t="shared" ref="O10:O17" si="2">IF(M10="","",N10/L10)</f>
        <v>1.236602564102564</v>
      </c>
      <c r="P10" s="517"/>
      <c r="Q10" s="580"/>
      <c r="R10" s="574"/>
      <c r="S10" s="573"/>
      <c r="T10" s="568"/>
      <c r="U10" s="513"/>
      <c r="AB10" s="512"/>
    </row>
    <row r="11" spans="1:28" outlineLevel="2" x14ac:dyDescent="0.2">
      <c r="A11" s="497">
        <f t="shared" si="0"/>
        <v>8</v>
      </c>
      <c r="B11" s="524"/>
      <c r="C11" s="523"/>
      <c r="D11" s="523"/>
      <c r="G11" s="522"/>
      <c r="H11" s="521">
        <v>1</v>
      </c>
      <c r="I11" s="596">
        <f>IF(E9=0,"0",G9/H9)</f>
        <v>312</v>
      </c>
      <c r="K11" s="530">
        <f t="shared" ref="K11:K17" si="3">M10</f>
        <v>0.33333333333333331</v>
      </c>
      <c r="L11" s="493">
        <f t="shared" si="1"/>
        <v>312</v>
      </c>
      <c r="M11" s="528">
        <v>0.375</v>
      </c>
      <c r="N11" s="527">
        <v>244.82</v>
      </c>
      <c r="O11" s="526">
        <f t="shared" si="2"/>
        <v>0.78467948717948721</v>
      </c>
      <c r="P11" s="579"/>
      <c r="Q11" s="577"/>
      <c r="R11" s="577"/>
      <c r="S11" s="576"/>
      <c r="T11" s="568"/>
      <c r="U11" s="513"/>
      <c r="AB11" s="512"/>
    </row>
    <row r="12" spans="1:28" outlineLevel="2" x14ac:dyDescent="0.2">
      <c r="A12" s="497">
        <f t="shared" si="0"/>
        <v>8</v>
      </c>
      <c r="B12" s="524"/>
      <c r="C12" s="523"/>
      <c r="D12" s="523"/>
      <c r="G12" s="522"/>
      <c r="H12" s="521">
        <v>1</v>
      </c>
      <c r="I12" s="596">
        <f>IF(E9=0,"0",G9/H9)</f>
        <v>312</v>
      </c>
      <c r="K12" s="520">
        <f t="shared" si="3"/>
        <v>0.375</v>
      </c>
      <c r="L12" s="519">
        <f t="shared" si="1"/>
        <v>312</v>
      </c>
      <c r="M12" s="518">
        <v>0.41666666666666669</v>
      </c>
      <c r="N12" s="516">
        <v>270.63</v>
      </c>
      <c r="O12" s="517">
        <f t="shared" si="2"/>
        <v>0.86740384615384614</v>
      </c>
      <c r="P12" s="517"/>
      <c r="Q12" s="574"/>
      <c r="R12" s="574"/>
      <c r="S12" s="573"/>
      <c r="T12" s="568"/>
      <c r="U12" s="513"/>
      <c r="AB12" s="512"/>
    </row>
    <row r="13" spans="1:28" outlineLevel="2" x14ac:dyDescent="0.2">
      <c r="A13" s="497">
        <f t="shared" si="0"/>
        <v>8</v>
      </c>
      <c r="B13" s="524"/>
      <c r="C13" s="523"/>
      <c r="D13" s="523"/>
      <c r="G13" s="522"/>
      <c r="H13" s="521">
        <v>1</v>
      </c>
      <c r="I13" s="596">
        <f>IF(E9=0,"0",G9/H9)</f>
        <v>312</v>
      </c>
      <c r="K13" s="530">
        <f t="shared" si="3"/>
        <v>0.41666666666666669</v>
      </c>
      <c r="L13" s="493">
        <f t="shared" si="1"/>
        <v>312</v>
      </c>
      <c r="M13" s="528">
        <v>0.45833333333333331</v>
      </c>
      <c r="N13" s="527">
        <v>222.61</v>
      </c>
      <c r="O13" s="526">
        <f t="shared" si="2"/>
        <v>0.71349358974358978</v>
      </c>
      <c r="P13" s="579"/>
      <c r="Q13" s="577"/>
      <c r="R13" s="577"/>
      <c r="S13" s="576"/>
      <c r="T13" s="568"/>
      <c r="U13" s="513"/>
      <c r="AB13" s="512"/>
    </row>
    <row r="14" spans="1:28" outlineLevel="2" x14ac:dyDescent="0.2">
      <c r="A14" s="497">
        <f t="shared" si="0"/>
        <v>8</v>
      </c>
      <c r="B14" s="524"/>
      <c r="C14" s="523"/>
      <c r="D14" s="523"/>
      <c r="G14" s="522"/>
      <c r="H14" s="521">
        <v>1</v>
      </c>
      <c r="I14" s="596">
        <f>IF(E9=0,"0",G9/H9)</f>
        <v>312</v>
      </c>
      <c r="K14" s="520">
        <f t="shared" si="3"/>
        <v>0.45833333333333331</v>
      </c>
      <c r="L14" s="519">
        <f t="shared" si="1"/>
        <v>312</v>
      </c>
      <c r="M14" s="518">
        <v>0.5</v>
      </c>
      <c r="N14" s="516">
        <v>120.46</v>
      </c>
      <c r="O14" s="517">
        <f t="shared" si="2"/>
        <v>0.38608974358974357</v>
      </c>
      <c r="P14" s="517"/>
      <c r="Q14" s="580"/>
      <c r="R14" s="574"/>
      <c r="S14" s="573"/>
      <c r="T14" s="568"/>
      <c r="U14" s="513"/>
      <c r="AB14" s="512"/>
    </row>
    <row r="15" spans="1:28" outlineLevel="2" x14ac:dyDescent="0.2">
      <c r="A15" s="497">
        <f t="shared" si="0"/>
        <v>8</v>
      </c>
      <c r="B15" s="524"/>
      <c r="C15" s="523"/>
      <c r="D15" s="523"/>
      <c r="G15" s="522"/>
      <c r="H15" s="521">
        <v>1</v>
      </c>
      <c r="I15" s="596">
        <f>IF(E9=0,"0",G9/H9)</f>
        <v>312</v>
      </c>
      <c r="K15" s="530">
        <f t="shared" si="3"/>
        <v>0.5</v>
      </c>
      <c r="L15" s="493">
        <f t="shared" si="1"/>
        <v>312</v>
      </c>
      <c r="M15" s="528">
        <v>0.54166666666666663</v>
      </c>
      <c r="N15" s="527">
        <v>177.85</v>
      </c>
      <c r="O15" s="526">
        <f t="shared" si="2"/>
        <v>0.57003205128205126</v>
      </c>
      <c r="P15" s="579"/>
      <c r="Q15" s="605"/>
      <c r="R15" s="577"/>
      <c r="S15" s="576"/>
      <c r="T15" s="568"/>
      <c r="U15" s="513"/>
      <c r="AB15" s="512"/>
    </row>
    <row r="16" spans="1:28" outlineLevel="2" x14ac:dyDescent="0.2">
      <c r="A16" s="497">
        <f t="shared" si="0"/>
        <v>8</v>
      </c>
      <c r="B16" s="524"/>
      <c r="C16" s="523"/>
      <c r="D16" s="523"/>
      <c r="G16" s="522"/>
      <c r="H16" s="521">
        <v>1</v>
      </c>
      <c r="I16" s="596">
        <f>IF(E9=0,"0",G9/H9)</f>
        <v>312</v>
      </c>
      <c r="K16" s="520">
        <f t="shared" si="3"/>
        <v>0.54166666666666663</v>
      </c>
      <c r="L16" s="519">
        <f t="shared" si="1"/>
        <v>312</v>
      </c>
      <c r="M16" s="518">
        <v>0.58333333333333337</v>
      </c>
      <c r="N16" s="516">
        <v>189.4</v>
      </c>
      <c r="O16" s="517">
        <f t="shared" si="2"/>
        <v>0.60705128205128212</v>
      </c>
      <c r="P16" s="517"/>
      <c r="Q16" s="574"/>
      <c r="R16" s="574"/>
      <c r="S16" s="573"/>
      <c r="T16" s="568"/>
      <c r="U16" s="513"/>
      <c r="AB16" s="512"/>
    </row>
    <row r="17" spans="1:28" outlineLevel="2" x14ac:dyDescent="0.2">
      <c r="A17" s="497">
        <f t="shared" si="0"/>
        <v>8</v>
      </c>
      <c r="B17" s="524"/>
      <c r="C17" s="523"/>
      <c r="D17" s="523"/>
      <c r="G17" s="522"/>
      <c r="H17" s="521">
        <v>1</v>
      </c>
      <c r="I17" s="596">
        <f>IF(E9=0,"0",G9/H9)</f>
        <v>312</v>
      </c>
      <c r="K17" s="506">
        <f t="shared" si="3"/>
        <v>0.58333333333333337</v>
      </c>
      <c r="L17" s="493">
        <f t="shared" si="1"/>
        <v>312</v>
      </c>
      <c r="M17" s="505">
        <v>0.625</v>
      </c>
      <c r="N17" s="504">
        <v>205.28</v>
      </c>
      <c r="O17" s="503">
        <f t="shared" si="2"/>
        <v>0.6579487179487179</v>
      </c>
      <c r="P17" s="572"/>
      <c r="Q17" s="571"/>
      <c r="R17" s="570"/>
      <c r="S17" s="569"/>
      <c r="T17" s="568"/>
      <c r="U17" s="500"/>
      <c r="V17" s="499"/>
      <c r="W17" s="499"/>
      <c r="Y17" s="499"/>
      <c r="Z17" s="499"/>
      <c r="AA17" s="499"/>
      <c r="AB17" s="498"/>
    </row>
    <row r="18" spans="1:28" s="545" customFormat="1" outlineLevel="1" x14ac:dyDescent="0.2">
      <c r="A18" s="497">
        <f t="shared" si="0"/>
        <v>8</v>
      </c>
      <c r="B18" s="551">
        <f>B9</f>
        <v>46069</v>
      </c>
      <c r="C18" s="550" t="s">
        <v>210</v>
      </c>
      <c r="D18" s="550"/>
      <c r="E18" s="549">
        <v>30000</v>
      </c>
      <c r="F18" s="548">
        <v>650</v>
      </c>
      <c r="G18" s="547">
        <f>+E18*12*F18/100000</f>
        <v>2340</v>
      </c>
      <c r="H18" s="546">
        <f>IF(E18="","0",SUM(H19:H26))</f>
        <v>8</v>
      </c>
      <c r="I18" s="604">
        <f>SUM(I19:I26)</f>
        <v>2340</v>
      </c>
      <c r="K18" s="567" t="str">
        <f>C18</f>
        <v>T2</v>
      </c>
      <c r="L18" s="566">
        <f>IF(N18=0,"0",SUM(L19:L26))</f>
        <v>2340</v>
      </c>
      <c r="M18" s="563"/>
      <c r="N18" s="565">
        <f>SUM(N19:N26)</f>
        <v>1954.6100000000001</v>
      </c>
      <c r="O18" s="564">
        <f>+N18/L18</f>
        <v>0.83530341880341885</v>
      </c>
      <c r="P18" s="563"/>
      <c r="Q18" s="562"/>
      <c r="R18" s="562"/>
      <c r="S18" s="561"/>
      <c r="T18" s="536"/>
      <c r="U18" s="485"/>
      <c r="V18" s="485"/>
      <c r="W18" s="485"/>
      <c r="X18" s="485"/>
      <c r="Y18" s="485"/>
      <c r="Z18" s="485"/>
      <c r="AA18" s="485"/>
      <c r="AB18" s="537"/>
    </row>
    <row r="19" spans="1:28" s="486" customFormat="1" outlineLevel="2" x14ac:dyDescent="0.2">
      <c r="A19" s="497">
        <f t="shared" si="0"/>
        <v>8</v>
      </c>
      <c r="B19" s="524"/>
      <c r="C19" s="523"/>
      <c r="D19" s="523"/>
      <c r="E19" s="485"/>
      <c r="F19" s="485"/>
      <c r="G19" s="522"/>
      <c r="H19" s="521">
        <v>1</v>
      </c>
      <c r="I19" s="596">
        <f>IF(E18=0,"0",G18/H18)</f>
        <v>292.5</v>
      </c>
      <c r="J19" s="485"/>
      <c r="K19" s="530">
        <v>0.625</v>
      </c>
      <c r="L19" s="493">
        <f t="shared" ref="L19:L26" si="4">IF(M19="","",I19*H19)</f>
        <v>292.5</v>
      </c>
      <c r="M19" s="528">
        <v>0.66666666666666663</v>
      </c>
      <c r="N19" s="527">
        <v>272.57</v>
      </c>
      <c r="O19" s="526">
        <f t="shared" ref="O19:O26" si="5">IF(M19="","",N19/L19)</f>
        <v>0.93186324786324781</v>
      </c>
      <c r="P19" s="485"/>
      <c r="Q19" s="560"/>
      <c r="R19" s="487"/>
      <c r="S19" s="525"/>
      <c r="U19" s="535"/>
      <c r="V19" s="534"/>
      <c r="W19" s="534"/>
      <c r="X19" s="485"/>
      <c r="Y19" s="534"/>
      <c r="Z19" s="534"/>
      <c r="AA19" s="534"/>
      <c r="AB19" s="533"/>
    </row>
    <row r="20" spans="1:28" s="486" customFormat="1" outlineLevel="2" x14ac:dyDescent="0.2">
      <c r="A20" s="497">
        <f t="shared" si="0"/>
        <v>8</v>
      </c>
      <c r="B20" s="524"/>
      <c r="C20" s="523"/>
      <c r="D20" s="523"/>
      <c r="E20" s="485"/>
      <c r="F20" s="485"/>
      <c r="G20" s="522"/>
      <c r="H20" s="521">
        <v>1</v>
      </c>
      <c r="I20" s="596">
        <f>IF(E18=0,"0",G18/H18)</f>
        <v>292.5</v>
      </c>
      <c r="J20" s="485"/>
      <c r="K20" s="520">
        <f t="shared" ref="K20:K26" si="6">M19</f>
        <v>0.66666666666666663</v>
      </c>
      <c r="L20" s="519">
        <f t="shared" si="4"/>
        <v>292.5</v>
      </c>
      <c r="M20" s="518">
        <v>0.70833333333333337</v>
      </c>
      <c r="N20" s="516">
        <v>295.10000000000002</v>
      </c>
      <c r="O20" s="517">
        <f t="shared" si="5"/>
        <v>1.0088888888888889</v>
      </c>
      <c r="P20" s="516"/>
      <c r="Q20" s="559"/>
      <c r="R20" s="515"/>
      <c r="S20" s="514"/>
      <c r="U20" s="513"/>
      <c r="V20" s="485"/>
      <c r="W20" s="485"/>
      <c r="X20" s="485"/>
      <c r="Y20" s="485"/>
      <c r="Z20" s="485"/>
      <c r="AA20" s="485"/>
      <c r="AB20" s="512"/>
    </row>
    <row r="21" spans="1:28" s="486" customFormat="1" outlineLevel="2" x14ac:dyDescent="0.2">
      <c r="A21" s="497">
        <f t="shared" si="0"/>
        <v>8</v>
      </c>
      <c r="B21" s="524"/>
      <c r="C21" s="523"/>
      <c r="D21" s="523"/>
      <c r="E21" s="485"/>
      <c r="F21" s="485"/>
      <c r="G21" s="522"/>
      <c r="H21" s="521">
        <v>1</v>
      </c>
      <c r="I21" s="596">
        <f>IF(E18=0,"0",G18/H18)</f>
        <v>292.5</v>
      </c>
      <c r="J21" s="485"/>
      <c r="K21" s="530">
        <f t="shared" si="6"/>
        <v>0.70833333333333337</v>
      </c>
      <c r="L21" s="493">
        <f t="shared" si="4"/>
        <v>292.5</v>
      </c>
      <c r="M21" s="528">
        <v>0.75</v>
      </c>
      <c r="N21" s="527">
        <v>154.02000000000001</v>
      </c>
      <c r="O21" s="526">
        <f t="shared" si="5"/>
        <v>0.52656410256410258</v>
      </c>
      <c r="P21" s="485"/>
      <c r="Q21" s="487"/>
      <c r="R21" s="487"/>
      <c r="S21" s="525"/>
      <c r="U21" s="513"/>
      <c r="V21" s="485"/>
      <c r="W21" s="485"/>
      <c r="X21" s="485"/>
      <c r="Y21" s="485"/>
      <c r="Z21" s="485"/>
      <c r="AA21" s="485"/>
      <c r="AB21" s="512"/>
    </row>
    <row r="22" spans="1:28" s="486" customFormat="1" outlineLevel="2" x14ac:dyDescent="0.2">
      <c r="A22" s="497">
        <f t="shared" si="0"/>
        <v>8</v>
      </c>
      <c r="B22" s="524"/>
      <c r="C22" s="523"/>
      <c r="D22" s="523"/>
      <c r="E22" s="485"/>
      <c r="F22" s="485"/>
      <c r="G22" s="522"/>
      <c r="H22" s="521">
        <v>1</v>
      </c>
      <c r="I22" s="596">
        <f>IF(E18=0,"0",G18/H18)</f>
        <v>292.5</v>
      </c>
      <c r="J22" s="485"/>
      <c r="K22" s="520">
        <f t="shared" si="6"/>
        <v>0.75</v>
      </c>
      <c r="L22" s="519">
        <f t="shared" si="4"/>
        <v>292.5</v>
      </c>
      <c r="M22" s="518">
        <v>0.79166666666666663</v>
      </c>
      <c r="N22" s="516">
        <v>259.52999999999997</v>
      </c>
      <c r="O22" s="517">
        <f t="shared" si="5"/>
        <v>0.88728205128205118</v>
      </c>
      <c r="P22" s="516"/>
      <c r="Q22" s="558"/>
      <c r="R22" s="515"/>
      <c r="S22" s="514"/>
      <c r="U22" s="513"/>
      <c r="V22" s="485"/>
      <c r="W22" s="485"/>
      <c r="X22" s="485"/>
      <c r="Y22" s="485"/>
      <c r="Z22" s="485"/>
      <c r="AA22" s="485"/>
      <c r="AB22" s="512"/>
    </row>
    <row r="23" spans="1:28" s="486" customFormat="1" outlineLevel="2" x14ac:dyDescent="0.2">
      <c r="A23" s="497">
        <f t="shared" si="0"/>
        <v>8</v>
      </c>
      <c r="B23" s="524"/>
      <c r="C23" s="523"/>
      <c r="D23" s="523"/>
      <c r="E23" s="485"/>
      <c r="F23" s="485"/>
      <c r="G23" s="522"/>
      <c r="H23" s="521">
        <v>1</v>
      </c>
      <c r="I23" s="596">
        <f>IF(E18=0,"0",G18/H18)</f>
        <v>292.5</v>
      </c>
      <c r="J23" s="485"/>
      <c r="K23" s="530">
        <f t="shared" si="6"/>
        <v>0.79166666666666663</v>
      </c>
      <c r="L23" s="493">
        <f t="shared" si="4"/>
        <v>292.5</v>
      </c>
      <c r="M23" s="528">
        <v>0.83333333333333337</v>
      </c>
      <c r="N23" s="527">
        <v>286.64</v>
      </c>
      <c r="O23" s="526">
        <f t="shared" si="5"/>
        <v>0.97996581196581189</v>
      </c>
      <c r="P23" s="485"/>
      <c r="Q23" s="487"/>
      <c r="R23" s="487"/>
      <c r="S23" s="525"/>
      <c r="U23" s="513"/>
      <c r="V23" s="485"/>
      <c r="W23" s="485"/>
      <c r="X23" s="485"/>
      <c r="Y23" s="485"/>
      <c r="Z23" s="485"/>
      <c r="AA23" s="485"/>
      <c r="AB23" s="512"/>
    </row>
    <row r="24" spans="1:28" s="486" customFormat="1" outlineLevel="2" x14ac:dyDescent="0.2">
      <c r="A24" s="497">
        <f t="shared" si="0"/>
        <v>8</v>
      </c>
      <c r="B24" s="524"/>
      <c r="C24" s="523"/>
      <c r="D24" s="523"/>
      <c r="E24" s="485"/>
      <c r="F24" s="485"/>
      <c r="G24" s="522"/>
      <c r="H24" s="521">
        <v>1</v>
      </c>
      <c r="I24" s="596">
        <f>IF(E18=0,"0",G18/H18)</f>
        <v>292.5</v>
      </c>
      <c r="J24" s="485"/>
      <c r="K24" s="520">
        <f t="shared" si="6"/>
        <v>0.83333333333333337</v>
      </c>
      <c r="L24" s="519">
        <f t="shared" si="4"/>
        <v>292.5</v>
      </c>
      <c r="M24" s="518">
        <v>0.875</v>
      </c>
      <c r="N24" s="516">
        <v>209.27</v>
      </c>
      <c r="O24" s="517">
        <f t="shared" si="5"/>
        <v>0.71545299145299146</v>
      </c>
      <c r="P24" s="516"/>
      <c r="Q24" s="515"/>
      <c r="R24" s="515"/>
      <c r="S24" s="514"/>
      <c r="U24" s="513"/>
      <c r="V24" s="485"/>
      <c r="W24" s="485"/>
      <c r="X24" s="485"/>
      <c r="Y24" s="485"/>
      <c r="Z24" s="485"/>
      <c r="AA24" s="485"/>
      <c r="AB24" s="512"/>
    </row>
    <row r="25" spans="1:28" s="486" customFormat="1" outlineLevel="2" x14ac:dyDescent="0.2">
      <c r="A25" s="497">
        <f t="shared" si="0"/>
        <v>8</v>
      </c>
      <c r="B25" s="524"/>
      <c r="C25" s="523"/>
      <c r="D25" s="523"/>
      <c r="E25" s="485"/>
      <c r="F25" s="485"/>
      <c r="G25" s="522"/>
      <c r="H25" s="521">
        <v>1</v>
      </c>
      <c r="I25" s="596">
        <f>IF(E18=0,"0",G18/H18)</f>
        <v>292.5</v>
      </c>
      <c r="J25" s="485"/>
      <c r="K25" s="530">
        <f t="shared" si="6"/>
        <v>0.875</v>
      </c>
      <c r="L25" s="493">
        <f t="shared" si="4"/>
        <v>292.5</v>
      </c>
      <c r="M25" s="528">
        <v>0.91666666666666663</v>
      </c>
      <c r="N25" s="527">
        <v>211.07</v>
      </c>
      <c r="O25" s="526">
        <f t="shared" si="5"/>
        <v>0.72160683760683764</v>
      </c>
      <c r="P25" s="485"/>
      <c r="Q25" s="487"/>
      <c r="R25" s="487"/>
      <c r="S25" s="525"/>
      <c r="U25" s="513"/>
      <c r="V25" s="485"/>
      <c r="W25" s="485"/>
      <c r="X25" s="485"/>
      <c r="Y25" s="485"/>
      <c r="Z25" s="485"/>
      <c r="AA25" s="485"/>
      <c r="AB25" s="512"/>
    </row>
    <row r="26" spans="1:28" s="486" customFormat="1" outlineLevel="2" x14ac:dyDescent="0.2">
      <c r="A26" s="497">
        <f t="shared" si="0"/>
        <v>8</v>
      </c>
      <c r="B26" s="524"/>
      <c r="C26" s="523"/>
      <c r="D26" s="523"/>
      <c r="E26" s="485"/>
      <c r="F26" s="485"/>
      <c r="G26" s="522"/>
      <c r="H26" s="521">
        <v>1</v>
      </c>
      <c r="I26" s="596">
        <f>IF(E18=0,"0",G18/H18)</f>
        <v>292.5</v>
      </c>
      <c r="J26" s="485"/>
      <c r="K26" s="557">
        <f t="shared" si="6"/>
        <v>0.91666666666666663</v>
      </c>
      <c r="L26" s="519">
        <f t="shared" si="4"/>
        <v>292.5</v>
      </c>
      <c r="M26" s="556">
        <v>0.95833333333333337</v>
      </c>
      <c r="N26" s="554">
        <v>266.41000000000003</v>
      </c>
      <c r="O26" s="555">
        <f t="shared" si="5"/>
        <v>0.91080341880341886</v>
      </c>
      <c r="P26" s="554"/>
      <c r="Q26" s="553"/>
      <c r="R26" s="553"/>
      <c r="S26" s="552"/>
      <c r="U26" s="500"/>
      <c r="V26" s="499"/>
      <c r="W26" s="499"/>
      <c r="X26" s="485"/>
      <c r="Y26" s="499"/>
      <c r="Z26" s="499"/>
      <c r="AA26" s="499"/>
      <c r="AB26" s="498"/>
    </row>
    <row r="27" spans="1:28" s="536" customFormat="1" outlineLevel="1" x14ac:dyDescent="0.2">
      <c r="A27" s="497">
        <f t="shared" si="0"/>
        <v>8</v>
      </c>
      <c r="B27" s="551">
        <f>B9</f>
        <v>46069</v>
      </c>
      <c r="C27" s="550" t="s">
        <v>211</v>
      </c>
      <c r="D27" s="550"/>
      <c r="E27" s="549">
        <v>30000</v>
      </c>
      <c r="F27" s="548">
        <v>650</v>
      </c>
      <c r="G27" s="547">
        <f>+E27*12*F27/100000</f>
        <v>2340</v>
      </c>
      <c r="H27" s="546">
        <f>IF(E27="","0",SUM(H28:H35))</f>
        <v>8</v>
      </c>
      <c r="I27" s="604">
        <f>SUM(I28:I35)</f>
        <v>2340</v>
      </c>
      <c r="J27" s="545"/>
      <c r="K27" s="544" t="str">
        <f>C27</f>
        <v>T3</v>
      </c>
      <c r="L27" s="543">
        <f>IF(N27=0,"0",SUM(L28:L35))</f>
        <v>2340</v>
      </c>
      <c r="M27" s="540"/>
      <c r="N27" s="542">
        <f>SUM(N28:N35)</f>
        <v>1978.2699999999998</v>
      </c>
      <c r="O27" s="541">
        <f>+N27/L27</f>
        <v>0.84541452991452981</v>
      </c>
      <c r="P27" s="540"/>
      <c r="Q27" s="539"/>
      <c r="R27" s="539"/>
      <c r="S27" s="538"/>
      <c r="U27" s="485"/>
      <c r="V27" s="485"/>
      <c r="W27" s="485"/>
      <c r="X27" s="485"/>
      <c r="Y27" s="485"/>
      <c r="Z27" s="485"/>
      <c r="AA27" s="485"/>
      <c r="AB27" s="537"/>
    </row>
    <row r="28" spans="1:28" s="486" customFormat="1" outlineLevel="2" x14ac:dyDescent="0.2">
      <c r="A28" s="497">
        <f t="shared" si="0"/>
        <v>8</v>
      </c>
      <c r="B28" s="524"/>
      <c r="C28" s="523"/>
      <c r="D28" s="523"/>
      <c r="E28" s="485"/>
      <c r="F28" s="485"/>
      <c r="G28" s="522"/>
      <c r="H28" s="521">
        <v>1</v>
      </c>
      <c r="I28" s="596">
        <f>IF(E27=0,"0",G27/H27)</f>
        <v>292.5</v>
      </c>
      <c r="J28" s="485"/>
      <c r="K28" s="520">
        <v>0.95833333333333337</v>
      </c>
      <c r="L28" s="519">
        <f t="shared" ref="L28:L35" si="7">IF(M28="","",I28*H28)</f>
        <v>292.5</v>
      </c>
      <c r="M28" s="518">
        <v>0</v>
      </c>
      <c r="N28" s="516">
        <v>107.9</v>
      </c>
      <c r="O28" s="517">
        <f t="shared" ref="O28:O35" si="8">IF(M28="","",N28/L28)</f>
        <v>0.36888888888888893</v>
      </c>
      <c r="P28" s="516"/>
      <c r="Q28" s="515"/>
      <c r="R28" s="515"/>
      <c r="S28" s="514"/>
      <c r="U28" s="535"/>
      <c r="V28" s="534"/>
      <c r="W28" s="534"/>
      <c r="X28" s="485"/>
      <c r="Y28" s="534"/>
      <c r="Z28" s="534"/>
      <c r="AA28" s="534"/>
      <c r="AB28" s="533"/>
    </row>
    <row r="29" spans="1:28" s="486" customFormat="1" outlineLevel="2" x14ac:dyDescent="0.2">
      <c r="A29" s="497">
        <f t="shared" si="0"/>
        <v>8</v>
      </c>
      <c r="B29" s="524"/>
      <c r="C29" s="523"/>
      <c r="D29" s="523"/>
      <c r="E29" s="485"/>
      <c r="F29" s="485"/>
      <c r="G29" s="522"/>
      <c r="H29" s="521">
        <v>1</v>
      </c>
      <c r="I29" s="596">
        <f>IF(E27=0,"0",G27/H27)</f>
        <v>292.5</v>
      </c>
      <c r="J29" s="485"/>
      <c r="K29" s="530">
        <f t="shared" ref="K29:K35" si="9">M28</f>
        <v>0</v>
      </c>
      <c r="L29" s="493">
        <f t="shared" si="7"/>
        <v>292.5</v>
      </c>
      <c r="M29" s="528">
        <v>4.1666666666666664E-2</v>
      </c>
      <c r="N29" s="527">
        <v>225.5</v>
      </c>
      <c r="O29" s="526">
        <f t="shared" si="8"/>
        <v>0.77094017094017098</v>
      </c>
      <c r="P29" s="485"/>
      <c r="Q29" s="532"/>
      <c r="R29" s="487"/>
      <c r="S29" s="525"/>
      <c r="U29" s="513"/>
      <c r="V29" s="485"/>
      <c r="W29" s="485"/>
      <c r="X29" s="485"/>
      <c r="Y29" s="485"/>
      <c r="Z29" s="485"/>
      <c r="AA29" s="485"/>
      <c r="AB29" s="512"/>
    </row>
    <row r="30" spans="1:28" s="486" customFormat="1" outlineLevel="2" x14ac:dyDescent="0.2">
      <c r="A30" s="497">
        <f t="shared" si="0"/>
        <v>8</v>
      </c>
      <c r="B30" s="524"/>
      <c r="C30" s="523"/>
      <c r="D30" s="523"/>
      <c r="E30" s="485"/>
      <c r="F30" s="485"/>
      <c r="G30" s="522"/>
      <c r="H30" s="521">
        <v>1</v>
      </c>
      <c r="I30" s="596">
        <f>IF(E27=0,"0",G27/H27)</f>
        <v>292.5</v>
      </c>
      <c r="J30" s="485"/>
      <c r="K30" s="520">
        <f t="shared" si="9"/>
        <v>4.1666666666666664E-2</v>
      </c>
      <c r="L30" s="519">
        <f t="shared" si="7"/>
        <v>292.5</v>
      </c>
      <c r="M30" s="518">
        <v>8.3333333333333329E-2</v>
      </c>
      <c r="N30" s="516">
        <v>267.18</v>
      </c>
      <c r="O30" s="517">
        <f t="shared" si="8"/>
        <v>0.91343589743589748</v>
      </c>
      <c r="P30" s="516"/>
      <c r="Q30" s="531"/>
      <c r="R30" s="515"/>
      <c r="S30" s="514"/>
      <c r="U30" s="513"/>
      <c r="V30" s="485"/>
      <c r="W30" s="485"/>
      <c r="X30" s="485"/>
      <c r="Y30" s="485"/>
      <c r="Z30" s="485"/>
      <c r="AA30" s="485"/>
      <c r="AB30" s="512"/>
    </row>
    <row r="31" spans="1:28" s="486" customFormat="1" outlineLevel="2" x14ac:dyDescent="0.2">
      <c r="A31" s="497">
        <f t="shared" si="0"/>
        <v>8</v>
      </c>
      <c r="B31" s="524"/>
      <c r="C31" s="523"/>
      <c r="D31" s="523"/>
      <c r="E31" s="485"/>
      <c r="F31" s="485"/>
      <c r="G31" s="522"/>
      <c r="H31" s="521">
        <v>1</v>
      </c>
      <c r="I31" s="596">
        <f>IF(E27=0,"0",G27/H27)</f>
        <v>292.5</v>
      </c>
      <c r="J31" s="485"/>
      <c r="K31" s="530">
        <f t="shared" si="9"/>
        <v>8.3333333333333329E-2</v>
      </c>
      <c r="L31" s="493">
        <f t="shared" si="7"/>
        <v>292.5</v>
      </c>
      <c r="M31" s="528">
        <v>0.125</v>
      </c>
      <c r="N31" s="527">
        <v>238.98</v>
      </c>
      <c r="O31" s="526">
        <f t="shared" si="8"/>
        <v>0.81702564102564101</v>
      </c>
      <c r="P31" s="485"/>
      <c r="Q31" s="532"/>
      <c r="R31" s="487"/>
      <c r="S31" s="525"/>
      <c r="U31" s="513"/>
      <c r="V31" s="485"/>
      <c r="W31" s="485"/>
      <c r="X31" s="485"/>
      <c r="Y31" s="485"/>
      <c r="Z31" s="485"/>
      <c r="AA31" s="485"/>
      <c r="AB31" s="512"/>
    </row>
    <row r="32" spans="1:28" s="486" customFormat="1" outlineLevel="2" x14ac:dyDescent="0.2">
      <c r="A32" s="497">
        <f t="shared" si="0"/>
        <v>8</v>
      </c>
      <c r="B32" s="524"/>
      <c r="C32" s="523"/>
      <c r="D32" s="523"/>
      <c r="E32" s="485"/>
      <c r="F32" s="485"/>
      <c r="G32" s="522"/>
      <c r="H32" s="521">
        <v>1</v>
      </c>
      <c r="I32" s="596">
        <f>IF(E27=0,"0",G27/H27)</f>
        <v>292.5</v>
      </c>
      <c r="J32" s="485"/>
      <c r="K32" s="520">
        <f t="shared" si="9"/>
        <v>0.125</v>
      </c>
      <c r="L32" s="519">
        <f t="shared" si="7"/>
        <v>292.5</v>
      </c>
      <c r="M32" s="518">
        <v>0.16666666666666666</v>
      </c>
      <c r="N32" s="516">
        <v>276.06</v>
      </c>
      <c r="O32" s="517">
        <f t="shared" si="8"/>
        <v>0.94379487179487176</v>
      </c>
      <c r="P32" s="516"/>
      <c r="Q32" s="603"/>
      <c r="R32" s="515"/>
      <c r="S32" s="514"/>
      <c r="U32" s="513"/>
      <c r="V32" s="485"/>
      <c r="W32" s="485"/>
      <c r="X32" s="485"/>
      <c r="Y32" s="485"/>
      <c r="Z32" s="485"/>
      <c r="AA32" s="485"/>
      <c r="AB32" s="512"/>
    </row>
    <row r="33" spans="1:28" s="486" customFormat="1" outlineLevel="2" x14ac:dyDescent="0.2">
      <c r="A33" s="497">
        <f t="shared" si="0"/>
        <v>8</v>
      </c>
      <c r="B33" s="524"/>
      <c r="C33" s="523"/>
      <c r="D33" s="523"/>
      <c r="E33" s="485"/>
      <c r="F33" s="485"/>
      <c r="G33" s="522"/>
      <c r="H33" s="521">
        <v>1</v>
      </c>
      <c r="I33" s="596">
        <f>IF(E27=0,"0",G27/H27)</f>
        <v>292.5</v>
      </c>
      <c r="J33" s="485"/>
      <c r="K33" s="530">
        <f t="shared" si="9"/>
        <v>0.16666666666666666</v>
      </c>
      <c r="L33" s="493">
        <f t="shared" si="7"/>
        <v>292.5</v>
      </c>
      <c r="M33" s="528">
        <v>0.20833333333333334</v>
      </c>
      <c r="N33" s="527">
        <v>311.14</v>
      </c>
      <c r="O33" s="526">
        <f t="shared" si="8"/>
        <v>1.0637264957264956</v>
      </c>
      <c r="P33" s="485"/>
      <c r="Q33" s="560"/>
      <c r="R33" s="487"/>
      <c r="S33" s="525"/>
      <c r="U33" s="513"/>
      <c r="V33" s="485"/>
      <c r="W33" s="485"/>
      <c r="X33" s="485"/>
      <c r="Y33" s="485"/>
      <c r="Z33" s="485"/>
      <c r="AA33" s="485"/>
      <c r="AB33" s="512"/>
    </row>
    <row r="34" spans="1:28" s="486" customFormat="1" outlineLevel="2" x14ac:dyDescent="0.2">
      <c r="A34" s="497">
        <f t="shared" si="0"/>
        <v>8</v>
      </c>
      <c r="B34" s="524"/>
      <c r="C34" s="523"/>
      <c r="D34" s="523"/>
      <c r="E34" s="485"/>
      <c r="F34" s="485"/>
      <c r="G34" s="522"/>
      <c r="H34" s="521">
        <v>1</v>
      </c>
      <c r="I34" s="596">
        <f>IF(E27=0,"0",G27/H27)</f>
        <v>292.5</v>
      </c>
      <c r="J34" s="485"/>
      <c r="K34" s="520">
        <f t="shared" si="9"/>
        <v>0.20833333333333334</v>
      </c>
      <c r="L34" s="519">
        <f t="shared" si="7"/>
        <v>292.5</v>
      </c>
      <c r="M34" s="518">
        <v>0.25</v>
      </c>
      <c r="N34" s="516">
        <v>278.17</v>
      </c>
      <c r="O34" s="517">
        <f t="shared" si="8"/>
        <v>0.95100854700854709</v>
      </c>
      <c r="P34" s="516"/>
      <c r="Q34" s="515"/>
      <c r="R34" s="515"/>
      <c r="S34" s="514"/>
      <c r="U34" s="513"/>
      <c r="V34" s="485"/>
      <c r="W34" s="485"/>
      <c r="X34" s="485"/>
      <c r="Y34" s="485"/>
      <c r="Z34" s="485"/>
      <c r="AA34" s="485"/>
      <c r="AB34" s="512"/>
    </row>
    <row r="35" spans="1:28" s="486" customFormat="1" outlineLevel="2" x14ac:dyDescent="0.2">
      <c r="A35" s="497">
        <f t="shared" si="0"/>
        <v>8</v>
      </c>
      <c r="B35" s="511"/>
      <c r="C35" s="510"/>
      <c r="D35" s="510"/>
      <c r="E35" s="499"/>
      <c r="F35" s="499"/>
      <c r="G35" s="509"/>
      <c r="H35" s="508">
        <v>1</v>
      </c>
      <c r="I35" s="596">
        <f>IF(E27=0,"0",G27/H27)</f>
        <v>292.5</v>
      </c>
      <c r="J35" s="485"/>
      <c r="K35" s="506">
        <f t="shared" si="9"/>
        <v>0.25</v>
      </c>
      <c r="L35" s="638">
        <f t="shared" si="7"/>
        <v>292.5</v>
      </c>
      <c r="M35" s="505">
        <v>0.33333333333333331</v>
      </c>
      <c r="N35" s="504">
        <v>273.33999999999997</v>
      </c>
      <c r="O35" s="503">
        <f t="shared" si="8"/>
        <v>0.93449572649572643</v>
      </c>
      <c r="P35" s="499"/>
      <c r="Q35" s="602"/>
      <c r="R35" s="602"/>
      <c r="S35" s="501"/>
      <c r="U35" s="500"/>
      <c r="V35" s="499"/>
      <c r="W35" s="499"/>
      <c r="X35" s="485"/>
      <c r="Y35" s="499"/>
      <c r="Z35" s="499"/>
      <c r="AA35" s="499"/>
      <c r="AB35" s="498"/>
    </row>
    <row r="36" spans="1:28" s="489" customFormat="1" outlineLevel="1" x14ac:dyDescent="0.2">
      <c r="A36" s="497">
        <f t="shared" si="0"/>
        <v>8</v>
      </c>
      <c r="B36" s="496"/>
      <c r="C36" s="495"/>
      <c r="D36" s="495"/>
      <c r="G36" s="596"/>
      <c r="H36" s="495"/>
      <c r="I36" s="495"/>
      <c r="K36" s="492"/>
      <c r="L36" s="493"/>
      <c r="M36" s="492"/>
      <c r="O36" s="491"/>
      <c r="Q36" s="490"/>
      <c r="R36" s="490"/>
      <c r="S36" s="490"/>
      <c r="T36" s="486"/>
    </row>
    <row r="37" spans="1:28" s="585" customFormat="1" ht="15.75" x14ac:dyDescent="0.2">
      <c r="A37" s="497">
        <f t="shared" si="0"/>
        <v>8</v>
      </c>
      <c r="B37" s="595">
        <f>B38</f>
        <v>46070</v>
      </c>
      <c r="C37" s="593"/>
      <c r="D37" s="593"/>
      <c r="E37" s="587">
        <f>+E38+E47+E56</f>
        <v>90000</v>
      </c>
      <c r="F37" s="587"/>
      <c r="G37" s="594">
        <f>+G38+G47+G56</f>
        <v>7020</v>
      </c>
      <c r="H37" s="593">
        <f>+H38+H47+H56</f>
        <v>23.5</v>
      </c>
      <c r="I37" s="592">
        <f>+I38+I47+I56</f>
        <v>7176</v>
      </c>
      <c r="J37" s="587"/>
      <c r="K37" s="591"/>
      <c r="L37" s="590">
        <f>SUM(L39:L46,L48:L55,L57:L64)</f>
        <v>7020</v>
      </c>
      <c r="M37" s="589"/>
      <c r="N37" s="565">
        <f>SUM(N39:N46,N48:N55,N57:N64)</f>
        <v>6544.48</v>
      </c>
      <c r="O37" s="588">
        <f>+N37/L37</f>
        <v>0.9322621082621082</v>
      </c>
      <c r="P37" s="587"/>
      <c r="Q37" s="586"/>
      <c r="R37" s="586"/>
      <c r="S37" s="586"/>
    </row>
    <row r="38" spans="1:28" outlineLevel="1" x14ac:dyDescent="0.2">
      <c r="A38" s="497">
        <f t="shared" si="0"/>
        <v>8</v>
      </c>
      <c r="B38" s="584">
        <f>+B9+1</f>
        <v>46070</v>
      </c>
      <c r="C38" s="583" t="s">
        <v>208</v>
      </c>
      <c r="D38" s="583"/>
      <c r="E38" s="548">
        <v>30000</v>
      </c>
      <c r="F38" s="548">
        <v>650</v>
      </c>
      <c r="G38" s="547">
        <f>+E38*12*F38/100000</f>
        <v>2340</v>
      </c>
      <c r="H38" s="546">
        <f>IF(E38="","0",SUM(H39:H46))</f>
        <v>7.5</v>
      </c>
      <c r="I38" s="598">
        <f>SUM(I39:I46)</f>
        <v>2496</v>
      </c>
      <c r="J38" s="545"/>
      <c r="K38" s="513" t="str">
        <f>C38</f>
        <v>T1</v>
      </c>
      <c r="L38" s="582">
        <f>SUM(L39:L46)</f>
        <v>2340</v>
      </c>
      <c r="M38" s="545"/>
      <c r="N38" s="565">
        <f>SUM(N39:N46)</f>
        <v>1981.14</v>
      </c>
      <c r="O38" s="581">
        <f>+N38/L38</f>
        <v>0.84664102564102572</v>
      </c>
      <c r="P38" s="579"/>
      <c r="Q38" s="577"/>
      <c r="R38" s="577"/>
      <c r="S38" s="576"/>
      <c r="T38" s="568"/>
      <c r="U38" s="535"/>
      <c r="V38" s="534"/>
      <c r="W38" s="534"/>
      <c r="Y38" s="534"/>
      <c r="Z38" s="534"/>
      <c r="AA38" s="534"/>
      <c r="AB38" s="533"/>
    </row>
    <row r="39" spans="1:28" outlineLevel="2" x14ac:dyDescent="0.2">
      <c r="A39" s="497">
        <f t="shared" si="0"/>
        <v>8</v>
      </c>
      <c r="B39" s="524"/>
      <c r="C39" s="523"/>
      <c r="D39" s="523"/>
      <c r="G39" s="522"/>
      <c r="H39" s="521">
        <v>0.5</v>
      </c>
      <c r="I39" s="507">
        <f>IF(E38=0,"0",G38/H38)</f>
        <v>312</v>
      </c>
      <c r="K39" s="520">
        <v>0.29166666666666669</v>
      </c>
      <c r="L39" s="519">
        <f t="shared" ref="L39:L46" si="10">IF(M39="","",I39*H39)</f>
        <v>156</v>
      </c>
      <c r="M39" s="518">
        <v>0.33333333333333331</v>
      </c>
      <c r="N39" s="516">
        <v>276.86</v>
      </c>
      <c r="O39" s="517">
        <f t="shared" ref="O39:O46" si="11">IF(M39="","",N39/L39)</f>
        <v>1.7747435897435899</v>
      </c>
      <c r="P39" s="517"/>
      <c r="Q39" s="558" t="s">
        <v>212</v>
      </c>
      <c r="R39" s="574" t="s">
        <v>213</v>
      </c>
      <c r="S39" s="573"/>
      <c r="T39" s="568"/>
      <c r="U39" s="513"/>
      <c r="AB39" s="512"/>
    </row>
    <row r="40" spans="1:28" ht="22.5" outlineLevel="2" x14ac:dyDescent="0.2">
      <c r="A40" s="497">
        <f t="shared" si="0"/>
        <v>8</v>
      </c>
      <c r="B40" s="524"/>
      <c r="C40" s="523"/>
      <c r="D40" s="523"/>
      <c r="G40" s="522"/>
      <c r="H40" s="521">
        <v>1</v>
      </c>
      <c r="I40" s="507">
        <f>IF(E38=0,"0",G38/H38)</f>
        <v>312</v>
      </c>
      <c r="K40" s="530">
        <f t="shared" ref="K40:K46" si="12">M39</f>
        <v>0.33333333333333331</v>
      </c>
      <c r="L40" s="493">
        <f t="shared" si="10"/>
        <v>312</v>
      </c>
      <c r="M40" s="528">
        <v>0.375</v>
      </c>
      <c r="N40" s="527">
        <v>198.98</v>
      </c>
      <c r="O40" s="526">
        <f t="shared" si="11"/>
        <v>0.63775641025641028</v>
      </c>
      <c r="P40" s="579"/>
      <c r="Q40" s="578" t="s">
        <v>214</v>
      </c>
      <c r="R40" s="577"/>
      <c r="S40" s="576"/>
      <c r="T40" s="568"/>
      <c r="U40" s="513"/>
      <c r="AB40" s="512"/>
    </row>
    <row r="41" spans="1:28" outlineLevel="2" x14ac:dyDescent="0.2">
      <c r="A41" s="497">
        <f t="shared" si="0"/>
        <v>8</v>
      </c>
      <c r="B41" s="524"/>
      <c r="C41" s="523"/>
      <c r="D41" s="523"/>
      <c r="G41" s="522"/>
      <c r="H41" s="521">
        <v>1</v>
      </c>
      <c r="I41" s="507">
        <f>IF(E38=0,"0",G38/H38)</f>
        <v>312</v>
      </c>
      <c r="K41" s="520">
        <f t="shared" si="12"/>
        <v>0.375</v>
      </c>
      <c r="L41" s="519">
        <f t="shared" si="10"/>
        <v>312</v>
      </c>
      <c r="M41" s="518">
        <v>0.41666666666666669</v>
      </c>
      <c r="N41" s="516">
        <v>228.45</v>
      </c>
      <c r="O41" s="517">
        <f t="shared" si="11"/>
        <v>0.73221153846153841</v>
      </c>
      <c r="P41" s="517"/>
      <c r="Q41" s="575" t="s">
        <v>215</v>
      </c>
      <c r="R41" s="574"/>
      <c r="S41" s="573"/>
      <c r="T41" s="568"/>
      <c r="U41" s="513"/>
      <c r="AB41" s="512"/>
    </row>
    <row r="42" spans="1:28" ht="33.75" outlineLevel="2" x14ac:dyDescent="0.2">
      <c r="A42" s="497">
        <f t="shared" ref="A42:A73" si="13">$A$9</f>
        <v>8</v>
      </c>
      <c r="B42" s="524"/>
      <c r="C42" s="523"/>
      <c r="D42" s="523"/>
      <c r="G42" s="522"/>
      <c r="H42" s="521">
        <v>1</v>
      </c>
      <c r="I42" s="507">
        <f>IF(E38=0,"0",G38/H38)</f>
        <v>312</v>
      </c>
      <c r="K42" s="530">
        <f t="shared" si="12"/>
        <v>0.41666666666666669</v>
      </c>
      <c r="L42" s="493">
        <f t="shared" si="10"/>
        <v>312</v>
      </c>
      <c r="M42" s="528">
        <v>0.45833333333333331</v>
      </c>
      <c r="N42" s="527">
        <v>143.62</v>
      </c>
      <c r="O42" s="526">
        <f t="shared" si="11"/>
        <v>0.46032051282051284</v>
      </c>
      <c r="P42" s="579"/>
      <c r="Q42" s="578" t="s">
        <v>216</v>
      </c>
      <c r="R42" s="577"/>
      <c r="S42" s="576"/>
      <c r="T42" s="568"/>
      <c r="U42" s="513"/>
      <c r="AB42" s="512"/>
    </row>
    <row r="43" spans="1:28" ht="22.5" outlineLevel="2" x14ac:dyDescent="0.2">
      <c r="A43" s="497">
        <f t="shared" si="13"/>
        <v>8</v>
      </c>
      <c r="B43" s="524"/>
      <c r="C43" s="523"/>
      <c r="D43" s="523"/>
      <c r="G43" s="522"/>
      <c r="H43" s="521">
        <v>1</v>
      </c>
      <c r="I43" s="507">
        <f>IF(E38=0,"0",G38/H38)</f>
        <v>312</v>
      </c>
      <c r="K43" s="520">
        <f t="shared" si="12"/>
        <v>0.45833333333333331</v>
      </c>
      <c r="L43" s="519">
        <f t="shared" si="10"/>
        <v>312</v>
      </c>
      <c r="M43" s="518">
        <v>0.5</v>
      </c>
      <c r="N43" s="516">
        <v>300.05</v>
      </c>
      <c r="O43" s="517">
        <f t="shared" si="11"/>
        <v>0.96169871794871797</v>
      </c>
      <c r="P43" s="517"/>
      <c r="Q43" s="575" t="s">
        <v>217</v>
      </c>
      <c r="R43" s="574"/>
      <c r="S43" s="573"/>
      <c r="T43" s="568"/>
      <c r="U43" s="513"/>
      <c r="AB43" s="512"/>
    </row>
    <row r="44" spans="1:28" ht="33.75" outlineLevel="2" x14ac:dyDescent="0.2">
      <c r="A44" s="497">
        <f t="shared" si="13"/>
        <v>8</v>
      </c>
      <c r="B44" s="524"/>
      <c r="C44" s="523"/>
      <c r="D44" s="523"/>
      <c r="G44" s="522"/>
      <c r="H44" s="521">
        <v>1</v>
      </c>
      <c r="I44" s="507">
        <f>IF(E38=0,"0",G38/H38)</f>
        <v>312</v>
      </c>
      <c r="K44" s="530">
        <f t="shared" si="12"/>
        <v>0.5</v>
      </c>
      <c r="L44" s="493">
        <f t="shared" si="10"/>
        <v>312</v>
      </c>
      <c r="M44" s="528">
        <v>0.54166666666666663</v>
      </c>
      <c r="N44" s="527">
        <v>295.67</v>
      </c>
      <c r="O44" s="526">
        <f t="shared" si="11"/>
        <v>0.94766025641025642</v>
      </c>
      <c r="P44" s="579"/>
      <c r="Q44" s="578" t="s">
        <v>218</v>
      </c>
      <c r="R44" s="577" t="s">
        <v>219</v>
      </c>
      <c r="S44" s="576"/>
      <c r="T44" s="568"/>
      <c r="U44" s="513"/>
      <c r="AB44" s="512"/>
    </row>
    <row r="45" spans="1:28" ht="22.5" outlineLevel="2" x14ac:dyDescent="0.2">
      <c r="A45" s="497">
        <f t="shared" si="13"/>
        <v>8</v>
      </c>
      <c r="B45" s="524"/>
      <c r="C45" s="523"/>
      <c r="D45" s="523"/>
      <c r="G45" s="522"/>
      <c r="H45" s="521">
        <v>1</v>
      </c>
      <c r="I45" s="507">
        <f>IF(E38=0,"0",G38/H38)</f>
        <v>312</v>
      </c>
      <c r="K45" s="520">
        <f t="shared" si="12"/>
        <v>0.54166666666666663</v>
      </c>
      <c r="L45" s="519">
        <f t="shared" si="10"/>
        <v>312</v>
      </c>
      <c r="M45" s="518">
        <v>0.58333333333333337</v>
      </c>
      <c r="N45" s="516">
        <v>274.20999999999998</v>
      </c>
      <c r="O45" s="517">
        <f t="shared" si="11"/>
        <v>0.87887820512820503</v>
      </c>
      <c r="P45" s="517"/>
      <c r="Q45" s="575" t="s">
        <v>220</v>
      </c>
      <c r="R45" s="574" t="s">
        <v>219</v>
      </c>
      <c r="S45" s="573"/>
      <c r="T45" s="568"/>
      <c r="U45" s="513"/>
      <c r="AB45" s="512"/>
    </row>
    <row r="46" spans="1:28" outlineLevel="2" x14ac:dyDescent="0.2">
      <c r="A46" s="497">
        <f t="shared" si="13"/>
        <v>8</v>
      </c>
      <c r="B46" s="524"/>
      <c r="C46" s="523"/>
      <c r="D46" s="523"/>
      <c r="G46" s="522"/>
      <c r="H46" s="521">
        <v>1</v>
      </c>
      <c r="I46" s="507">
        <f>IF(E38=0,"0",G38/H38)</f>
        <v>312</v>
      </c>
      <c r="K46" s="506">
        <f t="shared" si="12"/>
        <v>0.58333333333333337</v>
      </c>
      <c r="L46" s="493">
        <f t="shared" si="10"/>
        <v>312</v>
      </c>
      <c r="M46" s="505">
        <v>0.625</v>
      </c>
      <c r="N46" s="504">
        <v>263.3</v>
      </c>
      <c r="O46" s="503">
        <f t="shared" si="11"/>
        <v>0.84391025641025641</v>
      </c>
      <c r="P46" s="572"/>
      <c r="Q46" s="601" t="s">
        <v>221</v>
      </c>
      <c r="R46" s="570"/>
      <c r="S46" s="569"/>
      <c r="T46" s="568"/>
      <c r="U46" s="500"/>
      <c r="V46" s="499"/>
      <c r="W46" s="499"/>
      <c r="Y46" s="499"/>
      <c r="Z46" s="499"/>
      <c r="AA46" s="499"/>
      <c r="AB46" s="498"/>
    </row>
    <row r="47" spans="1:28" s="545" customFormat="1" outlineLevel="1" x14ac:dyDescent="0.2">
      <c r="A47" s="497">
        <f t="shared" si="13"/>
        <v>8</v>
      </c>
      <c r="B47" s="551">
        <f>B38</f>
        <v>46070</v>
      </c>
      <c r="C47" s="550" t="s">
        <v>210</v>
      </c>
      <c r="D47" s="550"/>
      <c r="E47" s="549">
        <v>30000</v>
      </c>
      <c r="F47" s="548">
        <v>650</v>
      </c>
      <c r="G47" s="547">
        <f>+E47*12*F47/100000</f>
        <v>2340</v>
      </c>
      <c r="H47" s="546">
        <f>IF(E47="","0",SUM(H48:H55))</f>
        <v>8</v>
      </c>
      <c r="I47" s="598">
        <f>SUM(I48:I55)</f>
        <v>2340</v>
      </c>
      <c r="K47" s="567" t="str">
        <f>C47</f>
        <v>T2</v>
      </c>
      <c r="L47" s="566">
        <f>IF(N47=0,"0",SUM(L48:L55))</f>
        <v>2340</v>
      </c>
      <c r="M47" s="563"/>
      <c r="N47" s="565">
        <f>SUM(N48:N55)</f>
        <v>2196.33</v>
      </c>
      <c r="O47" s="564">
        <f>+N47/L47</f>
        <v>0.93860256410256404</v>
      </c>
      <c r="P47" s="563"/>
      <c r="Q47" s="562"/>
      <c r="R47" s="562"/>
      <c r="S47" s="561"/>
      <c r="T47" s="536"/>
      <c r="U47" s="485"/>
      <c r="V47" s="485"/>
      <c r="W47" s="485"/>
      <c r="X47" s="485"/>
      <c r="Y47" s="485"/>
      <c r="Z47" s="485"/>
      <c r="AA47" s="485"/>
      <c r="AB47" s="537"/>
    </row>
    <row r="48" spans="1:28" s="486" customFormat="1" ht="45" outlineLevel="2" x14ac:dyDescent="0.2">
      <c r="A48" s="497">
        <f t="shared" si="13"/>
        <v>8</v>
      </c>
      <c r="B48" s="524"/>
      <c r="C48" s="523"/>
      <c r="D48" s="523"/>
      <c r="E48" s="485"/>
      <c r="F48" s="485"/>
      <c r="G48" s="522"/>
      <c r="H48" s="521">
        <v>1</v>
      </c>
      <c r="I48" s="507">
        <f>IF(E47=0,"0",G47/H47)</f>
        <v>292.5</v>
      </c>
      <c r="J48" s="485"/>
      <c r="K48" s="530">
        <v>0.625</v>
      </c>
      <c r="L48" s="493">
        <f t="shared" ref="L48:L55" si="14">IF(M48="","",I48*H48)</f>
        <v>292.5</v>
      </c>
      <c r="M48" s="528">
        <v>0.66666666666666663</v>
      </c>
      <c r="N48" s="527">
        <v>253.54</v>
      </c>
      <c r="O48" s="526">
        <f t="shared" ref="O48:O55" si="15">IF(M48="","",N48/L48)</f>
        <v>0.86680341880341882</v>
      </c>
      <c r="P48" s="485"/>
      <c r="Q48" s="600" t="s">
        <v>222</v>
      </c>
      <c r="R48" s="487"/>
      <c r="S48" s="525"/>
      <c r="U48" s="535"/>
      <c r="V48" s="534"/>
      <c r="W48" s="534"/>
      <c r="X48" s="485"/>
      <c r="Y48" s="534"/>
      <c r="Z48" s="534"/>
      <c r="AA48" s="534"/>
      <c r="AB48" s="533"/>
    </row>
    <row r="49" spans="1:28" s="486" customFormat="1" ht="22.5" outlineLevel="2" x14ac:dyDescent="0.2">
      <c r="A49" s="497">
        <f t="shared" si="13"/>
        <v>8</v>
      </c>
      <c r="B49" s="524"/>
      <c r="C49" s="523"/>
      <c r="D49" s="523"/>
      <c r="E49" s="485"/>
      <c r="F49" s="485"/>
      <c r="G49" s="522"/>
      <c r="H49" s="521">
        <v>1</v>
      </c>
      <c r="I49" s="507">
        <f>IF(E47=0,"0",G47/H47)</f>
        <v>292.5</v>
      </c>
      <c r="J49" s="485"/>
      <c r="K49" s="520">
        <f t="shared" ref="K49:K55" si="16">M48</f>
        <v>0.66666666666666663</v>
      </c>
      <c r="L49" s="519">
        <f t="shared" si="14"/>
        <v>292.5</v>
      </c>
      <c r="M49" s="518">
        <v>0.70833333333333337</v>
      </c>
      <c r="N49" s="516">
        <v>204.98</v>
      </c>
      <c r="O49" s="517">
        <f t="shared" si="15"/>
        <v>0.70078632478632474</v>
      </c>
      <c r="P49" s="516"/>
      <c r="Q49" s="599" t="s">
        <v>223</v>
      </c>
      <c r="R49" s="515" t="s">
        <v>224</v>
      </c>
      <c r="S49" s="514"/>
      <c r="U49" s="513"/>
      <c r="V49" s="485"/>
      <c r="W49" s="485"/>
      <c r="X49" s="485"/>
      <c r="Y49" s="485"/>
      <c r="Z49" s="485"/>
      <c r="AA49" s="485"/>
      <c r="AB49" s="512"/>
    </row>
    <row r="50" spans="1:28" s="486" customFormat="1" outlineLevel="2" x14ac:dyDescent="0.2">
      <c r="A50" s="497">
        <f t="shared" si="13"/>
        <v>8</v>
      </c>
      <c r="B50" s="524"/>
      <c r="C50" s="523"/>
      <c r="D50" s="523"/>
      <c r="E50" s="485"/>
      <c r="F50" s="485"/>
      <c r="G50" s="522"/>
      <c r="H50" s="521">
        <v>1</v>
      </c>
      <c r="I50" s="507">
        <f>IF(E47=0,"0",G47/H47)</f>
        <v>292.5</v>
      </c>
      <c r="J50" s="485"/>
      <c r="K50" s="530">
        <f t="shared" si="16"/>
        <v>0.70833333333333337</v>
      </c>
      <c r="L50" s="493">
        <f t="shared" si="14"/>
        <v>292.5</v>
      </c>
      <c r="M50" s="528">
        <v>0.75</v>
      </c>
      <c r="N50" s="527">
        <v>300.58999999999997</v>
      </c>
      <c r="O50" s="526">
        <f t="shared" si="15"/>
        <v>1.0276581196581196</v>
      </c>
      <c r="P50" s="485"/>
      <c r="Q50" s="532"/>
      <c r="R50" s="487"/>
      <c r="S50" s="525"/>
      <c r="U50" s="513"/>
      <c r="V50" s="485"/>
      <c r="W50" s="485"/>
      <c r="X50" s="485"/>
      <c r="Y50" s="485"/>
      <c r="Z50" s="485"/>
      <c r="AA50" s="485"/>
      <c r="AB50" s="512"/>
    </row>
    <row r="51" spans="1:28" s="486" customFormat="1" ht="33.75" outlineLevel="2" x14ac:dyDescent="0.2">
      <c r="A51" s="497">
        <f t="shared" si="13"/>
        <v>8</v>
      </c>
      <c r="B51" s="524"/>
      <c r="C51" s="523"/>
      <c r="D51" s="523"/>
      <c r="E51" s="485"/>
      <c r="F51" s="485"/>
      <c r="G51" s="522"/>
      <c r="H51" s="521">
        <v>1</v>
      </c>
      <c r="I51" s="507">
        <f>IF(E47=0,"0",G47/H47)</f>
        <v>292.5</v>
      </c>
      <c r="J51" s="485"/>
      <c r="K51" s="520">
        <f t="shared" si="16"/>
        <v>0.75</v>
      </c>
      <c r="L51" s="519">
        <f t="shared" si="14"/>
        <v>292.5</v>
      </c>
      <c r="M51" s="518">
        <v>0.79166666666666663</v>
      </c>
      <c r="N51" s="516">
        <v>270.66000000000003</v>
      </c>
      <c r="O51" s="517">
        <f t="shared" si="15"/>
        <v>0.92533333333333345</v>
      </c>
      <c r="P51" s="516"/>
      <c r="Q51" s="558" t="s">
        <v>225</v>
      </c>
      <c r="R51" s="515"/>
      <c r="S51" s="514"/>
      <c r="U51" s="513"/>
      <c r="V51" s="485"/>
      <c r="W51" s="485"/>
      <c r="X51" s="485"/>
      <c r="Y51" s="485"/>
      <c r="Z51" s="485"/>
      <c r="AA51" s="485"/>
      <c r="AB51" s="512"/>
    </row>
    <row r="52" spans="1:28" s="486" customFormat="1" outlineLevel="2" x14ac:dyDescent="0.2">
      <c r="A52" s="497">
        <f t="shared" si="13"/>
        <v>8</v>
      </c>
      <c r="B52" s="524"/>
      <c r="C52" s="523"/>
      <c r="D52" s="523"/>
      <c r="E52" s="485"/>
      <c r="F52" s="485"/>
      <c r="G52" s="522"/>
      <c r="H52" s="521">
        <v>1</v>
      </c>
      <c r="I52" s="507">
        <f>IF(E47=0,"0",G47/H47)</f>
        <v>292.5</v>
      </c>
      <c r="J52" s="485"/>
      <c r="K52" s="530">
        <f t="shared" si="16"/>
        <v>0.79166666666666663</v>
      </c>
      <c r="L52" s="493">
        <f t="shared" si="14"/>
        <v>292.5</v>
      </c>
      <c r="M52" s="528">
        <v>0.83333333333333337</v>
      </c>
      <c r="N52" s="527">
        <v>263.24</v>
      </c>
      <c r="O52" s="526">
        <f t="shared" si="15"/>
        <v>0.89996581196581205</v>
      </c>
      <c r="P52" s="485"/>
      <c r="Q52" s="487" t="s">
        <v>226</v>
      </c>
      <c r="R52" s="487"/>
      <c r="S52" s="525"/>
      <c r="U52" s="513"/>
      <c r="V52" s="485"/>
      <c r="W52" s="485"/>
      <c r="X52" s="485"/>
      <c r="Y52" s="485"/>
      <c r="Z52" s="485"/>
      <c r="AA52" s="485"/>
      <c r="AB52" s="512"/>
    </row>
    <row r="53" spans="1:28" s="486" customFormat="1" ht="22.5" outlineLevel="2" x14ac:dyDescent="0.2">
      <c r="A53" s="497">
        <f t="shared" si="13"/>
        <v>8</v>
      </c>
      <c r="B53" s="524"/>
      <c r="C53" s="523"/>
      <c r="D53" s="523"/>
      <c r="E53" s="485"/>
      <c r="F53" s="485"/>
      <c r="G53" s="522"/>
      <c r="H53" s="521">
        <v>1</v>
      </c>
      <c r="I53" s="507">
        <f>IF(E47=0,"0",G47/H47)</f>
        <v>292.5</v>
      </c>
      <c r="J53" s="485"/>
      <c r="K53" s="520">
        <f t="shared" si="16"/>
        <v>0.83333333333333337</v>
      </c>
      <c r="L53" s="519">
        <f t="shared" si="14"/>
        <v>292.5</v>
      </c>
      <c r="M53" s="518">
        <v>0.875</v>
      </c>
      <c r="N53" s="516">
        <v>323</v>
      </c>
      <c r="O53" s="517">
        <f t="shared" si="15"/>
        <v>1.1042735042735043</v>
      </c>
      <c r="P53" s="516"/>
      <c r="Q53" s="531" t="s">
        <v>227</v>
      </c>
      <c r="R53" s="515"/>
      <c r="S53" s="514"/>
      <c r="U53" s="513"/>
      <c r="V53" s="485"/>
      <c r="W53" s="485"/>
      <c r="X53" s="485"/>
      <c r="Y53" s="485"/>
      <c r="Z53" s="485"/>
      <c r="AA53" s="485"/>
      <c r="AB53" s="512"/>
    </row>
    <row r="54" spans="1:28" s="486" customFormat="1" ht="22.5" outlineLevel="2" x14ac:dyDescent="0.2">
      <c r="A54" s="497">
        <f t="shared" si="13"/>
        <v>8</v>
      </c>
      <c r="B54" s="524"/>
      <c r="C54" s="523"/>
      <c r="D54" s="523"/>
      <c r="E54" s="485"/>
      <c r="F54" s="485"/>
      <c r="G54" s="522"/>
      <c r="H54" s="521">
        <v>1</v>
      </c>
      <c r="I54" s="507">
        <f>IF(E47=0,"0",G47/H47)</f>
        <v>292.5</v>
      </c>
      <c r="J54" s="485"/>
      <c r="K54" s="530">
        <f t="shared" si="16"/>
        <v>0.875</v>
      </c>
      <c r="L54" s="493">
        <f t="shared" si="14"/>
        <v>292.5</v>
      </c>
      <c r="M54" s="528">
        <v>0.91666666666666663</v>
      </c>
      <c r="N54" s="527">
        <v>306.27999999999997</v>
      </c>
      <c r="O54" s="526">
        <f t="shared" si="15"/>
        <v>1.0471111111111111</v>
      </c>
      <c r="P54" s="485"/>
      <c r="Q54" s="532" t="s">
        <v>228</v>
      </c>
      <c r="R54" s="487"/>
      <c r="S54" s="525"/>
      <c r="U54" s="513"/>
      <c r="V54" s="485"/>
      <c r="W54" s="485"/>
      <c r="X54" s="485"/>
      <c r="Y54" s="485"/>
      <c r="Z54" s="485"/>
      <c r="AA54" s="485"/>
      <c r="AB54" s="512"/>
    </row>
    <row r="55" spans="1:28" s="486" customFormat="1" outlineLevel="2" x14ac:dyDescent="0.2">
      <c r="A55" s="497">
        <f t="shared" si="13"/>
        <v>8</v>
      </c>
      <c r="B55" s="524"/>
      <c r="C55" s="523"/>
      <c r="D55" s="523"/>
      <c r="E55" s="485"/>
      <c r="F55" s="485"/>
      <c r="G55" s="522"/>
      <c r="H55" s="521">
        <v>1</v>
      </c>
      <c r="I55" s="507">
        <f>IF(E47=0,"0",G47/H47)</f>
        <v>292.5</v>
      </c>
      <c r="J55" s="485"/>
      <c r="K55" s="557">
        <f t="shared" si="16"/>
        <v>0.91666666666666663</v>
      </c>
      <c r="L55" s="519">
        <f t="shared" si="14"/>
        <v>292.5</v>
      </c>
      <c r="M55" s="556">
        <v>0.95833333333333337</v>
      </c>
      <c r="N55" s="554">
        <v>274.04000000000002</v>
      </c>
      <c r="O55" s="555">
        <f t="shared" si="15"/>
        <v>0.93688888888888899</v>
      </c>
      <c r="P55" s="554"/>
      <c r="Q55" s="553" t="s">
        <v>229</v>
      </c>
      <c r="R55" s="553"/>
      <c r="S55" s="552"/>
      <c r="U55" s="500"/>
      <c r="V55" s="499"/>
      <c r="W55" s="499"/>
      <c r="X55" s="485"/>
      <c r="Y55" s="499"/>
      <c r="Z55" s="499"/>
      <c r="AA55" s="499"/>
      <c r="AB55" s="498"/>
    </row>
    <row r="56" spans="1:28" s="536" customFormat="1" outlineLevel="1" x14ac:dyDescent="0.2">
      <c r="A56" s="497">
        <f t="shared" si="13"/>
        <v>8</v>
      </c>
      <c r="B56" s="551">
        <f>B38</f>
        <v>46070</v>
      </c>
      <c r="C56" s="550" t="s">
        <v>211</v>
      </c>
      <c r="D56" s="550"/>
      <c r="E56" s="549">
        <v>30000</v>
      </c>
      <c r="F56" s="548">
        <v>650</v>
      </c>
      <c r="G56" s="547">
        <f>+E56*12*F56/100000</f>
        <v>2340</v>
      </c>
      <c r="H56" s="546">
        <f>IF(E56="","0",SUM(H57:H64))</f>
        <v>8</v>
      </c>
      <c r="I56" s="598">
        <f>SUM(I57:I64)</f>
        <v>2340</v>
      </c>
      <c r="J56" s="545"/>
      <c r="K56" s="544" t="str">
        <f>C56</f>
        <v>T3</v>
      </c>
      <c r="L56" s="543">
        <f>IF(N56=0,"0",SUM(L57:L64))</f>
        <v>2340</v>
      </c>
      <c r="M56" s="540"/>
      <c r="N56" s="542">
        <f>SUM(N57:N64)</f>
        <v>2367.0099999999998</v>
      </c>
      <c r="O56" s="541">
        <f>+N56/L56</f>
        <v>1.0115427350427348</v>
      </c>
      <c r="P56" s="540"/>
      <c r="Q56" s="539"/>
      <c r="R56" s="539"/>
      <c r="S56" s="538"/>
      <c r="U56" s="485"/>
      <c r="V56" s="485"/>
      <c r="W56" s="485"/>
      <c r="X56" s="485"/>
      <c r="Y56" s="485"/>
      <c r="Z56" s="485"/>
      <c r="AA56" s="485"/>
      <c r="AB56" s="537"/>
    </row>
    <row r="57" spans="1:28" s="486" customFormat="1" outlineLevel="2" x14ac:dyDescent="0.2">
      <c r="A57" s="497">
        <f t="shared" si="13"/>
        <v>8</v>
      </c>
      <c r="B57" s="524"/>
      <c r="C57" s="523"/>
      <c r="D57" s="523"/>
      <c r="E57" s="485"/>
      <c r="F57" s="485"/>
      <c r="G57" s="522"/>
      <c r="H57" s="521">
        <v>1</v>
      </c>
      <c r="I57" s="507">
        <f>IF(E56=0,"0",G56/H56)</f>
        <v>292.5</v>
      </c>
      <c r="J57" s="485"/>
      <c r="K57" s="520">
        <v>0.95833333333333337</v>
      </c>
      <c r="L57" s="519">
        <f t="shared" ref="L57:L64" si="17">IF(M57="","",I57*H57)</f>
        <v>292.5</v>
      </c>
      <c r="M57" s="518">
        <v>0</v>
      </c>
      <c r="N57" s="516">
        <v>281.27999999999997</v>
      </c>
      <c r="O57" s="517">
        <f t="shared" ref="O57:O64" si="18">IF(M57="","",N57/L57)</f>
        <v>0.96164102564102549</v>
      </c>
      <c r="P57" s="516"/>
      <c r="Q57" s="515"/>
      <c r="R57" s="515"/>
      <c r="S57" s="514"/>
      <c r="U57" s="535"/>
      <c r="V57" s="534"/>
      <c r="W57" s="534"/>
      <c r="X57" s="485"/>
      <c r="Y57" s="534"/>
      <c r="Z57" s="534"/>
      <c r="AA57" s="534"/>
      <c r="AB57" s="533"/>
    </row>
    <row r="58" spans="1:28" s="486" customFormat="1" outlineLevel="2" x14ac:dyDescent="0.2">
      <c r="A58" s="497">
        <f t="shared" si="13"/>
        <v>8</v>
      </c>
      <c r="B58" s="524"/>
      <c r="C58" s="523"/>
      <c r="D58" s="523"/>
      <c r="E58" s="485"/>
      <c r="F58" s="485"/>
      <c r="G58" s="522"/>
      <c r="H58" s="521">
        <v>1</v>
      </c>
      <c r="I58" s="507">
        <f>IF(E56=0,"0",G56/H56)</f>
        <v>292.5</v>
      </c>
      <c r="J58" s="485"/>
      <c r="K58" s="530">
        <f t="shared" ref="K58:K64" si="19">M57</f>
        <v>0</v>
      </c>
      <c r="L58" s="493">
        <f t="shared" si="17"/>
        <v>292.5</v>
      </c>
      <c r="M58" s="528">
        <v>4.1666666666666664E-2</v>
      </c>
      <c r="N58" s="527">
        <v>295.83999999999997</v>
      </c>
      <c r="O58" s="526">
        <f t="shared" si="18"/>
        <v>1.0114188034188034</v>
      </c>
      <c r="P58" s="485"/>
      <c r="Q58" s="532" t="s">
        <v>230</v>
      </c>
      <c r="R58" s="487"/>
      <c r="S58" s="525"/>
      <c r="U58" s="513"/>
      <c r="V58" s="485"/>
      <c r="W58" s="485"/>
      <c r="X58" s="485"/>
      <c r="Y58" s="485"/>
      <c r="Z58" s="485"/>
      <c r="AA58" s="485"/>
      <c r="AB58" s="512"/>
    </row>
    <row r="59" spans="1:28" s="486" customFormat="1" ht="22.5" outlineLevel="2" x14ac:dyDescent="0.2">
      <c r="A59" s="497">
        <f t="shared" si="13"/>
        <v>8</v>
      </c>
      <c r="B59" s="524"/>
      <c r="C59" s="523"/>
      <c r="D59" s="523"/>
      <c r="E59" s="485"/>
      <c r="F59" s="485"/>
      <c r="G59" s="522"/>
      <c r="H59" s="521">
        <v>1</v>
      </c>
      <c r="I59" s="507">
        <f>IF(E56=0,"0",G56/H56)</f>
        <v>292.5</v>
      </c>
      <c r="J59" s="485"/>
      <c r="K59" s="520">
        <f t="shared" si="19"/>
        <v>4.1666666666666664E-2</v>
      </c>
      <c r="L59" s="519">
        <f t="shared" si="17"/>
        <v>292.5</v>
      </c>
      <c r="M59" s="518">
        <v>8.3333333333333329E-2</v>
      </c>
      <c r="N59" s="516">
        <v>298.70999999999998</v>
      </c>
      <c r="O59" s="517">
        <f t="shared" si="18"/>
        <v>1.0212307692307692</v>
      </c>
      <c r="P59" s="516"/>
      <c r="Q59" s="531" t="s">
        <v>231</v>
      </c>
      <c r="R59" s="515"/>
      <c r="S59" s="514"/>
      <c r="U59" s="513"/>
      <c r="V59" s="485"/>
      <c r="W59" s="485"/>
      <c r="X59" s="485"/>
      <c r="Y59" s="485"/>
      <c r="Z59" s="485"/>
      <c r="AA59" s="485"/>
      <c r="AB59" s="512"/>
    </row>
    <row r="60" spans="1:28" s="486" customFormat="1" outlineLevel="2" x14ac:dyDescent="0.2">
      <c r="A60" s="497">
        <f t="shared" si="13"/>
        <v>8</v>
      </c>
      <c r="B60" s="524"/>
      <c r="C60" s="523"/>
      <c r="D60" s="523"/>
      <c r="E60" s="485"/>
      <c r="F60" s="485"/>
      <c r="G60" s="522"/>
      <c r="H60" s="521">
        <v>1</v>
      </c>
      <c r="I60" s="507">
        <f>IF(E56=0,"0",G56/H56)</f>
        <v>292.5</v>
      </c>
      <c r="J60" s="485"/>
      <c r="K60" s="530">
        <f t="shared" si="19"/>
        <v>8.3333333333333329E-2</v>
      </c>
      <c r="L60" s="493">
        <f t="shared" si="17"/>
        <v>292.5</v>
      </c>
      <c r="M60" s="528">
        <v>0.125</v>
      </c>
      <c r="N60" s="527">
        <v>302.87</v>
      </c>
      <c r="O60" s="526">
        <f t="shared" si="18"/>
        <v>1.0354529914529915</v>
      </c>
      <c r="P60" s="485"/>
      <c r="Q60" s="560" t="s">
        <v>232</v>
      </c>
      <c r="R60" s="487"/>
      <c r="S60" s="525"/>
      <c r="U60" s="513"/>
      <c r="V60" s="485"/>
      <c r="W60" s="485"/>
      <c r="X60" s="485"/>
      <c r="Y60" s="485"/>
      <c r="Z60" s="485"/>
      <c r="AA60" s="485"/>
      <c r="AB60" s="512"/>
    </row>
    <row r="61" spans="1:28" s="486" customFormat="1" outlineLevel="2" x14ac:dyDescent="0.2">
      <c r="A61" s="497">
        <f t="shared" si="13"/>
        <v>8</v>
      </c>
      <c r="B61" s="524"/>
      <c r="C61" s="523"/>
      <c r="D61" s="523"/>
      <c r="E61" s="485"/>
      <c r="F61" s="485"/>
      <c r="G61" s="522"/>
      <c r="H61" s="521">
        <v>1</v>
      </c>
      <c r="I61" s="507">
        <f>IF(E56=0,"0",G56/H56)</f>
        <v>292.5</v>
      </c>
      <c r="J61" s="485"/>
      <c r="K61" s="520">
        <f t="shared" si="19"/>
        <v>0.125</v>
      </c>
      <c r="L61" s="519">
        <f t="shared" si="17"/>
        <v>292.5</v>
      </c>
      <c r="M61" s="518">
        <v>0.16666666666666666</v>
      </c>
      <c r="N61" s="516">
        <v>298.42</v>
      </c>
      <c r="O61" s="517">
        <f t="shared" si="18"/>
        <v>1.0202393162393162</v>
      </c>
      <c r="P61" s="516"/>
      <c r="Q61" s="597" t="s">
        <v>232</v>
      </c>
      <c r="R61" s="515"/>
      <c r="S61" s="514"/>
      <c r="U61" s="513"/>
      <c r="V61" s="485"/>
      <c r="W61" s="485"/>
      <c r="X61" s="485"/>
      <c r="Y61" s="485"/>
      <c r="Z61" s="485"/>
      <c r="AA61" s="485"/>
      <c r="AB61" s="512"/>
    </row>
    <row r="62" spans="1:28" s="486" customFormat="1" outlineLevel="2" x14ac:dyDescent="0.2">
      <c r="A62" s="497">
        <f t="shared" si="13"/>
        <v>8</v>
      </c>
      <c r="B62" s="524"/>
      <c r="C62" s="523"/>
      <c r="D62" s="523"/>
      <c r="E62" s="485"/>
      <c r="F62" s="485"/>
      <c r="G62" s="522"/>
      <c r="H62" s="521">
        <v>1</v>
      </c>
      <c r="I62" s="507">
        <f>IF(E56=0,"0",G56/H56)</f>
        <v>292.5</v>
      </c>
      <c r="J62" s="485"/>
      <c r="K62" s="530">
        <f t="shared" si="19"/>
        <v>0.16666666666666666</v>
      </c>
      <c r="L62" s="493">
        <f t="shared" si="17"/>
        <v>292.5</v>
      </c>
      <c r="M62" s="528">
        <v>0.20833333333333334</v>
      </c>
      <c r="N62" s="527">
        <v>297.74</v>
      </c>
      <c r="O62" s="526">
        <f t="shared" si="18"/>
        <v>1.01791452991453</v>
      </c>
      <c r="P62" s="485"/>
      <c r="Q62" s="560" t="s">
        <v>232</v>
      </c>
      <c r="R62" s="487"/>
      <c r="S62" s="525"/>
      <c r="U62" s="513"/>
      <c r="V62" s="485"/>
      <c r="W62" s="485"/>
      <c r="X62" s="485"/>
      <c r="Y62" s="485"/>
      <c r="Z62" s="485"/>
      <c r="AA62" s="485"/>
      <c r="AB62" s="512"/>
    </row>
    <row r="63" spans="1:28" s="486" customFormat="1" outlineLevel="2" x14ac:dyDescent="0.2">
      <c r="A63" s="497">
        <f t="shared" si="13"/>
        <v>8</v>
      </c>
      <c r="B63" s="524"/>
      <c r="C63" s="523"/>
      <c r="D63" s="523"/>
      <c r="E63" s="485"/>
      <c r="F63" s="485"/>
      <c r="G63" s="522"/>
      <c r="H63" s="521">
        <v>1</v>
      </c>
      <c r="I63" s="507">
        <f>IF(E56=0,"0",G56/H56)</f>
        <v>292.5</v>
      </c>
      <c r="J63" s="485"/>
      <c r="K63" s="520">
        <f t="shared" si="19"/>
        <v>0.20833333333333334</v>
      </c>
      <c r="L63" s="519">
        <f t="shared" si="17"/>
        <v>292.5</v>
      </c>
      <c r="M63" s="518">
        <v>0.25</v>
      </c>
      <c r="N63" s="516">
        <v>270.04000000000002</v>
      </c>
      <c r="O63" s="517">
        <f t="shared" si="18"/>
        <v>0.92321367521367526</v>
      </c>
      <c r="P63" s="516"/>
      <c r="Q63" s="515"/>
      <c r="R63" s="515"/>
      <c r="S63" s="514"/>
      <c r="U63" s="513"/>
      <c r="V63" s="485"/>
      <c r="W63" s="485"/>
      <c r="X63" s="485"/>
      <c r="Y63" s="485"/>
      <c r="Z63" s="485"/>
      <c r="AA63" s="485"/>
      <c r="AB63" s="512"/>
    </row>
    <row r="64" spans="1:28" s="486" customFormat="1" outlineLevel="2" x14ac:dyDescent="0.2">
      <c r="A64" s="497">
        <f t="shared" si="13"/>
        <v>8</v>
      </c>
      <c r="B64" s="511"/>
      <c r="C64" s="510"/>
      <c r="D64" s="510"/>
      <c r="E64" s="499"/>
      <c r="F64" s="499"/>
      <c r="G64" s="509"/>
      <c r="H64" s="508">
        <v>1</v>
      </c>
      <c r="I64" s="507">
        <f>IF(E56=0,"0",G56/H56)</f>
        <v>292.5</v>
      </c>
      <c r="J64" s="485"/>
      <c r="K64" s="506">
        <f t="shared" si="19"/>
        <v>0.25</v>
      </c>
      <c r="L64" s="638">
        <f t="shared" si="17"/>
        <v>292.5</v>
      </c>
      <c r="M64" s="505">
        <v>0.33333333333333331</v>
      </c>
      <c r="N64" s="504">
        <v>322.11</v>
      </c>
      <c r="O64" s="503">
        <f t="shared" si="18"/>
        <v>1.1012307692307692</v>
      </c>
      <c r="P64" s="499"/>
      <c r="Q64" s="502" t="s">
        <v>233</v>
      </c>
      <c r="R64" s="502"/>
      <c r="S64" s="501"/>
      <c r="U64" s="500"/>
      <c r="V64" s="499"/>
      <c r="W64" s="499"/>
      <c r="X64" s="485"/>
      <c r="Y64" s="499"/>
      <c r="Z64" s="499"/>
      <c r="AA64" s="499"/>
      <c r="AB64" s="498"/>
    </row>
    <row r="65" spans="1:28" s="489" customFormat="1" outlineLevel="1" x14ac:dyDescent="0.2">
      <c r="A65" s="497">
        <f t="shared" si="13"/>
        <v>8</v>
      </c>
      <c r="B65" s="496"/>
      <c r="C65" s="495"/>
      <c r="D65" s="495"/>
      <c r="G65" s="596"/>
      <c r="H65" s="495"/>
      <c r="I65" s="494"/>
      <c r="K65" s="492"/>
      <c r="L65" s="493"/>
      <c r="M65" s="492"/>
      <c r="O65" s="491"/>
      <c r="Q65" s="490"/>
      <c r="R65" s="490"/>
      <c r="S65" s="490"/>
      <c r="T65" s="486"/>
    </row>
    <row r="66" spans="1:28" s="585" customFormat="1" ht="15.75" x14ac:dyDescent="0.2">
      <c r="A66" s="497">
        <f t="shared" si="13"/>
        <v>8</v>
      </c>
      <c r="B66" s="595">
        <f>B67</f>
        <v>46071</v>
      </c>
      <c r="C66" s="593"/>
      <c r="D66" s="593"/>
      <c r="E66" s="587">
        <f>+E67+E76+E85</f>
        <v>90000</v>
      </c>
      <c r="F66" s="587"/>
      <c r="G66" s="594">
        <f>+G67+G76+G85</f>
        <v>7020</v>
      </c>
      <c r="H66" s="593">
        <f>+H67+H76+H85</f>
        <v>23.5</v>
      </c>
      <c r="I66" s="592">
        <f>+I67+I76+I85</f>
        <v>7176</v>
      </c>
      <c r="J66" s="587"/>
      <c r="K66" s="591"/>
      <c r="L66" s="590">
        <f>SUM(L68:L75,L77:L84,L86:L93)</f>
        <v>7020</v>
      </c>
      <c r="M66" s="589"/>
      <c r="N66" s="565">
        <f>SUM(N68:N75,N77:N84,N86:N93)</f>
        <v>3932.6339999999996</v>
      </c>
      <c r="O66" s="588">
        <f>+N66/L66</f>
        <v>0.56020427350427349</v>
      </c>
      <c r="P66" s="587"/>
      <c r="Q66" s="586"/>
      <c r="R66" s="586"/>
      <c r="S66" s="586"/>
    </row>
    <row r="67" spans="1:28" outlineLevel="1" x14ac:dyDescent="0.2">
      <c r="A67" s="497">
        <f t="shared" si="13"/>
        <v>8</v>
      </c>
      <c r="B67" s="584">
        <f>+B38+1</f>
        <v>46071</v>
      </c>
      <c r="C67" s="583" t="s">
        <v>208</v>
      </c>
      <c r="D67" s="583"/>
      <c r="E67" s="548">
        <v>30000</v>
      </c>
      <c r="F67" s="548">
        <v>650</v>
      </c>
      <c r="G67" s="547">
        <f>+E67*12*F67/100000</f>
        <v>2340</v>
      </c>
      <c r="H67" s="546">
        <f>IF(E67="","0",SUM(H68:H75))</f>
        <v>7.5</v>
      </c>
      <c r="I67" s="598">
        <f>SUM(I68:I75)</f>
        <v>2496</v>
      </c>
      <c r="J67" s="545"/>
      <c r="K67" s="636" t="str">
        <f>C67</f>
        <v>T1</v>
      </c>
      <c r="L67" s="582">
        <f>SUM(L68:L75)</f>
        <v>2340</v>
      </c>
      <c r="M67" s="545"/>
      <c r="N67" s="565">
        <f>SUM(N68:N75)</f>
        <v>0</v>
      </c>
      <c r="O67" s="581">
        <f>+N67/L67</f>
        <v>0</v>
      </c>
      <c r="P67" s="579"/>
      <c r="Q67" s="577"/>
      <c r="R67" s="577"/>
      <c r="S67" s="576"/>
      <c r="T67" s="568"/>
      <c r="U67" s="535"/>
      <c r="V67" s="534"/>
      <c r="W67" s="534"/>
      <c r="Y67" s="534"/>
      <c r="Z67" s="534"/>
      <c r="AA67" s="534"/>
      <c r="AB67" s="533"/>
    </row>
    <row r="68" spans="1:28" outlineLevel="2" x14ac:dyDescent="0.2">
      <c r="A68" s="497">
        <f t="shared" si="13"/>
        <v>8</v>
      </c>
      <c r="B68" s="524"/>
      <c r="C68" s="523"/>
      <c r="D68" s="523"/>
      <c r="G68" s="522"/>
      <c r="H68" s="521">
        <v>1</v>
      </c>
      <c r="I68" s="507">
        <f>IF(E67=0,"0",G67/H67)</f>
        <v>312</v>
      </c>
      <c r="K68" s="520">
        <v>0.29166666666666669</v>
      </c>
      <c r="L68" s="519">
        <f t="shared" ref="L68:L75" si="20">IF(M68="","",I68*H68)</f>
        <v>312</v>
      </c>
      <c r="M68" s="518">
        <v>0.33333333333333331</v>
      </c>
      <c r="N68" s="516"/>
      <c r="O68" s="517">
        <f t="shared" ref="O68:O75" si="21">IF(M68="","",N68/L68)</f>
        <v>0</v>
      </c>
      <c r="P68" s="517"/>
      <c r="Q68" s="580"/>
      <c r="R68" s="574"/>
      <c r="S68" s="573"/>
      <c r="T68" s="568"/>
      <c r="U68" s="513"/>
      <c r="AB68" s="512"/>
    </row>
    <row r="69" spans="1:28" outlineLevel="2" x14ac:dyDescent="0.2">
      <c r="A69" s="497">
        <f t="shared" si="13"/>
        <v>8</v>
      </c>
      <c r="B69" s="524"/>
      <c r="C69" s="523"/>
      <c r="D69" s="523"/>
      <c r="G69" s="522"/>
      <c r="H69" s="521">
        <v>0.5</v>
      </c>
      <c r="I69" s="507">
        <f>IF(E67=0,"0",G67/H67)</f>
        <v>312</v>
      </c>
      <c r="K69" s="530">
        <f t="shared" ref="K69:K75" si="22">M68</f>
        <v>0.33333333333333331</v>
      </c>
      <c r="L69" s="493">
        <f t="shared" si="20"/>
        <v>156</v>
      </c>
      <c r="M69" s="528">
        <v>0.375</v>
      </c>
      <c r="N69" s="527"/>
      <c r="O69" s="526">
        <f t="shared" si="21"/>
        <v>0</v>
      </c>
      <c r="P69" s="579"/>
      <c r="Q69" s="578"/>
      <c r="R69" s="577"/>
      <c r="S69" s="576"/>
      <c r="T69" s="568"/>
      <c r="U69" s="513"/>
      <c r="AB69" s="512"/>
    </row>
    <row r="70" spans="1:28" outlineLevel="2" x14ac:dyDescent="0.2">
      <c r="A70" s="497">
        <f t="shared" si="13"/>
        <v>8</v>
      </c>
      <c r="B70" s="524"/>
      <c r="C70" s="523"/>
      <c r="D70" s="523"/>
      <c r="G70" s="522"/>
      <c r="H70" s="521">
        <v>1</v>
      </c>
      <c r="I70" s="507">
        <f>IF(E67=0,"0",G67/H67)</f>
        <v>312</v>
      </c>
      <c r="K70" s="520">
        <f t="shared" si="22"/>
        <v>0.375</v>
      </c>
      <c r="L70" s="519">
        <f t="shared" si="20"/>
        <v>312</v>
      </c>
      <c r="M70" s="518">
        <v>0.41666666666666669</v>
      </c>
      <c r="N70" s="516"/>
      <c r="O70" s="517">
        <f t="shared" si="21"/>
        <v>0</v>
      </c>
      <c r="P70" s="517"/>
      <c r="Q70" s="575"/>
      <c r="R70" s="574"/>
      <c r="S70" s="573"/>
      <c r="T70" s="568"/>
      <c r="U70" s="513"/>
      <c r="AB70" s="512"/>
    </row>
    <row r="71" spans="1:28" outlineLevel="2" x14ac:dyDescent="0.2">
      <c r="A71" s="497">
        <f t="shared" si="13"/>
        <v>8</v>
      </c>
      <c r="B71" s="524"/>
      <c r="C71" s="523"/>
      <c r="D71" s="523"/>
      <c r="G71" s="522"/>
      <c r="H71" s="521">
        <v>1</v>
      </c>
      <c r="I71" s="507">
        <f>IF(E67=0,"0",G67/H67)</f>
        <v>312</v>
      </c>
      <c r="K71" s="530">
        <f t="shared" si="22"/>
        <v>0.41666666666666669</v>
      </c>
      <c r="L71" s="493">
        <f t="shared" si="20"/>
        <v>312</v>
      </c>
      <c r="M71" s="528">
        <v>0.45833333333333331</v>
      </c>
      <c r="N71" s="527"/>
      <c r="O71" s="526">
        <f t="shared" si="21"/>
        <v>0</v>
      </c>
      <c r="P71" s="579"/>
      <c r="Q71" s="578"/>
      <c r="R71" s="577"/>
      <c r="S71" s="576"/>
      <c r="T71" s="568"/>
      <c r="U71" s="513"/>
      <c r="AB71" s="512"/>
    </row>
    <row r="72" spans="1:28" outlineLevel="2" x14ac:dyDescent="0.2">
      <c r="A72" s="497">
        <f t="shared" si="13"/>
        <v>8</v>
      </c>
      <c r="B72" s="524"/>
      <c r="C72" s="523"/>
      <c r="D72" s="523"/>
      <c r="G72" s="522"/>
      <c r="H72" s="521">
        <v>1</v>
      </c>
      <c r="I72" s="507">
        <f>IF(E67=0,"0",G67/H67)</f>
        <v>312</v>
      </c>
      <c r="K72" s="520">
        <f t="shared" si="22"/>
        <v>0.45833333333333331</v>
      </c>
      <c r="L72" s="519">
        <f t="shared" si="20"/>
        <v>312</v>
      </c>
      <c r="M72" s="518">
        <v>0.5</v>
      </c>
      <c r="N72" s="516"/>
      <c r="O72" s="517">
        <f t="shared" si="21"/>
        <v>0</v>
      </c>
      <c r="P72" s="517"/>
      <c r="Q72" s="575"/>
      <c r="R72" s="574"/>
      <c r="S72" s="573"/>
      <c r="T72" s="568"/>
      <c r="U72" s="513"/>
      <c r="AB72" s="512"/>
    </row>
    <row r="73" spans="1:28" outlineLevel="2" x14ac:dyDescent="0.2">
      <c r="A73" s="497">
        <f t="shared" si="13"/>
        <v>8</v>
      </c>
      <c r="B73" s="524"/>
      <c r="C73" s="523"/>
      <c r="D73" s="523"/>
      <c r="G73" s="522"/>
      <c r="H73" s="521">
        <v>1</v>
      </c>
      <c r="I73" s="507">
        <f>IF(E67=0,"0",G67/H67)</f>
        <v>312</v>
      </c>
      <c r="K73" s="530">
        <f t="shared" si="22"/>
        <v>0.5</v>
      </c>
      <c r="L73" s="493">
        <f t="shared" si="20"/>
        <v>312</v>
      </c>
      <c r="M73" s="528">
        <v>0.54166666666666663</v>
      </c>
      <c r="N73" s="527"/>
      <c r="O73" s="526">
        <f t="shared" si="21"/>
        <v>0</v>
      </c>
      <c r="P73" s="579"/>
      <c r="Q73" s="578"/>
      <c r="R73" s="577"/>
      <c r="S73" s="576"/>
      <c r="T73" s="568"/>
      <c r="U73" s="513"/>
      <c r="AB73" s="512"/>
    </row>
    <row r="74" spans="1:28" outlineLevel="2" x14ac:dyDescent="0.2">
      <c r="A74" s="497">
        <f t="shared" ref="A74:A105" si="23">$A$9</f>
        <v>8</v>
      </c>
      <c r="B74" s="524"/>
      <c r="C74" s="523"/>
      <c r="D74" s="523"/>
      <c r="G74" s="522"/>
      <c r="H74" s="521">
        <v>1</v>
      </c>
      <c r="I74" s="507">
        <f>IF(E67=0,"0",G67/H67)</f>
        <v>312</v>
      </c>
      <c r="K74" s="520">
        <f t="shared" si="22"/>
        <v>0.54166666666666663</v>
      </c>
      <c r="L74" s="519">
        <f t="shared" si="20"/>
        <v>312</v>
      </c>
      <c r="M74" s="518">
        <v>0.58333333333333337</v>
      </c>
      <c r="N74" s="516"/>
      <c r="O74" s="517">
        <f t="shared" si="21"/>
        <v>0</v>
      </c>
      <c r="P74" s="517"/>
      <c r="Q74" s="575"/>
      <c r="R74" s="574"/>
      <c r="S74" s="573"/>
      <c r="T74" s="568"/>
      <c r="U74" s="513"/>
      <c r="AB74" s="512"/>
    </row>
    <row r="75" spans="1:28" outlineLevel="2" x14ac:dyDescent="0.2">
      <c r="A75" s="497">
        <f t="shared" si="23"/>
        <v>8</v>
      </c>
      <c r="B75" s="524"/>
      <c r="C75" s="523"/>
      <c r="D75" s="523"/>
      <c r="G75" s="522"/>
      <c r="H75" s="521">
        <v>1</v>
      </c>
      <c r="I75" s="507">
        <f>IF(E67=0,"0",G67/H67)</f>
        <v>312</v>
      </c>
      <c r="K75" s="506">
        <f t="shared" si="22"/>
        <v>0.58333333333333337</v>
      </c>
      <c r="L75" s="493">
        <f t="shared" si="20"/>
        <v>312</v>
      </c>
      <c r="M75" s="505">
        <v>0.625</v>
      </c>
      <c r="N75" s="504"/>
      <c r="O75" s="503">
        <f t="shared" si="21"/>
        <v>0</v>
      </c>
      <c r="P75" s="572"/>
      <c r="Q75" s="571"/>
      <c r="R75" s="570"/>
      <c r="S75" s="569"/>
      <c r="T75" s="568"/>
      <c r="U75" s="500"/>
      <c r="V75" s="499"/>
      <c r="W75" s="499"/>
      <c r="Y75" s="499"/>
      <c r="Z75" s="499"/>
      <c r="AA75" s="499"/>
      <c r="AB75" s="498"/>
    </row>
    <row r="76" spans="1:28" s="545" customFormat="1" outlineLevel="1" x14ac:dyDescent="0.2">
      <c r="A76" s="497">
        <f t="shared" si="23"/>
        <v>8</v>
      </c>
      <c r="B76" s="551">
        <f>B67</f>
        <v>46071</v>
      </c>
      <c r="C76" s="550" t="s">
        <v>210</v>
      </c>
      <c r="D76" s="550"/>
      <c r="E76" s="549">
        <v>30000</v>
      </c>
      <c r="F76" s="548">
        <v>650</v>
      </c>
      <c r="G76" s="547">
        <f t="shared" ref="G76:G85" si="24">+E76*12*F76/100000</f>
        <v>2340</v>
      </c>
      <c r="H76" s="546">
        <f>IF(E76="","0",SUM(H77:H84))</f>
        <v>8</v>
      </c>
      <c r="I76" s="598">
        <f>SUM(I77:I84)</f>
        <v>2340</v>
      </c>
      <c r="K76" s="567" t="str">
        <f>C76</f>
        <v>T2</v>
      </c>
      <c r="L76" s="566">
        <f>IF(N76=0,"0",SUM(L77:L84))</f>
        <v>2340</v>
      </c>
      <c r="M76" s="563"/>
      <c r="N76" s="565">
        <f>SUM(N77:N84)</f>
        <v>1608.202</v>
      </c>
      <c r="O76" s="564">
        <f>+N76/L76</f>
        <v>0.68726581196581193</v>
      </c>
      <c r="P76" s="563"/>
      <c r="Q76" s="562"/>
      <c r="R76" s="562"/>
      <c r="S76" s="561"/>
      <c r="T76" s="536"/>
      <c r="U76" s="485"/>
      <c r="V76" s="485"/>
      <c r="W76" s="485"/>
      <c r="X76" s="485"/>
      <c r="Y76" s="485"/>
      <c r="Z76" s="485"/>
      <c r="AA76" s="485"/>
      <c r="AB76" s="537"/>
    </row>
    <row r="77" spans="1:28" s="486" customFormat="1" ht="33.75" outlineLevel="2" x14ac:dyDescent="0.2">
      <c r="A77" s="497">
        <f t="shared" si="23"/>
        <v>8</v>
      </c>
      <c r="B77" s="524"/>
      <c r="C77" s="523"/>
      <c r="D77" s="523">
        <f>E77*12</f>
        <v>22368</v>
      </c>
      <c r="E77" s="485">
        <v>1864</v>
      </c>
      <c r="F77" s="948">
        <v>650</v>
      </c>
      <c r="G77" s="522">
        <f t="shared" si="24"/>
        <v>145.392</v>
      </c>
      <c r="H77" s="521">
        <v>1</v>
      </c>
      <c r="I77" s="507">
        <f>IF(E76=0,"0",G76/H76)</f>
        <v>292.5</v>
      </c>
      <c r="J77" s="485"/>
      <c r="K77" s="530">
        <v>0.625</v>
      </c>
      <c r="L77" s="493">
        <f t="shared" ref="L77:L84" si="25">IF(M77="","",I77*H77)</f>
        <v>292.5</v>
      </c>
      <c r="M77" s="528">
        <v>0.66666666666666663</v>
      </c>
      <c r="N77" s="527">
        <v>145</v>
      </c>
      <c r="O77" s="526">
        <f t="shared" ref="O77:O84" si="26">IF(M77="","",N77/L77)</f>
        <v>0.49572649572649574</v>
      </c>
      <c r="P77" s="485"/>
      <c r="Q77" s="629" t="s">
        <v>286</v>
      </c>
      <c r="R77" s="532" t="s">
        <v>289</v>
      </c>
      <c r="S77" s="525"/>
      <c r="U77" s="535"/>
      <c r="V77" s="534"/>
      <c r="W77" s="534"/>
      <c r="X77" s="485"/>
      <c r="Y77" s="534"/>
      <c r="Z77" s="534"/>
      <c r="AA77" s="534"/>
      <c r="AB77" s="533"/>
    </row>
    <row r="78" spans="1:28" s="486" customFormat="1" ht="33.75" outlineLevel="2" x14ac:dyDescent="0.2">
      <c r="A78" s="497">
        <f t="shared" si="23"/>
        <v>8</v>
      </c>
      <c r="B78" s="524"/>
      <c r="C78" s="523"/>
      <c r="D78" s="523"/>
      <c r="E78" s="485">
        <v>0</v>
      </c>
      <c r="F78" s="948">
        <v>650</v>
      </c>
      <c r="G78" s="522">
        <f t="shared" si="24"/>
        <v>0</v>
      </c>
      <c r="H78" s="521">
        <v>1</v>
      </c>
      <c r="I78" s="507">
        <f>IF(E76=0,"0",G76/H76)</f>
        <v>292.5</v>
      </c>
      <c r="J78" s="485"/>
      <c r="K78" s="520">
        <f t="shared" ref="K78:K84" si="27">M77</f>
        <v>0.66666666666666663</v>
      </c>
      <c r="L78" s="519">
        <f t="shared" si="25"/>
        <v>292.5</v>
      </c>
      <c r="M78" s="518">
        <v>0.70833333333333337</v>
      </c>
      <c r="N78" s="516"/>
      <c r="O78" s="517">
        <f t="shared" si="26"/>
        <v>0</v>
      </c>
      <c r="P78" s="516"/>
      <c r="Q78" s="597" t="s">
        <v>286</v>
      </c>
      <c r="R78" s="531" t="s">
        <v>290</v>
      </c>
      <c r="S78" s="514"/>
      <c r="U78" s="513"/>
      <c r="V78" s="485"/>
      <c r="W78" s="485"/>
      <c r="X78" s="485"/>
      <c r="Y78" s="485"/>
      <c r="Z78" s="485"/>
      <c r="AA78" s="485"/>
      <c r="AB78" s="512"/>
    </row>
    <row r="79" spans="1:28" s="486" customFormat="1" ht="33.75" outlineLevel="2" x14ac:dyDescent="0.2">
      <c r="A79" s="497">
        <f t="shared" si="23"/>
        <v>8</v>
      </c>
      <c r="B79" s="524"/>
      <c r="C79" s="523"/>
      <c r="D79" s="523">
        <f t="shared" ref="D79:D84" si="28">E79*12</f>
        <v>31032</v>
      </c>
      <c r="E79" s="485">
        <f>31032/12</f>
        <v>2586</v>
      </c>
      <c r="F79" s="948">
        <v>650</v>
      </c>
      <c r="G79" s="522">
        <f t="shared" si="24"/>
        <v>201.708</v>
      </c>
      <c r="H79" s="521">
        <v>1</v>
      </c>
      <c r="I79" s="507">
        <f>IF(E76=0,"0",G76/H76)</f>
        <v>292.5</v>
      </c>
      <c r="J79" s="485"/>
      <c r="K79" s="530">
        <f t="shared" si="27"/>
        <v>0.70833333333333337</v>
      </c>
      <c r="L79" s="493">
        <f t="shared" si="25"/>
        <v>292.5</v>
      </c>
      <c r="M79" s="528">
        <v>0.75</v>
      </c>
      <c r="N79" s="630">
        <f t="shared" ref="N79:N84" si="29">D79*0.65/100</f>
        <v>201.708</v>
      </c>
      <c r="O79" s="526">
        <f t="shared" si="26"/>
        <v>0.68959999999999999</v>
      </c>
      <c r="P79" s="485"/>
      <c r="Q79" s="532" t="s">
        <v>291</v>
      </c>
      <c r="R79" s="532" t="s">
        <v>292</v>
      </c>
      <c r="S79" s="525"/>
      <c r="U79" s="513"/>
      <c r="V79" s="485"/>
      <c r="W79" s="485"/>
      <c r="X79" s="485"/>
      <c r="Y79" s="485"/>
      <c r="Z79" s="485"/>
      <c r="AA79" s="485"/>
      <c r="AB79" s="512"/>
    </row>
    <row r="80" spans="1:28" s="486" customFormat="1" ht="45" outlineLevel="2" x14ac:dyDescent="0.2">
      <c r="A80" s="497">
        <f t="shared" si="23"/>
        <v>8</v>
      </c>
      <c r="B80" s="524"/>
      <c r="C80" s="523"/>
      <c r="D80" s="523">
        <f t="shared" si="28"/>
        <v>29100</v>
      </c>
      <c r="E80" s="485">
        <v>2425</v>
      </c>
      <c r="F80" s="948">
        <v>650</v>
      </c>
      <c r="G80" s="522">
        <f t="shared" si="24"/>
        <v>189.15</v>
      </c>
      <c r="H80" s="521">
        <v>1</v>
      </c>
      <c r="I80" s="507">
        <f>IF(E76=0,"0",G76/H76)</f>
        <v>292.5</v>
      </c>
      <c r="J80" s="485"/>
      <c r="K80" s="520">
        <f t="shared" si="27"/>
        <v>0.75</v>
      </c>
      <c r="L80" s="519">
        <f t="shared" si="25"/>
        <v>292.5</v>
      </c>
      <c r="M80" s="518">
        <v>0.79166666666666663</v>
      </c>
      <c r="N80" s="630">
        <f t="shared" si="29"/>
        <v>189.15</v>
      </c>
      <c r="O80" s="517">
        <f t="shared" si="26"/>
        <v>0.64666666666666672</v>
      </c>
      <c r="P80" s="516"/>
      <c r="Q80" s="558" t="s">
        <v>293</v>
      </c>
      <c r="R80" s="531" t="s">
        <v>294</v>
      </c>
      <c r="S80" s="514"/>
      <c r="U80" s="513"/>
      <c r="V80" s="485"/>
      <c r="W80" s="485"/>
      <c r="X80" s="485"/>
      <c r="Y80" s="485"/>
      <c r="Z80" s="485"/>
      <c r="AA80" s="485"/>
      <c r="AB80" s="512"/>
    </row>
    <row r="81" spans="1:28" s="486" customFormat="1" ht="67.5" outlineLevel="2" x14ac:dyDescent="0.2">
      <c r="A81" s="497">
        <f t="shared" si="23"/>
        <v>8</v>
      </c>
      <c r="B81" s="524"/>
      <c r="C81" s="523"/>
      <c r="D81" s="523">
        <f t="shared" si="28"/>
        <v>44292</v>
      </c>
      <c r="E81" s="485">
        <v>3691</v>
      </c>
      <c r="F81" s="948">
        <v>650</v>
      </c>
      <c r="G81" s="522">
        <f t="shared" si="24"/>
        <v>287.89800000000002</v>
      </c>
      <c r="H81" s="521">
        <v>1</v>
      </c>
      <c r="I81" s="507">
        <f>IF(E76=0,"0",G76/H76)</f>
        <v>292.5</v>
      </c>
      <c r="J81" s="485"/>
      <c r="K81" s="530">
        <f t="shared" si="27"/>
        <v>0.79166666666666663</v>
      </c>
      <c r="L81" s="493">
        <f t="shared" si="25"/>
        <v>292.5</v>
      </c>
      <c r="M81" s="528">
        <v>0.83333333333333337</v>
      </c>
      <c r="N81" s="630">
        <f t="shared" si="29"/>
        <v>287.89799999999997</v>
      </c>
      <c r="O81" s="526">
        <f t="shared" si="26"/>
        <v>0.98426666666666651</v>
      </c>
      <c r="P81" s="485"/>
      <c r="Q81" s="532" t="s">
        <v>295</v>
      </c>
      <c r="R81" s="532" t="s">
        <v>296</v>
      </c>
      <c r="S81" s="632" t="s">
        <v>297</v>
      </c>
      <c r="U81" s="513"/>
      <c r="V81" s="485"/>
      <c r="W81" s="485"/>
      <c r="X81" s="485"/>
      <c r="Y81" s="485"/>
      <c r="Z81" s="485"/>
      <c r="AA81" s="485"/>
      <c r="AB81" s="512"/>
    </row>
    <row r="82" spans="1:28" s="486" customFormat="1" ht="56.25" outlineLevel="2" x14ac:dyDescent="0.2">
      <c r="A82" s="497">
        <f t="shared" si="23"/>
        <v>8</v>
      </c>
      <c r="B82" s="524"/>
      <c r="C82" s="523"/>
      <c r="D82" s="523">
        <f t="shared" si="28"/>
        <v>30396</v>
      </c>
      <c r="E82" s="485">
        <v>2533</v>
      </c>
      <c r="F82" s="485">
        <v>650</v>
      </c>
      <c r="G82" s="522">
        <f t="shared" si="24"/>
        <v>197.57400000000001</v>
      </c>
      <c r="H82" s="521">
        <v>1</v>
      </c>
      <c r="I82" s="507">
        <f>IF(E76=0,"0",G76/H76)</f>
        <v>292.5</v>
      </c>
      <c r="J82" s="485"/>
      <c r="K82" s="520">
        <f t="shared" si="27"/>
        <v>0.83333333333333337</v>
      </c>
      <c r="L82" s="519">
        <f t="shared" si="25"/>
        <v>292.5</v>
      </c>
      <c r="M82" s="518">
        <v>0.875</v>
      </c>
      <c r="N82" s="630">
        <f t="shared" si="29"/>
        <v>197.57400000000001</v>
      </c>
      <c r="O82" s="517">
        <f t="shared" si="26"/>
        <v>0.67546666666666666</v>
      </c>
      <c r="P82" s="516"/>
      <c r="Q82" s="531" t="s">
        <v>298</v>
      </c>
      <c r="R82" s="531" t="s">
        <v>299</v>
      </c>
      <c r="S82" s="631" t="s">
        <v>300</v>
      </c>
      <c r="U82" s="513"/>
      <c r="V82" s="485"/>
      <c r="W82" s="485"/>
      <c r="X82" s="485"/>
      <c r="Y82" s="485"/>
      <c r="Z82" s="485"/>
      <c r="AA82" s="485"/>
      <c r="AB82" s="512"/>
    </row>
    <row r="83" spans="1:28" s="486" customFormat="1" ht="45" outlineLevel="2" x14ac:dyDescent="0.2">
      <c r="A83" s="497">
        <f t="shared" si="23"/>
        <v>8</v>
      </c>
      <c r="B83" s="524"/>
      <c r="C83" s="523"/>
      <c r="D83" s="523">
        <f t="shared" si="28"/>
        <v>46140</v>
      </c>
      <c r="E83" s="485">
        <v>3845</v>
      </c>
      <c r="F83" s="485">
        <v>650</v>
      </c>
      <c r="G83" s="522">
        <f t="shared" si="24"/>
        <v>299.91000000000003</v>
      </c>
      <c r="H83" s="521">
        <v>1</v>
      </c>
      <c r="I83" s="507">
        <f>IF(E76=0,"0",G76/H76)</f>
        <v>292.5</v>
      </c>
      <c r="J83" s="485"/>
      <c r="K83" s="530">
        <f t="shared" si="27"/>
        <v>0.875</v>
      </c>
      <c r="L83" s="493">
        <f t="shared" si="25"/>
        <v>292.5</v>
      </c>
      <c r="M83" s="528">
        <v>0.91666666666666663</v>
      </c>
      <c r="N83" s="630">
        <f t="shared" si="29"/>
        <v>299.91000000000003</v>
      </c>
      <c r="O83" s="526">
        <f t="shared" si="26"/>
        <v>1.0253333333333334</v>
      </c>
      <c r="P83" s="485"/>
      <c r="Q83" s="532" t="s">
        <v>301</v>
      </c>
      <c r="R83" s="532" t="s">
        <v>302</v>
      </c>
      <c r="S83" s="632" t="s">
        <v>303</v>
      </c>
      <c r="U83" s="513"/>
      <c r="V83" s="485"/>
      <c r="W83" s="485"/>
      <c r="X83" s="485"/>
      <c r="Y83" s="485"/>
      <c r="Z83" s="485"/>
      <c r="AA83" s="485"/>
      <c r="AB83" s="512"/>
    </row>
    <row r="84" spans="1:28" s="486" customFormat="1" ht="33.75" outlineLevel="2" x14ac:dyDescent="0.2">
      <c r="A84" s="497">
        <f t="shared" si="23"/>
        <v>8</v>
      </c>
      <c r="B84" s="524"/>
      <c r="C84" s="523"/>
      <c r="D84" s="523">
        <f t="shared" si="28"/>
        <v>44148</v>
      </c>
      <c r="E84" s="485">
        <v>3679</v>
      </c>
      <c r="F84" s="485">
        <v>650</v>
      </c>
      <c r="G84" s="522">
        <f>+E84*12*F84/100000</f>
        <v>286.96199999999999</v>
      </c>
      <c r="H84" s="521">
        <v>1</v>
      </c>
      <c r="I84" s="507">
        <f>IF(E76=0,"0",G76/H76)</f>
        <v>292.5</v>
      </c>
      <c r="J84" s="485"/>
      <c r="K84" s="557">
        <f t="shared" si="27"/>
        <v>0.91666666666666663</v>
      </c>
      <c r="L84" s="519">
        <f t="shared" si="25"/>
        <v>292.5</v>
      </c>
      <c r="M84" s="556">
        <v>0.95833333333333337</v>
      </c>
      <c r="N84" s="630">
        <f t="shared" si="29"/>
        <v>286.96199999999999</v>
      </c>
      <c r="O84" s="555">
        <f t="shared" si="26"/>
        <v>0.98106666666666664</v>
      </c>
      <c r="P84" s="554"/>
      <c r="Q84" s="633" t="s">
        <v>304</v>
      </c>
      <c r="R84" s="553" t="s">
        <v>305</v>
      </c>
      <c r="S84" s="552"/>
      <c r="U84" s="500"/>
      <c r="V84" s="499"/>
      <c r="W84" s="499"/>
      <c r="X84" s="485"/>
      <c r="Y84" s="499"/>
      <c r="Z84" s="499"/>
      <c r="AA84" s="499"/>
      <c r="AB84" s="498"/>
    </row>
    <row r="85" spans="1:28" s="536" customFormat="1" outlineLevel="1" x14ac:dyDescent="0.2">
      <c r="A85" s="497">
        <f t="shared" si="23"/>
        <v>8</v>
      </c>
      <c r="B85" s="551">
        <f>B67</f>
        <v>46071</v>
      </c>
      <c r="C85" s="550" t="s">
        <v>211</v>
      </c>
      <c r="D85" s="550"/>
      <c r="E85" s="549">
        <v>30000</v>
      </c>
      <c r="F85" s="548">
        <v>650</v>
      </c>
      <c r="G85" s="547">
        <f t="shared" si="24"/>
        <v>2340</v>
      </c>
      <c r="H85" s="546">
        <f>IF(E85="","0",SUM(H86:H93))</f>
        <v>8</v>
      </c>
      <c r="I85" s="598">
        <f>SUM(I86:I93)</f>
        <v>2340</v>
      </c>
      <c r="J85" s="545"/>
      <c r="K85" s="544" t="str">
        <f>C85</f>
        <v>T3</v>
      </c>
      <c r="L85" s="543">
        <f>IF(N85=0,"0",SUM(L86:L93))</f>
        <v>2340</v>
      </c>
      <c r="M85" s="540"/>
      <c r="N85" s="542">
        <f>SUM(N86:N93)</f>
        <v>2324.4320000000002</v>
      </c>
      <c r="O85" s="541">
        <f>+N85/L85</f>
        <v>0.99334700854700864</v>
      </c>
      <c r="P85" s="540"/>
      <c r="Q85" s="539"/>
      <c r="R85" s="539"/>
      <c r="S85" s="538"/>
      <c r="U85" s="485"/>
      <c r="V85" s="485"/>
      <c r="W85" s="485"/>
      <c r="X85" s="485"/>
      <c r="Y85" s="485"/>
      <c r="Z85" s="485"/>
      <c r="AA85" s="485"/>
      <c r="AB85" s="537"/>
    </row>
    <row r="86" spans="1:28" s="486" customFormat="1" outlineLevel="2" x14ac:dyDescent="0.2">
      <c r="A86" s="497">
        <f t="shared" si="23"/>
        <v>8</v>
      </c>
      <c r="B86" s="524"/>
      <c r="C86" s="523"/>
      <c r="D86" s="523"/>
      <c r="E86" s="485"/>
      <c r="F86" s="485"/>
      <c r="G86" s="948"/>
      <c r="H86" s="521">
        <v>1</v>
      </c>
      <c r="I86" s="507">
        <f>IF(E85=0,"0",G85/H85)</f>
        <v>292.5</v>
      </c>
      <c r="J86" s="485"/>
      <c r="K86" s="520">
        <v>0.95833333333333337</v>
      </c>
      <c r="L86" s="519">
        <f t="shared" ref="L86:L93" si="30">IF(M86="","",I86*H86)</f>
        <v>292.5</v>
      </c>
      <c r="M86" s="518">
        <v>0</v>
      </c>
      <c r="N86" s="635">
        <v>311.31200000000001</v>
      </c>
      <c r="O86" s="517">
        <f t="shared" ref="O86:O93" si="31">IF(M86="","",N86/L86)</f>
        <v>1.06431452991453</v>
      </c>
      <c r="P86" s="516"/>
      <c r="Q86" s="515"/>
      <c r="R86" s="515"/>
      <c r="S86" s="514"/>
      <c r="U86" s="535"/>
      <c r="V86" s="534"/>
      <c r="W86" s="534"/>
      <c r="X86" s="485"/>
      <c r="Y86" s="534"/>
      <c r="Z86" s="534"/>
      <c r="AA86" s="534"/>
      <c r="AB86" s="533"/>
    </row>
    <row r="87" spans="1:28" s="486" customFormat="1" ht="22.5" outlineLevel="2" x14ac:dyDescent="0.2">
      <c r="A87" s="497">
        <f t="shared" si="23"/>
        <v>8</v>
      </c>
      <c r="B87" s="524"/>
      <c r="C87" s="523"/>
      <c r="D87" s="523"/>
      <c r="E87" s="634"/>
      <c r="F87" s="485"/>
      <c r="G87" s="948"/>
      <c r="H87" s="521">
        <v>1</v>
      </c>
      <c r="I87" s="507">
        <f>IF(E85=0,"0",G85/H85)</f>
        <v>292.5</v>
      </c>
      <c r="J87" s="485"/>
      <c r="K87" s="530">
        <f t="shared" ref="K87:K93" si="32">M86</f>
        <v>0</v>
      </c>
      <c r="L87" s="493">
        <f t="shared" si="30"/>
        <v>292.5</v>
      </c>
      <c r="M87" s="528">
        <v>4.1666666666666664E-2</v>
      </c>
      <c r="N87" s="993">
        <v>334.79</v>
      </c>
      <c r="O87" s="526">
        <f t="shared" si="31"/>
        <v>1.1445811965811967</v>
      </c>
      <c r="P87" s="485"/>
      <c r="Q87" s="532" t="s">
        <v>306</v>
      </c>
      <c r="R87" s="532" t="s">
        <v>307</v>
      </c>
      <c r="S87" s="632" t="s">
        <v>308</v>
      </c>
      <c r="U87" s="513"/>
      <c r="V87" s="485"/>
      <c r="W87" s="485"/>
      <c r="X87" s="485"/>
      <c r="Y87" s="485"/>
      <c r="Z87" s="485"/>
      <c r="AA87" s="485"/>
      <c r="AB87" s="512"/>
    </row>
    <row r="88" spans="1:28" s="486" customFormat="1" ht="45" outlineLevel="2" x14ac:dyDescent="0.2">
      <c r="A88" s="497">
        <f t="shared" si="23"/>
        <v>8</v>
      </c>
      <c r="B88" s="524"/>
      <c r="C88" s="523"/>
      <c r="D88" s="523"/>
      <c r="E88" s="485"/>
      <c r="F88" s="485"/>
      <c r="G88" s="948"/>
      <c r="H88" s="521">
        <v>1</v>
      </c>
      <c r="I88" s="507">
        <f>IF(E85=0,"0",G85/H85)</f>
        <v>292.5</v>
      </c>
      <c r="J88" s="485"/>
      <c r="K88" s="520">
        <f t="shared" si="32"/>
        <v>4.1666666666666664E-2</v>
      </c>
      <c r="L88" s="519">
        <f t="shared" si="30"/>
        <v>292.5</v>
      </c>
      <c r="M88" s="518">
        <v>8.3333333333333329E-2</v>
      </c>
      <c r="N88" s="993">
        <v>249.22</v>
      </c>
      <c r="O88" s="517">
        <f t="shared" si="31"/>
        <v>0.85203418803418807</v>
      </c>
      <c r="P88" s="516"/>
      <c r="Q88" s="531" t="s">
        <v>309</v>
      </c>
      <c r="R88" s="531" t="s">
        <v>310</v>
      </c>
      <c r="S88" s="631" t="s">
        <v>311</v>
      </c>
      <c r="U88" s="513"/>
      <c r="V88" s="485"/>
      <c r="W88" s="485"/>
      <c r="X88" s="485"/>
      <c r="Y88" s="485"/>
      <c r="Z88" s="485"/>
      <c r="AA88" s="485"/>
      <c r="AB88" s="512"/>
    </row>
    <row r="89" spans="1:28" s="486" customFormat="1" ht="33.75" outlineLevel="2" x14ac:dyDescent="0.2">
      <c r="A89" s="497">
        <f t="shared" si="23"/>
        <v>8</v>
      </c>
      <c r="B89" s="524"/>
      <c r="C89" s="523"/>
      <c r="D89" s="523"/>
      <c r="E89" s="634"/>
      <c r="F89" s="485"/>
      <c r="G89" s="948"/>
      <c r="H89" s="521">
        <v>1</v>
      </c>
      <c r="I89" s="507">
        <f>IF(E85=0,"0",G85/H85)</f>
        <v>292.5</v>
      </c>
      <c r="J89" s="485"/>
      <c r="K89" s="530">
        <f t="shared" si="32"/>
        <v>8.3333333333333329E-2</v>
      </c>
      <c r="L89" s="493">
        <f t="shared" si="30"/>
        <v>292.5</v>
      </c>
      <c r="M89" s="528">
        <v>0.125</v>
      </c>
      <c r="N89" s="993">
        <v>307.76</v>
      </c>
      <c r="O89" s="526">
        <f t="shared" si="31"/>
        <v>1.05217094017094</v>
      </c>
      <c r="P89" s="485"/>
      <c r="Q89" s="532" t="s">
        <v>312</v>
      </c>
      <c r="R89" s="532" t="s">
        <v>313</v>
      </c>
      <c r="S89" s="525"/>
      <c r="U89" s="513"/>
      <c r="V89" s="485"/>
      <c r="W89" s="485"/>
      <c r="X89" s="485"/>
      <c r="Y89" s="485"/>
      <c r="Z89" s="485"/>
      <c r="AA89" s="485"/>
      <c r="AB89" s="512"/>
    </row>
    <row r="90" spans="1:28" s="486" customFormat="1" ht="56.25" outlineLevel="2" x14ac:dyDescent="0.2">
      <c r="A90" s="497">
        <f t="shared" si="23"/>
        <v>8</v>
      </c>
      <c r="B90" s="524"/>
      <c r="C90" s="523"/>
      <c r="D90" s="523"/>
      <c r="E90" s="634"/>
      <c r="F90" s="485"/>
      <c r="G90" s="948"/>
      <c r="H90" s="521">
        <v>1</v>
      </c>
      <c r="I90" s="507">
        <f>IF(E85=0,"0",G85/H85)</f>
        <v>292.5</v>
      </c>
      <c r="J90" s="485"/>
      <c r="K90" s="520">
        <f t="shared" si="32"/>
        <v>0.125</v>
      </c>
      <c r="L90" s="519">
        <f t="shared" si="30"/>
        <v>292.5</v>
      </c>
      <c r="M90" s="518">
        <v>0.16666666666666666</v>
      </c>
      <c r="N90" s="993">
        <v>264.49</v>
      </c>
      <c r="O90" s="517">
        <f t="shared" si="31"/>
        <v>0.9042393162393163</v>
      </c>
      <c r="P90" s="516"/>
      <c r="Q90" s="531" t="s">
        <v>314</v>
      </c>
      <c r="R90" s="531" t="s">
        <v>315</v>
      </c>
      <c r="S90" s="514"/>
      <c r="U90" s="513"/>
      <c r="V90" s="485"/>
      <c r="W90" s="485"/>
      <c r="X90" s="485"/>
      <c r="Y90" s="485"/>
      <c r="Z90" s="485"/>
      <c r="AA90" s="485"/>
      <c r="AB90" s="512"/>
    </row>
    <row r="91" spans="1:28" s="486" customFormat="1" ht="45" outlineLevel="2" x14ac:dyDescent="0.2">
      <c r="A91" s="497">
        <f t="shared" si="23"/>
        <v>8</v>
      </c>
      <c r="B91" s="524"/>
      <c r="C91" s="523"/>
      <c r="D91" s="523"/>
      <c r="E91" s="634"/>
      <c r="F91" s="485"/>
      <c r="G91" s="948"/>
      <c r="H91" s="521">
        <v>1</v>
      </c>
      <c r="I91" s="507">
        <f>IF(E85=0,"0",G85/H85)</f>
        <v>292.5</v>
      </c>
      <c r="J91" s="485"/>
      <c r="K91" s="530">
        <f t="shared" si="32"/>
        <v>0.16666666666666666</v>
      </c>
      <c r="L91" s="493">
        <f t="shared" si="30"/>
        <v>292.5</v>
      </c>
      <c r="M91" s="528">
        <v>0.20833333333333334</v>
      </c>
      <c r="N91" s="993">
        <v>273.60000000000002</v>
      </c>
      <c r="O91" s="526">
        <f t="shared" si="31"/>
        <v>0.93538461538461548</v>
      </c>
      <c r="P91" s="485"/>
      <c r="Q91" s="532" t="s">
        <v>316</v>
      </c>
      <c r="R91" s="532" t="s">
        <v>317</v>
      </c>
      <c r="S91" s="525"/>
      <c r="U91" s="513"/>
      <c r="V91" s="485"/>
      <c r="W91" s="485"/>
      <c r="X91" s="485"/>
      <c r="Y91" s="485"/>
      <c r="Z91" s="485"/>
      <c r="AA91" s="485"/>
      <c r="AB91" s="512"/>
    </row>
    <row r="92" spans="1:28" s="486" customFormat="1" ht="33.75" outlineLevel="2" x14ac:dyDescent="0.2">
      <c r="A92" s="497">
        <f t="shared" si="23"/>
        <v>8</v>
      </c>
      <c r="B92" s="524"/>
      <c r="C92" s="523"/>
      <c r="D92" s="523"/>
      <c r="E92" s="485"/>
      <c r="F92" s="485"/>
      <c r="G92" s="948"/>
      <c r="H92" s="521">
        <v>1</v>
      </c>
      <c r="I92" s="507">
        <f>IF(E85=0,"0",G85/H85)</f>
        <v>292.5</v>
      </c>
      <c r="J92" s="485"/>
      <c r="K92" s="520">
        <f t="shared" si="32"/>
        <v>0.20833333333333334</v>
      </c>
      <c r="L92" s="519">
        <f t="shared" si="30"/>
        <v>292.5</v>
      </c>
      <c r="M92" s="518">
        <v>0.25</v>
      </c>
      <c r="N92" s="993">
        <v>319.42</v>
      </c>
      <c r="O92" s="517">
        <f t="shared" si="31"/>
        <v>1.0920341880341882</v>
      </c>
      <c r="P92" s="516"/>
      <c r="Q92" s="531" t="s">
        <v>318</v>
      </c>
      <c r="R92" s="515"/>
      <c r="S92" s="514"/>
      <c r="U92" s="513"/>
      <c r="V92" s="485"/>
      <c r="W92" s="485"/>
      <c r="X92" s="485"/>
      <c r="Y92" s="485"/>
      <c r="Z92" s="485"/>
      <c r="AA92" s="485"/>
      <c r="AB92" s="512"/>
    </row>
    <row r="93" spans="1:28" s="486" customFormat="1" outlineLevel="2" x14ac:dyDescent="0.2">
      <c r="A93" s="497">
        <f t="shared" si="23"/>
        <v>8</v>
      </c>
      <c r="B93" s="511"/>
      <c r="C93" s="510"/>
      <c r="D93" s="510"/>
      <c r="E93" s="994"/>
      <c r="F93" s="974"/>
      <c r="G93" s="974"/>
      <c r="H93" s="508">
        <v>1</v>
      </c>
      <c r="I93" s="507">
        <f>IF(E85=0,"0",G85/H85)</f>
        <v>292.5</v>
      </c>
      <c r="J93" s="485"/>
      <c r="K93" s="506">
        <f t="shared" si="32"/>
        <v>0.25</v>
      </c>
      <c r="L93" s="638">
        <f t="shared" si="30"/>
        <v>292.5</v>
      </c>
      <c r="M93" s="505">
        <v>0.29166666666666669</v>
      </c>
      <c r="N93" s="995">
        <v>263.83999999999997</v>
      </c>
      <c r="O93" s="503">
        <f t="shared" si="31"/>
        <v>0.90201709401709396</v>
      </c>
      <c r="P93" s="499"/>
      <c r="Q93" s="602"/>
      <c r="R93" s="502"/>
      <c r="S93" s="501"/>
      <c r="U93" s="500"/>
      <c r="V93" s="499"/>
      <c r="W93" s="499"/>
      <c r="X93" s="485"/>
      <c r="Y93" s="499"/>
      <c r="Z93" s="499"/>
      <c r="AA93" s="499"/>
      <c r="AB93" s="498"/>
    </row>
    <row r="94" spans="1:28" s="489" customFormat="1" outlineLevel="1" x14ac:dyDescent="0.2">
      <c r="A94" s="497">
        <f t="shared" si="23"/>
        <v>8</v>
      </c>
      <c r="B94" s="496"/>
      <c r="C94" s="495"/>
      <c r="D94" s="495"/>
      <c r="G94" s="596"/>
      <c r="H94" s="495"/>
      <c r="I94" s="494"/>
      <c r="K94" s="492"/>
      <c r="L94" s="493"/>
      <c r="M94" s="492"/>
      <c r="O94" s="491"/>
      <c r="Q94" s="490"/>
      <c r="R94" s="490"/>
      <c r="S94" s="490"/>
      <c r="T94" s="486"/>
    </row>
    <row r="95" spans="1:28" s="585" customFormat="1" ht="15.75" x14ac:dyDescent="0.2">
      <c r="A95" s="497">
        <f t="shared" si="23"/>
        <v>8</v>
      </c>
      <c r="B95" s="595">
        <f>B96</f>
        <v>46072</v>
      </c>
      <c r="C95" s="593"/>
      <c r="D95" s="593"/>
      <c r="E95" s="587">
        <f>+E96+E105+E114</f>
        <v>15000</v>
      </c>
      <c r="F95" s="587"/>
      <c r="G95" s="594">
        <f>+G96+G105+G114</f>
        <v>1134</v>
      </c>
      <c r="H95" s="593">
        <f>+H96+H105+H114</f>
        <v>7</v>
      </c>
      <c r="I95" s="592">
        <f>+I96+I105+I114</f>
        <v>1296</v>
      </c>
      <c r="J95" s="587"/>
      <c r="K95" s="591"/>
      <c r="L95" s="590">
        <f>SUM(L97:L104,L106:L113,L115:L122)</f>
        <v>1134</v>
      </c>
      <c r="M95" s="589"/>
      <c r="N95" s="565">
        <f>SUM(N97:N104,N106:N113,N115:N122)</f>
        <v>0</v>
      </c>
      <c r="O95" s="588">
        <f>+N95/L95</f>
        <v>0</v>
      </c>
      <c r="P95" s="587"/>
      <c r="Q95" s="586"/>
      <c r="R95" s="586"/>
      <c r="S95" s="586"/>
    </row>
    <row r="96" spans="1:28" outlineLevel="1" x14ac:dyDescent="0.2">
      <c r="A96" s="497">
        <f t="shared" si="23"/>
        <v>8</v>
      </c>
      <c r="B96" s="584">
        <f>+B67+1</f>
        <v>46072</v>
      </c>
      <c r="C96" s="583" t="s">
        <v>208</v>
      </c>
      <c r="D96" s="583"/>
      <c r="E96" s="548"/>
      <c r="F96" s="548"/>
      <c r="G96" s="547">
        <f>+E96*12*F96/100000</f>
        <v>0</v>
      </c>
      <c r="H96" s="546" t="str">
        <f>IF(E96="","0",SUM(H97:H104))</f>
        <v>0</v>
      </c>
      <c r="I96" s="598">
        <f>SUM(I97:I104)</f>
        <v>0</v>
      </c>
      <c r="J96" s="545"/>
      <c r="K96" s="513" t="str">
        <f>C96</f>
        <v>T1</v>
      </c>
      <c r="L96" s="582">
        <f>SUM(L97:L104)</f>
        <v>0</v>
      </c>
      <c r="M96" s="545"/>
      <c r="N96" s="565">
        <f>SUM(N97:N104)</f>
        <v>0</v>
      </c>
      <c r="O96" s="581" t="e">
        <f>+N96/L96</f>
        <v>#DIV/0!</v>
      </c>
      <c r="P96" s="579"/>
      <c r="Q96" s="577"/>
      <c r="R96" s="577"/>
      <c r="S96" s="576"/>
      <c r="T96" s="568"/>
      <c r="U96" s="535"/>
      <c r="V96" s="534"/>
      <c r="W96" s="534"/>
      <c r="Y96" s="534"/>
      <c r="Z96" s="534"/>
      <c r="AA96" s="534"/>
      <c r="AB96" s="533"/>
    </row>
    <row r="97" spans="1:28" outlineLevel="2" x14ac:dyDescent="0.2">
      <c r="A97" s="497">
        <f t="shared" si="23"/>
        <v>8</v>
      </c>
      <c r="B97" s="524"/>
      <c r="C97" s="523"/>
      <c r="D97" s="523"/>
      <c r="G97" s="522"/>
      <c r="H97" s="521">
        <v>1</v>
      </c>
      <c r="I97" s="507" t="str">
        <f>IF(E96=0,"0",G96/H96)</f>
        <v>0</v>
      </c>
      <c r="K97" s="520">
        <v>0.29166666666666669</v>
      </c>
      <c r="L97" s="519">
        <f t="shared" ref="L97:L104" si="33">IF(M97="","",I97*H97)</f>
        <v>0</v>
      </c>
      <c r="M97" s="518">
        <v>0.33333333333333331</v>
      </c>
      <c r="N97" s="516"/>
      <c r="O97" s="517" t="e">
        <f t="shared" ref="O97:O104" si="34">IF(M97="","",N97/L97)</f>
        <v>#DIV/0!</v>
      </c>
      <c r="P97" s="517"/>
      <c r="Q97" s="580"/>
      <c r="R97" s="574"/>
      <c r="S97" s="573"/>
      <c r="T97" s="568"/>
      <c r="U97" s="513"/>
      <c r="AB97" s="512"/>
    </row>
    <row r="98" spans="1:28" outlineLevel="2" x14ac:dyDescent="0.2">
      <c r="A98" s="497">
        <f t="shared" si="23"/>
        <v>8</v>
      </c>
      <c r="B98" s="524"/>
      <c r="C98" s="523"/>
      <c r="D98" s="523"/>
      <c r="G98" s="522"/>
      <c r="H98" s="521">
        <v>0.5</v>
      </c>
      <c r="I98" s="507" t="str">
        <f>IF(E96=0,"0",G96/H96)</f>
        <v>0</v>
      </c>
      <c r="K98" s="530">
        <f t="shared" ref="K98:K104" si="35">M97</f>
        <v>0.33333333333333331</v>
      </c>
      <c r="L98" s="493">
        <f t="shared" si="33"/>
        <v>0</v>
      </c>
      <c r="M98" s="528">
        <v>0.375</v>
      </c>
      <c r="N98" s="527"/>
      <c r="O98" s="526" t="e">
        <f t="shared" si="34"/>
        <v>#DIV/0!</v>
      </c>
      <c r="P98" s="579"/>
      <c r="Q98" s="578"/>
      <c r="R98" s="577"/>
      <c r="S98" s="576"/>
      <c r="T98" s="568"/>
      <c r="U98" s="513"/>
      <c r="AB98" s="512"/>
    </row>
    <row r="99" spans="1:28" outlineLevel="2" x14ac:dyDescent="0.2">
      <c r="A99" s="497">
        <f t="shared" si="23"/>
        <v>8</v>
      </c>
      <c r="B99" s="524"/>
      <c r="C99" s="523"/>
      <c r="D99" s="523"/>
      <c r="G99" s="522"/>
      <c r="H99" s="521">
        <v>1</v>
      </c>
      <c r="I99" s="507" t="str">
        <f>IF(E96=0,"0",G96/H96)</f>
        <v>0</v>
      </c>
      <c r="K99" s="520">
        <f t="shared" si="35"/>
        <v>0.375</v>
      </c>
      <c r="L99" s="519">
        <f t="shared" si="33"/>
        <v>0</v>
      </c>
      <c r="M99" s="518">
        <v>0.41666666666666669</v>
      </c>
      <c r="N99" s="516"/>
      <c r="O99" s="517" t="e">
        <f t="shared" si="34"/>
        <v>#DIV/0!</v>
      </c>
      <c r="P99" s="517"/>
      <c r="Q99" s="575"/>
      <c r="R99" s="574"/>
      <c r="S99" s="573"/>
      <c r="T99" s="568"/>
      <c r="U99" s="513"/>
      <c r="AB99" s="512"/>
    </row>
    <row r="100" spans="1:28" outlineLevel="2" x14ac:dyDescent="0.2">
      <c r="A100" s="497">
        <f t="shared" si="23"/>
        <v>8</v>
      </c>
      <c r="B100" s="524"/>
      <c r="C100" s="523"/>
      <c r="D100" s="523"/>
      <c r="G100" s="522"/>
      <c r="H100" s="521">
        <v>1</v>
      </c>
      <c r="I100" s="507" t="str">
        <f>IF(E96=0,"0",G96/H96)</f>
        <v>0</v>
      </c>
      <c r="K100" s="530">
        <f t="shared" si="35"/>
        <v>0.41666666666666669</v>
      </c>
      <c r="L100" s="493">
        <f t="shared" si="33"/>
        <v>0</v>
      </c>
      <c r="M100" s="528">
        <v>0.45833333333333331</v>
      </c>
      <c r="N100" s="527"/>
      <c r="O100" s="526" t="e">
        <f t="shared" si="34"/>
        <v>#DIV/0!</v>
      </c>
      <c r="P100" s="579"/>
      <c r="Q100" s="578"/>
      <c r="R100" s="577"/>
      <c r="S100" s="576"/>
      <c r="T100" s="568"/>
      <c r="U100" s="513"/>
      <c r="AB100" s="512"/>
    </row>
    <row r="101" spans="1:28" outlineLevel="2" x14ac:dyDescent="0.2">
      <c r="A101" s="497">
        <f t="shared" si="23"/>
        <v>8</v>
      </c>
      <c r="B101" s="524"/>
      <c r="C101" s="523"/>
      <c r="D101" s="523"/>
      <c r="G101" s="522"/>
      <c r="H101" s="521">
        <v>0.5</v>
      </c>
      <c r="I101" s="507" t="str">
        <f>IF(E96=0,"0",G96/H96)</f>
        <v>0</v>
      </c>
      <c r="K101" s="520">
        <f t="shared" si="35"/>
        <v>0.45833333333333331</v>
      </c>
      <c r="L101" s="519">
        <f t="shared" si="33"/>
        <v>0</v>
      </c>
      <c r="M101" s="518">
        <v>0.5</v>
      </c>
      <c r="N101" s="516"/>
      <c r="O101" s="517" t="e">
        <f t="shared" si="34"/>
        <v>#DIV/0!</v>
      </c>
      <c r="P101" s="517"/>
      <c r="Q101" s="575"/>
      <c r="R101" s="574"/>
      <c r="S101" s="573"/>
      <c r="T101" s="568"/>
      <c r="U101" s="513"/>
      <c r="AB101" s="512"/>
    </row>
    <row r="102" spans="1:28" outlineLevel="2" x14ac:dyDescent="0.2">
      <c r="A102" s="497">
        <f t="shared" si="23"/>
        <v>8</v>
      </c>
      <c r="B102" s="524"/>
      <c r="C102" s="523"/>
      <c r="D102" s="523"/>
      <c r="G102" s="522"/>
      <c r="H102" s="521">
        <v>1</v>
      </c>
      <c r="I102" s="507" t="str">
        <f>IF(E96=0,"0",G96/H96)</f>
        <v>0</v>
      </c>
      <c r="K102" s="530">
        <f t="shared" si="35"/>
        <v>0.5</v>
      </c>
      <c r="L102" s="493">
        <f t="shared" si="33"/>
        <v>0</v>
      </c>
      <c r="M102" s="528">
        <v>0.54166666666666663</v>
      </c>
      <c r="N102" s="527"/>
      <c r="O102" s="526" t="e">
        <f t="shared" si="34"/>
        <v>#DIV/0!</v>
      </c>
      <c r="P102" s="579"/>
      <c r="Q102" s="578"/>
      <c r="R102" s="577"/>
      <c r="S102" s="576"/>
      <c r="T102" s="568"/>
      <c r="U102" s="513"/>
      <c r="AB102" s="512"/>
    </row>
    <row r="103" spans="1:28" outlineLevel="2" x14ac:dyDescent="0.2">
      <c r="A103" s="497">
        <f t="shared" si="23"/>
        <v>8</v>
      </c>
      <c r="B103" s="524"/>
      <c r="C103" s="523"/>
      <c r="D103" s="523"/>
      <c r="G103" s="522"/>
      <c r="H103" s="521">
        <v>1</v>
      </c>
      <c r="I103" s="507" t="str">
        <f>IF(E96=0,"0",G96/H96)</f>
        <v>0</v>
      </c>
      <c r="K103" s="520">
        <f t="shared" si="35"/>
        <v>0.54166666666666663</v>
      </c>
      <c r="L103" s="519">
        <f t="shared" si="33"/>
        <v>0</v>
      </c>
      <c r="M103" s="518">
        <v>0.58333333333333337</v>
      </c>
      <c r="N103" s="516"/>
      <c r="O103" s="517" t="e">
        <f t="shared" si="34"/>
        <v>#DIV/0!</v>
      </c>
      <c r="P103" s="517"/>
      <c r="Q103" s="575"/>
      <c r="R103" s="574"/>
      <c r="S103" s="573"/>
      <c r="T103" s="568"/>
      <c r="U103" s="513"/>
      <c r="AB103" s="512"/>
    </row>
    <row r="104" spans="1:28" outlineLevel="2" x14ac:dyDescent="0.2">
      <c r="A104" s="497">
        <f t="shared" si="23"/>
        <v>8</v>
      </c>
      <c r="B104" s="524"/>
      <c r="C104" s="523"/>
      <c r="D104" s="523"/>
      <c r="G104" s="522"/>
      <c r="H104" s="521">
        <v>1</v>
      </c>
      <c r="I104" s="507" t="str">
        <f>IF(E96=0,"0",G96/H96)</f>
        <v>0</v>
      </c>
      <c r="K104" s="506">
        <f t="shared" si="35"/>
        <v>0.58333333333333337</v>
      </c>
      <c r="L104" s="493">
        <f t="shared" si="33"/>
        <v>0</v>
      </c>
      <c r="M104" s="505">
        <v>0.625</v>
      </c>
      <c r="N104" s="504"/>
      <c r="O104" s="503" t="e">
        <f t="shared" si="34"/>
        <v>#DIV/0!</v>
      </c>
      <c r="P104" s="572"/>
      <c r="Q104" s="571"/>
      <c r="R104" s="570"/>
      <c r="S104" s="569"/>
      <c r="T104" s="568"/>
      <c r="U104" s="500"/>
      <c r="V104" s="499"/>
      <c r="W104" s="499"/>
      <c r="Y104" s="499"/>
      <c r="Z104" s="499"/>
      <c r="AA104" s="499"/>
      <c r="AB104" s="498"/>
    </row>
    <row r="105" spans="1:28" s="545" customFormat="1" outlineLevel="1" x14ac:dyDescent="0.2">
      <c r="A105" s="497">
        <f t="shared" si="23"/>
        <v>8</v>
      </c>
      <c r="B105" s="551">
        <f>B96</f>
        <v>46072</v>
      </c>
      <c r="C105" s="550" t="s">
        <v>210</v>
      </c>
      <c r="D105" s="550"/>
      <c r="E105" s="549"/>
      <c r="F105" s="548"/>
      <c r="G105" s="547">
        <f>+E105*12*F105/100000</f>
        <v>0</v>
      </c>
      <c r="H105" s="546" t="str">
        <f>IF(E105="","0",SUM(H106:H113))</f>
        <v>0</v>
      </c>
      <c r="I105" s="598">
        <f>SUM(I106:I113)</f>
        <v>0</v>
      </c>
      <c r="K105" s="567" t="str">
        <f>C105</f>
        <v>T2</v>
      </c>
      <c r="L105" s="566" t="str">
        <f>IF(N105=0,"0",SUM(L106:L113))</f>
        <v>0</v>
      </c>
      <c r="M105" s="563"/>
      <c r="N105" s="565">
        <f>SUM(N106:N113)</f>
        <v>0</v>
      </c>
      <c r="O105" s="564" t="e">
        <f>+N105/L105</f>
        <v>#DIV/0!</v>
      </c>
      <c r="P105" s="563"/>
      <c r="Q105" s="562"/>
      <c r="R105" s="562"/>
      <c r="S105" s="561"/>
      <c r="T105" s="536"/>
      <c r="U105" s="485"/>
      <c r="V105" s="485"/>
      <c r="W105" s="485"/>
      <c r="X105" s="485"/>
      <c r="Y105" s="485"/>
      <c r="Z105" s="485"/>
      <c r="AA105" s="485"/>
      <c r="AB105" s="537"/>
    </row>
    <row r="106" spans="1:28" s="486" customFormat="1" outlineLevel="2" x14ac:dyDescent="0.2">
      <c r="A106" s="497">
        <f t="shared" ref="A106:A137" si="36">$A$9</f>
        <v>8</v>
      </c>
      <c r="B106" s="524"/>
      <c r="C106" s="523"/>
      <c r="D106" s="523"/>
      <c r="E106" s="485"/>
      <c r="F106" s="485"/>
      <c r="G106" s="522"/>
      <c r="H106" s="521">
        <v>1</v>
      </c>
      <c r="I106" s="507" t="str">
        <f>IF(E105=0,"0",G105/H105)</f>
        <v>0</v>
      </c>
      <c r="J106" s="485"/>
      <c r="K106" s="530">
        <v>0.625</v>
      </c>
      <c r="L106" s="493">
        <f t="shared" ref="L106:L113" si="37">IF(M106="","",I106*H106)</f>
        <v>0</v>
      </c>
      <c r="M106" s="528">
        <v>0.66666666666666663</v>
      </c>
      <c r="N106" s="527"/>
      <c r="O106" s="526" t="e">
        <f t="shared" ref="O106:O113" si="38">IF(M106="","",N106/L106)</f>
        <v>#DIV/0!</v>
      </c>
      <c r="P106" s="485"/>
      <c r="Q106" s="560"/>
      <c r="R106" s="487"/>
      <c r="S106" s="525"/>
      <c r="U106" s="535"/>
      <c r="V106" s="534"/>
      <c r="W106" s="534"/>
      <c r="X106" s="485"/>
      <c r="Y106" s="534"/>
      <c r="Z106" s="534"/>
      <c r="AA106" s="534"/>
      <c r="AB106" s="533"/>
    </row>
    <row r="107" spans="1:28" s="486" customFormat="1" outlineLevel="2" x14ac:dyDescent="0.2">
      <c r="A107" s="497">
        <f t="shared" si="36"/>
        <v>8</v>
      </c>
      <c r="B107" s="524"/>
      <c r="C107" s="523"/>
      <c r="D107" s="523"/>
      <c r="E107" s="485"/>
      <c r="F107" s="485"/>
      <c r="G107" s="522"/>
      <c r="H107" s="521">
        <v>0.5</v>
      </c>
      <c r="I107" s="507" t="str">
        <f>IF(E105=0,"0",G105/H105)</f>
        <v>0</v>
      </c>
      <c r="J107" s="485"/>
      <c r="K107" s="520">
        <f t="shared" ref="K107:K113" si="39">M106</f>
        <v>0.66666666666666663</v>
      </c>
      <c r="L107" s="519">
        <f t="shared" si="37"/>
        <v>0</v>
      </c>
      <c r="M107" s="518">
        <v>0.70833333333333337</v>
      </c>
      <c r="N107" s="516"/>
      <c r="O107" s="517" t="e">
        <f t="shared" si="38"/>
        <v>#DIV/0!</v>
      </c>
      <c r="P107" s="516"/>
      <c r="Q107" s="559"/>
      <c r="R107" s="515"/>
      <c r="S107" s="514"/>
      <c r="U107" s="513"/>
      <c r="V107" s="485"/>
      <c r="W107" s="485"/>
      <c r="X107" s="485"/>
      <c r="Y107" s="485"/>
      <c r="Z107" s="485"/>
      <c r="AA107" s="485"/>
      <c r="AB107" s="512"/>
    </row>
    <row r="108" spans="1:28" s="486" customFormat="1" outlineLevel="2" x14ac:dyDescent="0.2">
      <c r="A108" s="497">
        <f t="shared" si="36"/>
        <v>8</v>
      </c>
      <c r="B108" s="524"/>
      <c r="C108" s="523"/>
      <c r="D108" s="523"/>
      <c r="E108" s="485"/>
      <c r="F108" s="485"/>
      <c r="G108" s="522"/>
      <c r="H108" s="521">
        <v>1</v>
      </c>
      <c r="I108" s="507" t="str">
        <f>IF(E105=0,"0",G105/H105)</f>
        <v>0</v>
      </c>
      <c r="J108" s="485"/>
      <c r="K108" s="530">
        <f t="shared" si="39"/>
        <v>0.70833333333333337</v>
      </c>
      <c r="L108" s="493">
        <f t="shared" si="37"/>
        <v>0</v>
      </c>
      <c r="M108" s="528">
        <v>0.75</v>
      </c>
      <c r="N108" s="527"/>
      <c r="O108" s="526" t="e">
        <f t="shared" si="38"/>
        <v>#DIV/0!</v>
      </c>
      <c r="P108" s="485"/>
      <c r="Q108" s="487"/>
      <c r="R108" s="487"/>
      <c r="S108" s="525"/>
      <c r="U108" s="513"/>
      <c r="V108" s="485"/>
      <c r="W108" s="485"/>
      <c r="X108" s="485"/>
      <c r="Y108" s="485"/>
      <c r="Z108" s="485"/>
      <c r="AA108" s="485"/>
      <c r="AB108" s="512"/>
    </row>
    <row r="109" spans="1:28" s="486" customFormat="1" outlineLevel="2" x14ac:dyDescent="0.2">
      <c r="A109" s="497">
        <f t="shared" si="36"/>
        <v>8</v>
      </c>
      <c r="B109" s="524"/>
      <c r="C109" s="523"/>
      <c r="D109" s="523"/>
      <c r="E109" s="485"/>
      <c r="F109" s="485"/>
      <c r="G109" s="522"/>
      <c r="H109" s="521">
        <v>1</v>
      </c>
      <c r="I109" s="507" t="str">
        <f>IF(E105=0,"0",G105/H105)</f>
        <v>0</v>
      </c>
      <c r="J109" s="485"/>
      <c r="K109" s="520">
        <f t="shared" si="39"/>
        <v>0.75</v>
      </c>
      <c r="L109" s="519">
        <f t="shared" si="37"/>
        <v>0</v>
      </c>
      <c r="M109" s="518">
        <v>0.79166666666666663</v>
      </c>
      <c r="N109" s="516"/>
      <c r="O109" s="517" t="e">
        <f t="shared" si="38"/>
        <v>#DIV/0!</v>
      </c>
      <c r="P109" s="516"/>
      <c r="Q109" s="558"/>
      <c r="R109" s="515"/>
      <c r="S109" s="514"/>
      <c r="U109" s="513"/>
      <c r="V109" s="485"/>
      <c r="W109" s="485"/>
      <c r="X109" s="485"/>
      <c r="Y109" s="485"/>
      <c r="Z109" s="485"/>
      <c r="AA109" s="485"/>
      <c r="AB109" s="512"/>
    </row>
    <row r="110" spans="1:28" s="486" customFormat="1" outlineLevel="2" x14ac:dyDescent="0.2">
      <c r="A110" s="497">
        <f t="shared" si="36"/>
        <v>8</v>
      </c>
      <c r="B110" s="524"/>
      <c r="C110" s="523"/>
      <c r="D110" s="523"/>
      <c r="E110" s="485"/>
      <c r="F110" s="485"/>
      <c r="G110" s="522"/>
      <c r="H110" s="521">
        <v>0.5</v>
      </c>
      <c r="I110" s="507" t="str">
        <f>IF(E105=0,"0",G105/H105)</f>
        <v>0</v>
      </c>
      <c r="J110" s="485"/>
      <c r="K110" s="530">
        <f t="shared" si="39"/>
        <v>0.79166666666666663</v>
      </c>
      <c r="L110" s="493">
        <f t="shared" si="37"/>
        <v>0</v>
      </c>
      <c r="M110" s="528">
        <v>0.83333333333333337</v>
      </c>
      <c r="N110" s="527"/>
      <c r="O110" s="526" t="e">
        <f t="shared" si="38"/>
        <v>#DIV/0!</v>
      </c>
      <c r="P110" s="485"/>
      <c r="Q110" s="487"/>
      <c r="R110" s="487"/>
      <c r="S110" s="525"/>
      <c r="U110" s="513"/>
      <c r="V110" s="485"/>
      <c r="W110" s="485"/>
      <c r="X110" s="485"/>
      <c r="Y110" s="485"/>
      <c r="Z110" s="485"/>
      <c r="AA110" s="485"/>
      <c r="AB110" s="512"/>
    </row>
    <row r="111" spans="1:28" s="486" customFormat="1" outlineLevel="2" x14ac:dyDescent="0.2">
      <c r="A111" s="497">
        <f t="shared" si="36"/>
        <v>8</v>
      </c>
      <c r="B111" s="524"/>
      <c r="C111" s="523"/>
      <c r="D111" s="523"/>
      <c r="E111" s="485"/>
      <c r="F111" s="485"/>
      <c r="G111" s="522"/>
      <c r="H111" s="521">
        <v>1</v>
      </c>
      <c r="I111" s="507" t="str">
        <f>IF(E105=0,"0",G105/H105)</f>
        <v>0</v>
      </c>
      <c r="J111" s="485"/>
      <c r="K111" s="520">
        <f t="shared" si="39"/>
        <v>0.83333333333333337</v>
      </c>
      <c r="L111" s="519">
        <f t="shared" si="37"/>
        <v>0</v>
      </c>
      <c r="M111" s="518">
        <v>0.875</v>
      </c>
      <c r="N111" s="516"/>
      <c r="O111" s="517" t="e">
        <f t="shared" si="38"/>
        <v>#DIV/0!</v>
      </c>
      <c r="P111" s="516"/>
      <c r="Q111" s="515"/>
      <c r="R111" s="515"/>
      <c r="S111" s="514"/>
      <c r="U111" s="513"/>
      <c r="V111" s="485"/>
      <c r="W111" s="485"/>
      <c r="X111" s="485"/>
      <c r="Y111" s="485"/>
      <c r="Z111" s="485"/>
      <c r="AA111" s="485"/>
      <c r="AB111" s="512"/>
    </row>
    <row r="112" spans="1:28" s="486" customFormat="1" outlineLevel="2" x14ac:dyDescent="0.2">
      <c r="A112" s="497">
        <f t="shared" si="36"/>
        <v>8</v>
      </c>
      <c r="B112" s="524"/>
      <c r="C112" s="523"/>
      <c r="D112" s="523"/>
      <c r="E112" s="485"/>
      <c r="F112" s="485"/>
      <c r="G112" s="522"/>
      <c r="H112" s="521">
        <v>1</v>
      </c>
      <c r="I112" s="507" t="str">
        <f>IF(E105=0,"0",G105/H105)</f>
        <v>0</v>
      </c>
      <c r="J112" s="485"/>
      <c r="K112" s="530">
        <f t="shared" si="39"/>
        <v>0.875</v>
      </c>
      <c r="L112" s="493">
        <f t="shared" si="37"/>
        <v>0</v>
      </c>
      <c r="M112" s="528">
        <v>0.91666666666666663</v>
      </c>
      <c r="N112" s="527"/>
      <c r="O112" s="526" t="e">
        <f t="shared" si="38"/>
        <v>#DIV/0!</v>
      </c>
      <c r="P112" s="485"/>
      <c r="Q112" s="487"/>
      <c r="R112" s="487"/>
      <c r="S112" s="525"/>
      <c r="U112" s="513"/>
      <c r="V112" s="485"/>
      <c r="W112" s="485"/>
      <c r="X112" s="485"/>
      <c r="Y112" s="485"/>
      <c r="Z112" s="485"/>
      <c r="AA112" s="485"/>
      <c r="AB112" s="512"/>
    </row>
    <row r="113" spans="1:28" s="486" customFormat="1" outlineLevel="2" x14ac:dyDescent="0.2">
      <c r="A113" s="497">
        <f t="shared" si="36"/>
        <v>8</v>
      </c>
      <c r="B113" s="524"/>
      <c r="C113" s="523"/>
      <c r="D113" s="523"/>
      <c r="E113" s="485"/>
      <c r="F113" s="485"/>
      <c r="G113" s="522"/>
      <c r="H113" s="521">
        <v>1</v>
      </c>
      <c r="I113" s="507" t="str">
        <f>IF(E105=0,"0",G105/H105)</f>
        <v>0</v>
      </c>
      <c r="J113" s="485"/>
      <c r="K113" s="557">
        <f t="shared" si="39"/>
        <v>0.91666666666666663</v>
      </c>
      <c r="L113" s="519">
        <f t="shared" si="37"/>
        <v>0</v>
      </c>
      <c r="M113" s="556">
        <v>0.95833333333333337</v>
      </c>
      <c r="N113" s="554"/>
      <c r="O113" s="555" t="e">
        <f t="shared" si="38"/>
        <v>#DIV/0!</v>
      </c>
      <c r="P113" s="554"/>
      <c r="Q113" s="553"/>
      <c r="R113" s="553"/>
      <c r="S113" s="552"/>
      <c r="U113" s="500"/>
      <c r="V113" s="499"/>
      <c r="W113" s="499"/>
      <c r="X113" s="485"/>
      <c r="Y113" s="499"/>
      <c r="Z113" s="499"/>
      <c r="AA113" s="499"/>
      <c r="AB113" s="498"/>
    </row>
    <row r="114" spans="1:28" s="536" customFormat="1" outlineLevel="1" x14ac:dyDescent="0.2">
      <c r="A114" s="497">
        <f t="shared" si="36"/>
        <v>8</v>
      </c>
      <c r="B114" s="551">
        <f>B96</f>
        <v>46072</v>
      </c>
      <c r="C114" s="550" t="s">
        <v>211</v>
      </c>
      <c r="D114" s="550"/>
      <c r="E114" s="549">
        <v>15000</v>
      </c>
      <c r="F114" s="548">
        <v>630</v>
      </c>
      <c r="G114" s="547">
        <f>+E114*12*F114/100000</f>
        <v>1134</v>
      </c>
      <c r="H114" s="546">
        <f>IF(E114="","0",SUM(H115:H122))</f>
        <v>7</v>
      </c>
      <c r="I114" s="598">
        <f>SUM(I115:I122)</f>
        <v>1296</v>
      </c>
      <c r="J114" s="545"/>
      <c r="K114" s="544" t="str">
        <f>C114</f>
        <v>T3</v>
      </c>
      <c r="L114" s="543" t="str">
        <f>IF(N114=0,"0",SUM(L115:L122))</f>
        <v>0</v>
      </c>
      <c r="M114" s="540"/>
      <c r="N114" s="542">
        <f>SUM(N115:N122)</f>
        <v>0</v>
      </c>
      <c r="O114" s="541" t="e">
        <f>+N114/L114</f>
        <v>#DIV/0!</v>
      </c>
      <c r="P114" s="540"/>
      <c r="Q114" s="539"/>
      <c r="R114" s="539"/>
      <c r="S114" s="538"/>
      <c r="U114" s="485"/>
      <c r="V114" s="485"/>
      <c r="W114" s="485"/>
      <c r="X114" s="485"/>
      <c r="Y114" s="485"/>
      <c r="Z114" s="485"/>
      <c r="AA114" s="485"/>
      <c r="AB114" s="537"/>
    </row>
    <row r="115" spans="1:28" s="486" customFormat="1" outlineLevel="2" x14ac:dyDescent="0.2">
      <c r="A115" s="497">
        <f t="shared" si="36"/>
        <v>8</v>
      </c>
      <c r="B115" s="524"/>
      <c r="C115" s="523"/>
      <c r="D115" s="523"/>
      <c r="E115" s="485"/>
      <c r="F115" s="485"/>
      <c r="G115" s="522"/>
      <c r="H115" s="521">
        <v>1</v>
      </c>
      <c r="I115" s="507">
        <f>IF(E114=0,"0",G114/H114)</f>
        <v>162</v>
      </c>
      <c r="J115" s="485"/>
      <c r="K115" s="520">
        <v>0.95833333333333337</v>
      </c>
      <c r="L115" s="519">
        <f t="shared" ref="L115:L122" si="40">IF(M115="","",I115*H115)</f>
        <v>162</v>
      </c>
      <c r="M115" s="518">
        <v>0</v>
      </c>
      <c r="N115" s="516"/>
      <c r="O115" s="517">
        <f t="shared" ref="O115:O122" si="41">IF(M115="","",N115/L115)</f>
        <v>0</v>
      </c>
      <c r="P115" s="516"/>
      <c r="Q115" s="515"/>
      <c r="R115" s="515"/>
      <c r="S115" s="514"/>
      <c r="U115" s="535"/>
      <c r="V115" s="534"/>
      <c r="W115" s="534"/>
      <c r="X115" s="485"/>
      <c r="Y115" s="534"/>
      <c r="Z115" s="534"/>
      <c r="AA115" s="534"/>
      <c r="AB115" s="533"/>
    </row>
    <row r="116" spans="1:28" s="486" customFormat="1" outlineLevel="2" x14ac:dyDescent="0.2">
      <c r="A116" s="497">
        <f t="shared" si="36"/>
        <v>8</v>
      </c>
      <c r="B116" s="524"/>
      <c r="C116" s="523"/>
      <c r="D116" s="523"/>
      <c r="E116" s="485"/>
      <c r="F116" s="485"/>
      <c r="G116" s="522"/>
      <c r="H116" s="521">
        <v>0.5</v>
      </c>
      <c r="I116" s="507">
        <f>IF(E114=0,"0",G114/H114)</f>
        <v>162</v>
      </c>
      <c r="J116" s="485"/>
      <c r="K116" s="530">
        <f t="shared" ref="K116:K122" si="42">M115</f>
        <v>0</v>
      </c>
      <c r="L116" s="493">
        <f t="shared" si="40"/>
        <v>81</v>
      </c>
      <c r="M116" s="528">
        <v>4.1666666666666664E-2</v>
      </c>
      <c r="N116" s="527"/>
      <c r="O116" s="526">
        <f t="shared" si="41"/>
        <v>0</v>
      </c>
      <c r="P116" s="485"/>
      <c r="Q116" s="532"/>
      <c r="R116" s="487"/>
      <c r="S116" s="525"/>
      <c r="U116" s="513"/>
      <c r="V116" s="485"/>
      <c r="W116" s="485"/>
      <c r="X116" s="485"/>
      <c r="Y116" s="485"/>
      <c r="Z116" s="485"/>
      <c r="AA116" s="485"/>
      <c r="AB116" s="512"/>
    </row>
    <row r="117" spans="1:28" s="486" customFormat="1" outlineLevel="2" x14ac:dyDescent="0.2">
      <c r="A117" s="497">
        <f t="shared" si="36"/>
        <v>8</v>
      </c>
      <c r="B117" s="524"/>
      <c r="C117" s="523"/>
      <c r="D117" s="523"/>
      <c r="E117" s="485"/>
      <c r="F117" s="485"/>
      <c r="G117" s="522"/>
      <c r="H117" s="521">
        <v>1</v>
      </c>
      <c r="I117" s="507">
        <f>IF(E114=0,"0",G114/H114)</f>
        <v>162</v>
      </c>
      <c r="J117" s="485"/>
      <c r="K117" s="520">
        <f t="shared" si="42"/>
        <v>4.1666666666666664E-2</v>
      </c>
      <c r="L117" s="519">
        <f t="shared" si="40"/>
        <v>162</v>
      </c>
      <c r="M117" s="518">
        <v>8.3333333333333329E-2</v>
      </c>
      <c r="N117" s="516"/>
      <c r="O117" s="517">
        <f t="shared" si="41"/>
        <v>0</v>
      </c>
      <c r="P117" s="516"/>
      <c r="Q117" s="531"/>
      <c r="R117" s="515"/>
      <c r="S117" s="514"/>
      <c r="U117" s="513"/>
      <c r="V117" s="485"/>
      <c r="W117" s="485"/>
      <c r="X117" s="485"/>
      <c r="Y117" s="485"/>
      <c r="Z117" s="485"/>
      <c r="AA117" s="485"/>
      <c r="AB117" s="512"/>
    </row>
    <row r="118" spans="1:28" s="486" customFormat="1" outlineLevel="2" x14ac:dyDescent="0.2">
      <c r="A118" s="497">
        <f t="shared" si="36"/>
        <v>8</v>
      </c>
      <c r="B118" s="524"/>
      <c r="C118" s="523"/>
      <c r="D118" s="523"/>
      <c r="E118" s="485"/>
      <c r="F118" s="485"/>
      <c r="G118" s="522"/>
      <c r="H118" s="521">
        <v>1</v>
      </c>
      <c r="I118" s="507">
        <f>IF(E114=0,"0",G114/H114)</f>
        <v>162</v>
      </c>
      <c r="J118" s="485"/>
      <c r="K118" s="530">
        <f t="shared" si="42"/>
        <v>8.3333333333333329E-2</v>
      </c>
      <c r="L118" s="493">
        <f t="shared" si="40"/>
        <v>162</v>
      </c>
      <c r="M118" s="528">
        <v>0.125</v>
      </c>
      <c r="N118" s="527"/>
      <c r="O118" s="526">
        <f t="shared" si="41"/>
        <v>0</v>
      </c>
      <c r="P118" s="485"/>
      <c r="Q118" s="532"/>
      <c r="R118" s="487"/>
      <c r="S118" s="525"/>
      <c r="U118" s="513"/>
      <c r="V118" s="485"/>
      <c r="W118" s="485"/>
      <c r="X118" s="485"/>
      <c r="Y118" s="485"/>
      <c r="Z118" s="485"/>
      <c r="AA118" s="485"/>
      <c r="AB118" s="512"/>
    </row>
    <row r="119" spans="1:28" s="486" customFormat="1" outlineLevel="2" x14ac:dyDescent="0.2">
      <c r="A119" s="497">
        <f t="shared" si="36"/>
        <v>8</v>
      </c>
      <c r="B119" s="524"/>
      <c r="C119" s="523"/>
      <c r="D119" s="523"/>
      <c r="E119" s="485"/>
      <c r="F119" s="485"/>
      <c r="G119" s="522"/>
      <c r="H119" s="521">
        <v>0.5</v>
      </c>
      <c r="I119" s="507">
        <f>IF(E114=0,"0",G114/H114)</f>
        <v>162</v>
      </c>
      <c r="J119" s="485"/>
      <c r="K119" s="520">
        <f t="shared" si="42"/>
        <v>0.125</v>
      </c>
      <c r="L119" s="519">
        <f t="shared" si="40"/>
        <v>81</v>
      </c>
      <c r="M119" s="518">
        <v>0.16666666666666666</v>
      </c>
      <c r="N119" s="516"/>
      <c r="O119" s="517">
        <f t="shared" si="41"/>
        <v>0</v>
      </c>
      <c r="P119" s="516"/>
      <c r="Q119" s="531"/>
      <c r="R119" s="515"/>
      <c r="S119" s="514"/>
      <c r="U119" s="513"/>
      <c r="V119" s="485"/>
      <c r="W119" s="485"/>
      <c r="X119" s="485"/>
      <c r="Y119" s="485"/>
      <c r="Z119" s="485"/>
      <c r="AA119" s="485"/>
      <c r="AB119" s="512"/>
    </row>
    <row r="120" spans="1:28" s="486" customFormat="1" outlineLevel="2" x14ac:dyDescent="0.2">
      <c r="A120" s="497">
        <f t="shared" si="36"/>
        <v>8</v>
      </c>
      <c r="B120" s="524"/>
      <c r="C120" s="523"/>
      <c r="D120" s="523"/>
      <c r="E120" s="485"/>
      <c r="F120" s="485"/>
      <c r="G120" s="522"/>
      <c r="H120" s="521">
        <v>1</v>
      </c>
      <c r="I120" s="507">
        <f>IF(E114=0,"0",G114/H114)</f>
        <v>162</v>
      </c>
      <c r="J120" s="485"/>
      <c r="K120" s="530">
        <f t="shared" si="42"/>
        <v>0.16666666666666666</v>
      </c>
      <c r="L120" s="493">
        <f t="shared" si="40"/>
        <v>162</v>
      </c>
      <c r="M120" s="528">
        <v>0.20833333333333334</v>
      </c>
      <c r="N120" s="527"/>
      <c r="O120" s="526">
        <f t="shared" si="41"/>
        <v>0</v>
      </c>
      <c r="P120" s="485"/>
      <c r="Q120" s="487"/>
      <c r="R120" s="487"/>
      <c r="S120" s="525"/>
      <c r="U120" s="513"/>
      <c r="V120" s="485"/>
      <c r="W120" s="485"/>
      <c r="X120" s="485"/>
      <c r="Y120" s="485"/>
      <c r="Z120" s="485"/>
      <c r="AA120" s="485"/>
      <c r="AB120" s="512"/>
    </row>
    <row r="121" spans="1:28" s="486" customFormat="1" outlineLevel="2" x14ac:dyDescent="0.2">
      <c r="A121" s="497">
        <f t="shared" si="36"/>
        <v>8</v>
      </c>
      <c r="B121" s="524"/>
      <c r="C121" s="523"/>
      <c r="D121" s="523"/>
      <c r="E121" s="485"/>
      <c r="F121" s="485"/>
      <c r="G121" s="522"/>
      <c r="H121" s="521">
        <v>1</v>
      </c>
      <c r="I121" s="507">
        <f>IF(E114=0,"0",G114/H114)</f>
        <v>162</v>
      </c>
      <c r="J121" s="485"/>
      <c r="K121" s="520">
        <f t="shared" si="42"/>
        <v>0.20833333333333334</v>
      </c>
      <c r="L121" s="519">
        <f t="shared" si="40"/>
        <v>162</v>
      </c>
      <c r="M121" s="518">
        <v>0.25</v>
      </c>
      <c r="N121" s="516"/>
      <c r="O121" s="517">
        <f t="shared" si="41"/>
        <v>0</v>
      </c>
      <c r="P121" s="516"/>
      <c r="Q121" s="515"/>
      <c r="R121" s="515"/>
      <c r="S121" s="514"/>
      <c r="U121" s="513"/>
      <c r="V121" s="485"/>
      <c r="W121" s="485"/>
      <c r="X121" s="485"/>
      <c r="Y121" s="485"/>
      <c r="Z121" s="485"/>
      <c r="AA121" s="485"/>
      <c r="AB121" s="512"/>
    </row>
    <row r="122" spans="1:28" s="486" customFormat="1" outlineLevel="2" x14ac:dyDescent="0.2">
      <c r="A122" s="497">
        <f t="shared" si="36"/>
        <v>8</v>
      </c>
      <c r="B122" s="511"/>
      <c r="C122" s="510"/>
      <c r="D122" s="510"/>
      <c r="E122" s="499"/>
      <c r="F122" s="499"/>
      <c r="G122" s="509"/>
      <c r="H122" s="508">
        <v>1</v>
      </c>
      <c r="I122" s="507">
        <f>IF(E114=0,"0",G114/H114)</f>
        <v>162</v>
      </c>
      <c r="J122" s="485"/>
      <c r="K122" s="506">
        <f t="shared" si="42"/>
        <v>0.25</v>
      </c>
      <c r="L122" s="638">
        <f t="shared" si="40"/>
        <v>162</v>
      </c>
      <c r="M122" s="505">
        <v>0.33333333333333331</v>
      </c>
      <c r="N122" s="504"/>
      <c r="O122" s="503">
        <f t="shared" si="41"/>
        <v>0</v>
      </c>
      <c r="P122" s="499"/>
      <c r="Q122" s="502"/>
      <c r="R122" s="502"/>
      <c r="S122" s="501"/>
      <c r="U122" s="500"/>
      <c r="V122" s="499"/>
      <c r="W122" s="499"/>
      <c r="X122" s="485"/>
      <c r="Y122" s="499"/>
      <c r="Z122" s="499"/>
      <c r="AA122" s="499"/>
      <c r="AB122" s="498"/>
    </row>
    <row r="123" spans="1:28" s="489" customFormat="1" outlineLevel="1" x14ac:dyDescent="0.2">
      <c r="A123" s="497">
        <f t="shared" si="36"/>
        <v>8</v>
      </c>
      <c r="B123" s="496"/>
      <c r="C123" s="495"/>
      <c r="D123" s="495"/>
      <c r="G123" s="596"/>
      <c r="H123" s="495"/>
      <c r="I123" s="494"/>
      <c r="K123" s="492"/>
      <c r="L123" s="493"/>
      <c r="M123" s="492"/>
      <c r="O123" s="491"/>
      <c r="Q123" s="490"/>
      <c r="R123" s="490"/>
      <c r="S123" s="490"/>
      <c r="T123" s="486"/>
    </row>
    <row r="124" spans="1:28" s="585" customFormat="1" ht="15.75" x14ac:dyDescent="0.2">
      <c r="A124" s="497">
        <f t="shared" si="36"/>
        <v>8</v>
      </c>
      <c r="B124" s="595">
        <f>B125</f>
        <v>46073</v>
      </c>
      <c r="C124" s="593"/>
      <c r="D124" s="593"/>
      <c r="E124" s="587">
        <f>+E125+E134+E143</f>
        <v>90000</v>
      </c>
      <c r="F124" s="587"/>
      <c r="G124" s="594">
        <f>+G125+G134+G143</f>
        <v>6804</v>
      </c>
      <c r="H124" s="593">
        <f>+H125+H134+H143</f>
        <v>21</v>
      </c>
      <c r="I124" s="592">
        <f>+I125+I134+I143</f>
        <v>7776</v>
      </c>
      <c r="J124" s="587"/>
      <c r="K124" s="591"/>
      <c r="L124" s="590">
        <f>SUM(L126:L133,L135:L142,L144:L151)</f>
        <v>6804</v>
      </c>
      <c r="M124" s="589"/>
      <c r="N124" s="565">
        <f>SUM(N126:N133,N135:N142,N144:N151)</f>
        <v>0</v>
      </c>
      <c r="O124" s="588">
        <f>+N124/L124</f>
        <v>0</v>
      </c>
      <c r="P124" s="587"/>
      <c r="Q124" s="586"/>
      <c r="R124" s="586"/>
      <c r="S124" s="586"/>
    </row>
    <row r="125" spans="1:28" outlineLevel="1" x14ac:dyDescent="0.2">
      <c r="A125" s="497">
        <f t="shared" si="36"/>
        <v>8</v>
      </c>
      <c r="B125" s="584">
        <f>+B96+1</f>
        <v>46073</v>
      </c>
      <c r="C125" s="583" t="s">
        <v>208</v>
      </c>
      <c r="D125" s="583"/>
      <c r="E125" s="548">
        <v>30000</v>
      </c>
      <c r="F125" s="548">
        <v>630</v>
      </c>
      <c r="G125" s="547">
        <f>+E125*12*F125/100000</f>
        <v>2268</v>
      </c>
      <c r="H125" s="546">
        <f>IF(E125="","0",SUM(H126:H133))</f>
        <v>7</v>
      </c>
      <c r="I125" s="598">
        <f>SUM(I126:I133)</f>
        <v>2592</v>
      </c>
      <c r="J125" s="545"/>
      <c r="K125" s="513" t="str">
        <f>C125</f>
        <v>T1</v>
      </c>
      <c r="L125" s="582">
        <f>SUM(L126:L133)</f>
        <v>2268</v>
      </c>
      <c r="M125" s="545"/>
      <c r="N125" s="565">
        <f>SUM(N126:N133)</f>
        <v>0</v>
      </c>
      <c r="O125" s="581">
        <f>+N125/L125</f>
        <v>0</v>
      </c>
      <c r="P125" s="579"/>
      <c r="Q125" s="577"/>
      <c r="R125" s="577"/>
      <c r="S125" s="576"/>
      <c r="T125" s="568"/>
      <c r="U125" s="535"/>
      <c r="V125" s="534"/>
      <c r="W125" s="534"/>
      <c r="Y125" s="534"/>
      <c r="Z125" s="534"/>
      <c r="AA125" s="534"/>
      <c r="AB125" s="533"/>
    </row>
    <row r="126" spans="1:28" outlineLevel="2" x14ac:dyDescent="0.2">
      <c r="A126" s="497">
        <f t="shared" si="36"/>
        <v>8</v>
      </c>
      <c r="B126" s="524"/>
      <c r="C126" s="523"/>
      <c r="D126" s="523"/>
      <c r="G126" s="522"/>
      <c r="H126" s="521">
        <v>1</v>
      </c>
      <c r="I126" s="507">
        <f>IF(E125=0,"0",G125/H125)</f>
        <v>324</v>
      </c>
      <c r="K126" s="520">
        <v>0.29166666666666669</v>
      </c>
      <c r="L126" s="519">
        <f t="shared" ref="L126:L133" si="43">IF(M126="","",I126*H126)</f>
        <v>324</v>
      </c>
      <c r="M126" s="518">
        <v>0.33333333333333331</v>
      </c>
      <c r="N126" s="516"/>
      <c r="O126" s="517">
        <f t="shared" ref="O126:O133" si="44">IF(M126="","",N126/L126)</f>
        <v>0</v>
      </c>
      <c r="P126" s="517"/>
      <c r="Q126" s="580"/>
      <c r="R126" s="574"/>
      <c r="S126" s="573"/>
      <c r="T126" s="568"/>
      <c r="U126" s="513"/>
      <c r="AB126" s="512"/>
    </row>
    <row r="127" spans="1:28" outlineLevel="2" x14ac:dyDescent="0.2">
      <c r="A127" s="497">
        <f t="shared" si="36"/>
        <v>8</v>
      </c>
      <c r="B127" s="524"/>
      <c r="C127" s="523"/>
      <c r="D127" s="523"/>
      <c r="G127" s="522"/>
      <c r="H127" s="521">
        <v>0.5</v>
      </c>
      <c r="I127" s="507">
        <f>IF(E125=0,"0",G125/H125)</f>
        <v>324</v>
      </c>
      <c r="K127" s="530">
        <f t="shared" ref="K127:K133" si="45">M126</f>
        <v>0.33333333333333331</v>
      </c>
      <c r="L127" s="493">
        <f t="shared" si="43"/>
        <v>162</v>
      </c>
      <c r="M127" s="528">
        <v>0.375</v>
      </c>
      <c r="N127" s="527"/>
      <c r="O127" s="526">
        <f t="shared" si="44"/>
        <v>0</v>
      </c>
      <c r="P127" s="579"/>
      <c r="Q127" s="578"/>
      <c r="R127" s="577"/>
      <c r="S127" s="576"/>
      <c r="T127" s="568"/>
      <c r="U127" s="513"/>
      <c r="AB127" s="512"/>
    </row>
    <row r="128" spans="1:28" outlineLevel="2" x14ac:dyDescent="0.2">
      <c r="A128" s="497">
        <f t="shared" si="36"/>
        <v>8</v>
      </c>
      <c r="B128" s="524"/>
      <c r="C128" s="523"/>
      <c r="D128" s="523"/>
      <c r="G128" s="522"/>
      <c r="H128" s="521">
        <v>1</v>
      </c>
      <c r="I128" s="507">
        <f>IF(E125=0,"0",G125/H125)</f>
        <v>324</v>
      </c>
      <c r="K128" s="520">
        <f t="shared" si="45"/>
        <v>0.375</v>
      </c>
      <c r="L128" s="519">
        <f t="shared" si="43"/>
        <v>324</v>
      </c>
      <c r="M128" s="518">
        <v>0.41666666666666669</v>
      </c>
      <c r="N128" s="516"/>
      <c r="O128" s="517">
        <f t="shared" si="44"/>
        <v>0</v>
      </c>
      <c r="P128" s="517"/>
      <c r="Q128" s="575"/>
      <c r="R128" s="574"/>
      <c r="S128" s="573"/>
      <c r="T128" s="568"/>
      <c r="U128" s="513"/>
      <c r="AB128" s="512"/>
    </row>
    <row r="129" spans="1:28" outlineLevel="2" x14ac:dyDescent="0.2">
      <c r="A129" s="497">
        <f t="shared" si="36"/>
        <v>8</v>
      </c>
      <c r="B129" s="524"/>
      <c r="C129" s="523"/>
      <c r="D129" s="523"/>
      <c r="G129" s="522"/>
      <c r="H129" s="521">
        <v>1</v>
      </c>
      <c r="I129" s="507">
        <f>IF(E125=0,"0",G125/H125)</f>
        <v>324</v>
      </c>
      <c r="K129" s="530">
        <f t="shared" si="45"/>
        <v>0.41666666666666669</v>
      </c>
      <c r="L129" s="493">
        <f t="shared" si="43"/>
        <v>324</v>
      </c>
      <c r="M129" s="528">
        <v>0.45833333333333331</v>
      </c>
      <c r="N129" s="527"/>
      <c r="O129" s="526">
        <f t="shared" si="44"/>
        <v>0</v>
      </c>
      <c r="P129" s="579"/>
      <c r="Q129" s="578"/>
      <c r="R129" s="577"/>
      <c r="S129" s="576"/>
      <c r="T129" s="568"/>
      <c r="U129" s="513"/>
      <c r="AB129" s="512"/>
    </row>
    <row r="130" spans="1:28" outlineLevel="2" x14ac:dyDescent="0.2">
      <c r="A130" s="497">
        <f t="shared" si="36"/>
        <v>8</v>
      </c>
      <c r="B130" s="524"/>
      <c r="C130" s="523"/>
      <c r="D130" s="523"/>
      <c r="G130" s="522"/>
      <c r="H130" s="521">
        <v>0.5</v>
      </c>
      <c r="I130" s="507">
        <f>IF(E125=0,"0",G125/H125)</f>
        <v>324</v>
      </c>
      <c r="K130" s="520">
        <f t="shared" si="45"/>
        <v>0.45833333333333331</v>
      </c>
      <c r="L130" s="519">
        <f t="shared" si="43"/>
        <v>162</v>
      </c>
      <c r="M130" s="518">
        <v>0.5</v>
      </c>
      <c r="N130" s="516"/>
      <c r="O130" s="517">
        <f t="shared" si="44"/>
        <v>0</v>
      </c>
      <c r="P130" s="517"/>
      <c r="Q130" s="575"/>
      <c r="R130" s="574"/>
      <c r="S130" s="573"/>
      <c r="T130" s="568"/>
      <c r="U130" s="513"/>
      <c r="AB130" s="512"/>
    </row>
    <row r="131" spans="1:28" outlineLevel="2" x14ac:dyDescent="0.2">
      <c r="A131" s="497">
        <f t="shared" si="36"/>
        <v>8</v>
      </c>
      <c r="B131" s="524"/>
      <c r="C131" s="523"/>
      <c r="D131" s="523"/>
      <c r="G131" s="522"/>
      <c r="H131" s="521">
        <v>1</v>
      </c>
      <c r="I131" s="507">
        <f>IF(E125=0,"0",G125/H125)</f>
        <v>324</v>
      </c>
      <c r="K131" s="530">
        <f t="shared" si="45"/>
        <v>0.5</v>
      </c>
      <c r="L131" s="493">
        <f t="shared" si="43"/>
        <v>324</v>
      </c>
      <c r="M131" s="528">
        <v>0.54166666666666663</v>
      </c>
      <c r="N131" s="527"/>
      <c r="O131" s="526">
        <f t="shared" si="44"/>
        <v>0</v>
      </c>
      <c r="P131" s="579"/>
      <c r="Q131" s="578"/>
      <c r="R131" s="577"/>
      <c r="S131" s="576"/>
      <c r="T131" s="568"/>
      <c r="U131" s="513"/>
      <c r="AB131" s="512"/>
    </row>
    <row r="132" spans="1:28" outlineLevel="2" x14ac:dyDescent="0.2">
      <c r="A132" s="497">
        <f t="shared" si="36"/>
        <v>8</v>
      </c>
      <c r="B132" s="524"/>
      <c r="C132" s="523"/>
      <c r="D132" s="523"/>
      <c r="G132" s="522"/>
      <c r="H132" s="521">
        <v>1</v>
      </c>
      <c r="I132" s="507">
        <f>IF(E125=0,"0",G125/H125)</f>
        <v>324</v>
      </c>
      <c r="K132" s="520">
        <f t="shared" si="45"/>
        <v>0.54166666666666663</v>
      </c>
      <c r="L132" s="519">
        <f t="shared" si="43"/>
        <v>324</v>
      </c>
      <c r="M132" s="518">
        <v>0.58333333333333337</v>
      </c>
      <c r="N132" s="516"/>
      <c r="O132" s="517">
        <f t="shared" si="44"/>
        <v>0</v>
      </c>
      <c r="P132" s="517"/>
      <c r="Q132" s="575"/>
      <c r="R132" s="574"/>
      <c r="S132" s="573"/>
      <c r="T132" s="568"/>
      <c r="U132" s="513"/>
      <c r="AB132" s="512"/>
    </row>
    <row r="133" spans="1:28" outlineLevel="2" x14ac:dyDescent="0.2">
      <c r="A133" s="497">
        <f t="shared" si="36"/>
        <v>8</v>
      </c>
      <c r="B133" s="524"/>
      <c r="C133" s="523"/>
      <c r="D133" s="523"/>
      <c r="G133" s="522"/>
      <c r="H133" s="521">
        <v>1</v>
      </c>
      <c r="I133" s="507">
        <f>IF(E125=0,"0",G125/H125)</f>
        <v>324</v>
      </c>
      <c r="K133" s="506">
        <f t="shared" si="45"/>
        <v>0.58333333333333337</v>
      </c>
      <c r="L133" s="493">
        <f t="shared" si="43"/>
        <v>324</v>
      </c>
      <c r="M133" s="505">
        <v>0.625</v>
      </c>
      <c r="N133" s="504"/>
      <c r="O133" s="503">
        <f t="shared" si="44"/>
        <v>0</v>
      </c>
      <c r="P133" s="572"/>
      <c r="Q133" s="571"/>
      <c r="R133" s="570"/>
      <c r="S133" s="569"/>
      <c r="T133" s="568"/>
      <c r="U133" s="500"/>
      <c r="V133" s="499"/>
      <c r="W133" s="499"/>
      <c r="Y133" s="499"/>
      <c r="Z133" s="499"/>
      <c r="AA133" s="499"/>
      <c r="AB133" s="498"/>
    </row>
    <row r="134" spans="1:28" s="545" customFormat="1" outlineLevel="1" x14ac:dyDescent="0.2">
      <c r="A134" s="497">
        <f t="shared" si="36"/>
        <v>8</v>
      </c>
      <c r="B134" s="551">
        <f>B125</f>
        <v>46073</v>
      </c>
      <c r="C134" s="550" t="s">
        <v>210</v>
      </c>
      <c r="D134" s="550"/>
      <c r="E134" s="549">
        <v>30000</v>
      </c>
      <c r="F134" s="548">
        <v>630</v>
      </c>
      <c r="G134" s="547">
        <f>+E134*12*F134/100000</f>
        <v>2268</v>
      </c>
      <c r="H134" s="546">
        <f>IF(E134="","0",SUM(H135:H142))</f>
        <v>7</v>
      </c>
      <c r="I134" s="598">
        <f>SUM(I135:I142)</f>
        <v>2592</v>
      </c>
      <c r="K134" s="567" t="str">
        <f>C134</f>
        <v>T2</v>
      </c>
      <c r="L134" s="566" t="str">
        <f>IF(N134=0,"0",SUM(L135:L142))</f>
        <v>0</v>
      </c>
      <c r="M134" s="563"/>
      <c r="N134" s="565">
        <f>SUM(N135:N142)</f>
        <v>0</v>
      </c>
      <c r="O134" s="564" t="e">
        <f>+N134/L134</f>
        <v>#DIV/0!</v>
      </c>
      <c r="P134" s="563"/>
      <c r="Q134" s="562"/>
      <c r="R134" s="562"/>
      <c r="S134" s="561"/>
      <c r="T134" s="536"/>
      <c r="U134" s="485"/>
      <c r="V134" s="485"/>
      <c r="W134" s="485"/>
      <c r="X134" s="485"/>
      <c r="Y134" s="485"/>
      <c r="Z134" s="485"/>
      <c r="AA134" s="485"/>
      <c r="AB134" s="537"/>
    </row>
    <row r="135" spans="1:28" s="486" customFormat="1" outlineLevel="2" x14ac:dyDescent="0.2">
      <c r="A135" s="497">
        <f t="shared" si="36"/>
        <v>8</v>
      </c>
      <c r="B135" s="524"/>
      <c r="C135" s="523"/>
      <c r="D135" s="523"/>
      <c r="E135" s="485"/>
      <c r="F135" s="485"/>
      <c r="G135" s="522"/>
      <c r="H135" s="521">
        <v>1</v>
      </c>
      <c r="I135" s="507">
        <f>IF(E134=0,"0",G134/H134)</f>
        <v>324</v>
      </c>
      <c r="J135" s="485"/>
      <c r="K135" s="530">
        <v>0.625</v>
      </c>
      <c r="L135" s="493">
        <f t="shared" ref="L135:L142" si="46">IF(M135="","",I135*H135)</f>
        <v>324</v>
      </c>
      <c r="M135" s="528">
        <v>0.66666666666666663</v>
      </c>
      <c r="N135" s="527"/>
      <c r="O135" s="526">
        <f t="shared" ref="O135:O142" si="47">IF(M135="","",N135/L135)</f>
        <v>0</v>
      </c>
      <c r="P135" s="485"/>
      <c r="Q135" s="560"/>
      <c r="R135" s="487"/>
      <c r="S135" s="525"/>
      <c r="U135" s="535"/>
      <c r="V135" s="534"/>
      <c r="W135" s="534"/>
      <c r="X135" s="485"/>
      <c r="Y135" s="534"/>
      <c r="Z135" s="534"/>
      <c r="AA135" s="534"/>
      <c r="AB135" s="533"/>
    </row>
    <row r="136" spans="1:28" s="486" customFormat="1" outlineLevel="2" x14ac:dyDescent="0.2">
      <c r="A136" s="497">
        <f t="shared" si="36"/>
        <v>8</v>
      </c>
      <c r="B136" s="524"/>
      <c r="C136" s="523"/>
      <c r="D136" s="523"/>
      <c r="E136" s="485"/>
      <c r="F136" s="485"/>
      <c r="G136" s="522"/>
      <c r="H136" s="521">
        <v>0.5</v>
      </c>
      <c r="I136" s="507">
        <f>IF(E134=0,"0",G134/H134)</f>
        <v>324</v>
      </c>
      <c r="J136" s="485"/>
      <c r="K136" s="520">
        <f t="shared" ref="K136:K142" si="48">M135</f>
        <v>0.66666666666666663</v>
      </c>
      <c r="L136" s="519">
        <f t="shared" si="46"/>
        <v>162</v>
      </c>
      <c r="M136" s="518">
        <v>0.70833333333333337</v>
      </c>
      <c r="N136" s="516"/>
      <c r="O136" s="517">
        <f t="shared" si="47"/>
        <v>0</v>
      </c>
      <c r="P136" s="516"/>
      <c r="Q136" s="559"/>
      <c r="R136" s="515"/>
      <c r="S136" s="514"/>
      <c r="U136" s="513"/>
      <c r="V136" s="485"/>
      <c r="W136" s="485"/>
      <c r="X136" s="485"/>
      <c r="Y136" s="485"/>
      <c r="Z136" s="485"/>
      <c r="AA136" s="485"/>
      <c r="AB136" s="512"/>
    </row>
    <row r="137" spans="1:28" s="486" customFormat="1" outlineLevel="2" x14ac:dyDescent="0.2">
      <c r="A137" s="497">
        <f t="shared" si="36"/>
        <v>8</v>
      </c>
      <c r="B137" s="524"/>
      <c r="C137" s="523"/>
      <c r="D137" s="523"/>
      <c r="E137" s="485"/>
      <c r="F137" s="485"/>
      <c r="G137" s="522"/>
      <c r="H137" s="521">
        <v>1</v>
      </c>
      <c r="I137" s="507">
        <f>IF(E134=0,"0",G134/H134)</f>
        <v>324</v>
      </c>
      <c r="J137" s="485"/>
      <c r="K137" s="530">
        <f t="shared" si="48"/>
        <v>0.70833333333333337</v>
      </c>
      <c r="L137" s="493">
        <f t="shared" si="46"/>
        <v>324</v>
      </c>
      <c r="M137" s="528">
        <v>0.75</v>
      </c>
      <c r="N137" s="527"/>
      <c r="O137" s="526">
        <f t="shared" si="47"/>
        <v>0</v>
      </c>
      <c r="P137" s="485"/>
      <c r="Q137" s="487"/>
      <c r="R137" s="487"/>
      <c r="S137" s="525"/>
      <c r="U137" s="513"/>
      <c r="V137" s="485"/>
      <c r="W137" s="485"/>
      <c r="X137" s="485"/>
      <c r="Y137" s="485"/>
      <c r="Z137" s="485"/>
      <c r="AA137" s="485"/>
      <c r="AB137" s="512"/>
    </row>
    <row r="138" spans="1:28" s="486" customFormat="1" outlineLevel="2" x14ac:dyDescent="0.2">
      <c r="A138" s="497">
        <f t="shared" ref="A138:A169" si="49">$A$9</f>
        <v>8</v>
      </c>
      <c r="B138" s="524"/>
      <c r="C138" s="523"/>
      <c r="D138" s="523"/>
      <c r="E138" s="485"/>
      <c r="F138" s="485"/>
      <c r="G138" s="522"/>
      <c r="H138" s="521">
        <v>1</v>
      </c>
      <c r="I138" s="507">
        <f>IF(E134=0,"0",G134/H134)</f>
        <v>324</v>
      </c>
      <c r="J138" s="485"/>
      <c r="K138" s="520">
        <f t="shared" si="48"/>
        <v>0.75</v>
      </c>
      <c r="L138" s="519">
        <f t="shared" si="46"/>
        <v>324</v>
      </c>
      <c r="M138" s="518">
        <v>0.79166666666666663</v>
      </c>
      <c r="N138" s="516"/>
      <c r="O138" s="517">
        <f t="shared" si="47"/>
        <v>0</v>
      </c>
      <c r="P138" s="516"/>
      <c r="Q138" s="558"/>
      <c r="R138" s="515"/>
      <c r="S138" s="514"/>
      <c r="U138" s="513"/>
      <c r="V138" s="485"/>
      <c r="W138" s="485"/>
      <c r="X138" s="485"/>
      <c r="Y138" s="485"/>
      <c r="Z138" s="485"/>
      <c r="AA138" s="485"/>
      <c r="AB138" s="512"/>
    </row>
    <row r="139" spans="1:28" s="486" customFormat="1" outlineLevel="2" x14ac:dyDescent="0.2">
      <c r="A139" s="497">
        <f t="shared" si="49"/>
        <v>8</v>
      </c>
      <c r="B139" s="524"/>
      <c r="C139" s="523"/>
      <c r="D139" s="523"/>
      <c r="E139" s="485"/>
      <c r="F139" s="485"/>
      <c r="G139" s="522"/>
      <c r="H139" s="521">
        <v>0.5</v>
      </c>
      <c r="I139" s="507">
        <f>IF(E134=0,"0",G134/H134)</f>
        <v>324</v>
      </c>
      <c r="J139" s="485"/>
      <c r="K139" s="530">
        <f t="shared" si="48"/>
        <v>0.79166666666666663</v>
      </c>
      <c r="L139" s="493">
        <f t="shared" si="46"/>
        <v>162</v>
      </c>
      <c r="M139" s="528">
        <v>0.83333333333333337</v>
      </c>
      <c r="N139" s="527"/>
      <c r="O139" s="526">
        <f t="shared" si="47"/>
        <v>0</v>
      </c>
      <c r="P139" s="485"/>
      <c r="Q139" s="487"/>
      <c r="R139" s="487"/>
      <c r="S139" s="525"/>
      <c r="U139" s="513"/>
      <c r="V139" s="485"/>
      <c r="W139" s="485"/>
      <c r="X139" s="485"/>
      <c r="Y139" s="485"/>
      <c r="Z139" s="485"/>
      <c r="AA139" s="485"/>
      <c r="AB139" s="512"/>
    </row>
    <row r="140" spans="1:28" s="486" customFormat="1" outlineLevel="2" x14ac:dyDescent="0.2">
      <c r="A140" s="497">
        <f t="shared" si="49"/>
        <v>8</v>
      </c>
      <c r="B140" s="524"/>
      <c r="C140" s="523"/>
      <c r="D140" s="523"/>
      <c r="E140" s="485"/>
      <c r="F140" s="485"/>
      <c r="G140" s="522"/>
      <c r="H140" s="521">
        <v>1</v>
      </c>
      <c r="I140" s="507">
        <f>IF(E134=0,"0",G134/H134)</f>
        <v>324</v>
      </c>
      <c r="J140" s="485"/>
      <c r="K140" s="520">
        <f t="shared" si="48"/>
        <v>0.83333333333333337</v>
      </c>
      <c r="L140" s="519">
        <f t="shared" si="46"/>
        <v>324</v>
      </c>
      <c r="M140" s="518">
        <v>0.875</v>
      </c>
      <c r="N140" s="516"/>
      <c r="O140" s="517">
        <f t="shared" si="47"/>
        <v>0</v>
      </c>
      <c r="P140" s="516"/>
      <c r="Q140" s="515"/>
      <c r="R140" s="515"/>
      <c r="S140" s="514"/>
      <c r="U140" s="513"/>
      <c r="V140" s="485"/>
      <c r="W140" s="485"/>
      <c r="X140" s="485"/>
      <c r="Y140" s="485"/>
      <c r="Z140" s="485"/>
      <c r="AA140" s="485"/>
      <c r="AB140" s="512"/>
    </row>
    <row r="141" spans="1:28" s="486" customFormat="1" outlineLevel="2" x14ac:dyDescent="0.2">
      <c r="A141" s="497">
        <f t="shared" si="49"/>
        <v>8</v>
      </c>
      <c r="B141" s="524"/>
      <c r="C141" s="523"/>
      <c r="D141" s="523"/>
      <c r="E141" s="485"/>
      <c r="F141" s="485"/>
      <c r="G141" s="522"/>
      <c r="H141" s="521">
        <v>1</v>
      </c>
      <c r="I141" s="507">
        <f>IF(E134=0,"0",G134/H134)</f>
        <v>324</v>
      </c>
      <c r="J141" s="485"/>
      <c r="K141" s="530">
        <f t="shared" si="48"/>
        <v>0.875</v>
      </c>
      <c r="L141" s="493">
        <f t="shared" si="46"/>
        <v>324</v>
      </c>
      <c r="M141" s="528">
        <v>0.91666666666666663</v>
      </c>
      <c r="N141" s="527"/>
      <c r="O141" s="526">
        <f t="shared" si="47"/>
        <v>0</v>
      </c>
      <c r="P141" s="485"/>
      <c r="Q141" s="487"/>
      <c r="R141" s="487"/>
      <c r="S141" s="525"/>
      <c r="U141" s="513"/>
      <c r="V141" s="485"/>
      <c r="W141" s="485"/>
      <c r="X141" s="485"/>
      <c r="Y141" s="485"/>
      <c r="Z141" s="485"/>
      <c r="AA141" s="485"/>
      <c r="AB141" s="512"/>
    </row>
    <row r="142" spans="1:28" s="486" customFormat="1" outlineLevel="2" x14ac:dyDescent="0.2">
      <c r="A142" s="497">
        <f t="shared" si="49"/>
        <v>8</v>
      </c>
      <c r="B142" s="524"/>
      <c r="C142" s="523"/>
      <c r="D142" s="523"/>
      <c r="E142" s="485"/>
      <c r="F142" s="485"/>
      <c r="G142" s="522"/>
      <c r="H142" s="521">
        <v>1</v>
      </c>
      <c r="I142" s="507">
        <f>IF(E134=0,"0",G134/H134)</f>
        <v>324</v>
      </c>
      <c r="J142" s="485"/>
      <c r="K142" s="557">
        <f t="shared" si="48"/>
        <v>0.91666666666666663</v>
      </c>
      <c r="L142" s="519">
        <f t="shared" si="46"/>
        <v>324</v>
      </c>
      <c r="M142" s="556">
        <v>0.95833333333333337</v>
      </c>
      <c r="N142" s="554"/>
      <c r="O142" s="555">
        <f t="shared" si="47"/>
        <v>0</v>
      </c>
      <c r="P142" s="554"/>
      <c r="Q142" s="553"/>
      <c r="R142" s="553"/>
      <c r="S142" s="552"/>
      <c r="U142" s="500"/>
      <c r="V142" s="499"/>
      <c r="W142" s="499"/>
      <c r="X142" s="485"/>
      <c r="Y142" s="499"/>
      <c r="Z142" s="499"/>
      <c r="AA142" s="499"/>
      <c r="AB142" s="498"/>
    </row>
    <row r="143" spans="1:28" s="536" customFormat="1" outlineLevel="1" x14ac:dyDescent="0.2">
      <c r="A143" s="497">
        <f t="shared" si="49"/>
        <v>8</v>
      </c>
      <c r="B143" s="551">
        <f>B125</f>
        <v>46073</v>
      </c>
      <c r="C143" s="550" t="s">
        <v>211</v>
      </c>
      <c r="D143" s="550"/>
      <c r="E143" s="549">
        <v>30000</v>
      </c>
      <c r="F143" s="548">
        <v>630</v>
      </c>
      <c r="G143" s="547">
        <f>+E143*12*F143/100000</f>
        <v>2268</v>
      </c>
      <c r="H143" s="546">
        <f>IF(E143="","0",SUM(H144:H151))</f>
        <v>7</v>
      </c>
      <c r="I143" s="598">
        <f>SUM(I144:I151)</f>
        <v>2592</v>
      </c>
      <c r="J143" s="545"/>
      <c r="K143" s="544" t="str">
        <f>C143</f>
        <v>T3</v>
      </c>
      <c r="L143" s="543" t="str">
        <f>IF(N143=0,"0",SUM(L144:L151))</f>
        <v>0</v>
      </c>
      <c r="M143" s="540"/>
      <c r="N143" s="542">
        <f>SUM(N144:N151)</f>
        <v>0</v>
      </c>
      <c r="O143" s="541" t="e">
        <f>+N143/L143</f>
        <v>#DIV/0!</v>
      </c>
      <c r="P143" s="540"/>
      <c r="Q143" s="539"/>
      <c r="R143" s="539"/>
      <c r="S143" s="538"/>
      <c r="U143" s="485"/>
      <c r="V143" s="485"/>
      <c r="W143" s="485"/>
      <c r="X143" s="485"/>
      <c r="Y143" s="485"/>
      <c r="Z143" s="485"/>
      <c r="AA143" s="485"/>
      <c r="AB143" s="537"/>
    </row>
    <row r="144" spans="1:28" s="486" customFormat="1" outlineLevel="2" x14ac:dyDescent="0.2">
      <c r="A144" s="497">
        <f t="shared" si="49"/>
        <v>8</v>
      </c>
      <c r="B144" s="524"/>
      <c r="C144" s="523"/>
      <c r="D144" s="523"/>
      <c r="E144" s="485"/>
      <c r="F144" s="485"/>
      <c r="G144" s="522"/>
      <c r="H144" s="521">
        <v>1</v>
      </c>
      <c r="I144" s="507">
        <f>IF(E143=0,"0",G143/H143)</f>
        <v>324</v>
      </c>
      <c r="J144" s="485"/>
      <c r="K144" s="520">
        <v>0.95833333333333337</v>
      </c>
      <c r="L144" s="519">
        <f t="shared" ref="L144:L151" si="50">IF(M144="","",I144*H144)</f>
        <v>324</v>
      </c>
      <c r="M144" s="518">
        <v>0</v>
      </c>
      <c r="N144" s="516"/>
      <c r="O144" s="517">
        <f t="shared" ref="O144:O151" si="51">IF(M144="","",N144/L144)</f>
        <v>0</v>
      </c>
      <c r="P144" s="516"/>
      <c r="Q144" s="515"/>
      <c r="R144" s="515"/>
      <c r="S144" s="514"/>
      <c r="U144" s="535"/>
      <c r="V144" s="534"/>
      <c r="W144" s="534"/>
      <c r="X144" s="485"/>
      <c r="Y144" s="534"/>
      <c r="Z144" s="534"/>
      <c r="AA144" s="534"/>
      <c r="AB144" s="533"/>
    </row>
    <row r="145" spans="1:28" s="486" customFormat="1" outlineLevel="2" x14ac:dyDescent="0.2">
      <c r="A145" s="497">
        <f t="shared" si="49"/>
        <v>8</v>
      </c>
      <c r="B145" s="524"/>
      <c r="C145" s="523"/>
      <c r="D145" s="523"/>
      <c r="E145" s="485"/>
      <c r="F145" s="485"/>
      <c r="G145" s="522"/>
      <c r="H145" s="521">
        <v>0.5</v>
      </c>
      <c r="I145" s="507">
        <f>IF(E143=0,"0",G143/H143)</f>
        <v>324</v>
      </c>
      <c r="J145" s="485"/>
      <c r="K145" s="530">
        <f t="shared" ref="K145:K151" si="52">M144</f>
        <v>0</v>
      </c>
      <c r="L145" s="493">
        <f t="shared" si="50"/>
        <v>162</v>
      </c>
      <c r="M145" s="528">
        <v>4.1666666666666664E-2</v>
      </c>
      <c r="N145" s="527"/>
      <c r="O145" s="526">
        <f t="shared" si="51"/>
        <v>0</v>
      </c>
      <c r="P145" s="485"/>
      <c r="Q145" s="532"/>
      <c r="R145" s="487"/>
      <c r="S145" s="525"/>
      <c r="U145" s="513"/>
      <c r="V145" s="485"/>
      <c r="W145" s="485"/>
      <c r="X145" s="485"/>
      <c r="Y145" s="485"/>
      <c r="Z145" s="485"/>
      <c r="AA145" s="485"/>
      <c r="AB145" s="512"/>
    </row>
    <row r="146" spans="1:28" s="486" customFormat="1" outlineLevel="2" x14ac:dyDescent="0.2">
      <c r="A146" s="497">
        <f t="shared" si="49"/>
        <v>8</v>
      </c>
      <c r="B146" s="524"/>
      <c r="C146" s="523"/>
      <c r="D146" s="523"/>
      <c r="E146" s="485"/>
      <c r="F146" s="485"/>
      <c r="G146" s="522"/>
      <c r="H146" s="521">
        <v>1</v>
      </c>
      <c r="I146" s="507">
        <f>IF(E143=0,"0",G143/H143)</f>
        <v>324</v>
      </c>
      <c r="J146" s="485"/>
      <c r="K146" s="520">
        <f t="shared" si="52"/>
        <v>4.1666666666666664E-2</v>
      </c>
      <c r="L146" s="519">
        <f t="shared" si="50"/>
        <v>324</v>
      </c>
      <c r="M146" s="518">
        <v>8.3333333333333329E-2</v>
      </c>
      <c r="N146" s="516"/>
      <c r="O146" s="517">
        <f t="shared" si="51"/>
        <v>0</v>
      </c>
      <c r="P146" s="516"/>
      <c r="Q146" s="531"/>
      <c r="R146" s="515"/>
      <c r="S146" s="514"/>
      <c r="U146" s="513"/>
      <c r="V146" s="485"/>
      <c r="W146" s="485"/>
      <c r="X146" s="485"/>
      <c r="Y146" s="485"/>
      <c r="Z146" s="485"/>
      <c r="AA146" s="485"/>
      <c r="AB146" s="512"/>
    </row>
    <row r="147" spans="1:28" s="486" customFormat="1" outlineLevel="2" x14ac:dyDescent="0.2">
      <c r="A147" s="497">
        <f t="shared" si="49"/>
        <v>8</v>
      </c>
      <c r="B147" s="524"/>
      <c r="C147" s="523"/>
      <c r="D147" s="523"/>
      <c r="E147" s="485"/>
      <c r="F147" s="485"/>
      <c r="G147" s="522"/>
      <c r="H147" s="521">
        <v>1</v>
      </c>
      <c r="I147" s="507">
        <f>IF(E143=0,"0",G143/H143)</f>
        <v>324</v>
      </c>
      <c r="J147" s="485"/>
      <c r="K147" s="530">
        <f t="shared" si="52"/>
        <v>8.3333333333333329E-2</v>
      </c>
      <c r="L147" s="493">
        <f t="shared" si="50"/>
        <v>324</v>
      </c>
      <c r="M147" s="528">
        <v>0.125</v>
      </c>
      <c r="N147" s="527"/>
      <c r="O147" s="526">
        <f t="shared" si="51"/>
        <v>0</v>
      </c>
      <c r="P147" s="485"/>
      <c r="Q147" s="532"/>
      <c r="R147" s="487"/>
      <c r="S147" s="525"/>
      <c r="U147" s="513"/>
      <c r="V147" s="485"/>
      <c r="W147" s="485"/>
      <c r="X147" s="485"/>
      <c r="Y147" s="485"/>
      <c r="Z147" s="485"/>
      <c r="AA147" s="485"/>
      <c r="AB147" s="512"/>
    </row>
    <row r="148" spans="1:28" s="486" customFormat="1" outlineLevel="2" x14ac:dyDescent="0.2">
      <c r="A148" s="497">
        <f t="shared" si="49"/>
        <v>8</v>
      </c>
      <c r="B148" s="524"/>
      <c r="C148" s="523"/>
      <c r="D148" s="523"/>
      <c r="E148" s="485"/>
      <c r="F148" s="485"/>
      <c r="G148" s="522"/>
      <c r="H148" s="521">
        <v>0.5</v>
      </c>
      <c r="I148" s="507">
        <f>IF(E143=0,"0",G143/H143)</f>
        <v>324</v>
      </c>
      <c r="J148" s="485"/>
      <c r="K148" s="520">
        <f t="shared" si="52"/>
        <v>0.125</v>
      </c>
      <c r="L148" s="519">
        <f t="shared" si="50"/>
        <v>162</v>
      </c>
      <c r="M148" s="518">
        <v>0.16666666666666666</v>
      </c>
      <c r="N148" s="516"/>
      <c r="O148" s="517">
        <f t="shared" si="51"/>
        <v>0</v>
      </c>
      <c r="P148" s="516"/>
      <c r="Q148" s="531"/>
      <c r="R148" s="515"/>
      <c r="S148" s="514"/>
      <c r="U148" s="513"/>
      <c r="V148" s="485"/>
      <c r="W148" s="485"/>
      <c r="X148" s="485"/>
      <c r="Y148" s="485"/>
      <c r="Z148" s="485"/>
      <c r="AA148" s="485"/>
      <c r="AB148" s="512"/>
    </row>
    <row r="149" spans="1:28" s="486" customFormat="1" outlineLevel="2" x14ac:dyDescent="0.2">
      <c r="A149" s="497">
        <f t="shared" si="49"/>
        <v>8</v>
      </c>
      <c r="B149" s="524"/>
      <c r="C149" s="523"/>
      <c r="D149" s="523"/>
      <c r="E149" s="485"/>
      <c r="F149" s="485"/>
      <c r="G149" s="522"/>
      <c r="H149" s="521">
        <v>1</v>
      </c>
      <c r="I149" s="507">
        <f>IF(E143=0,"0",G143/H143)</f>
        <v>324</v>
      </c>
      <c r="J149" s="485"/>
      <c r="K149" s="530">
        <f t="shared" si="52"/>
        <v>0.16666666666666666</v>
      </c>
      <c r="L149" s="493">
        <f t="shared" si="50"/>
        <v>324</v>
      </c>
      <c r="M149" s="528">
        <v>0.20833333333333334</v>
      </c>
      <c r="N149" s="527"/>
      <c r="O149" s="526">
        <f t="shared" si="51"/>
        <v>0</v>
      </c>
      <c r="P149" s="485"/>
      <c r="Q149" s="487"/>
      <c r="R149" s="487"/>
      <c r="S149" s="525"/>
      <c r="U149" s="513"/>
      <c r="V149" s="485"/>
      <c r="W149" s="485"/>
      <c r="X149" s="485"/>
      <c r="Y149" s="485"/>
      <c r="Z149" s="485"/>
      <c r="AA149" s="485"/>
      <c r="AB149" s="512"/>
    </row>
    <row r="150" spans="1:28" s="486" customFormat="1" outlineLevel="2" x14ac:dyDescent="0.2">
      <c r="A150" s="497">
        <f t="shared" si="49"/>
        <v>8</v>
      </c>
      <c r="B150" s="524"/>
      <c r="C150" s="523"/>
      <c r="D150" s="523"/>
      <c r="E150" s="485"/>
      <c r="F150" s="485"/>
      <c r="G150" s="522"/>
      <c r="H150" s="521">
        <v>1</v>
      </c>
      <c r="I150" s="507">
        <f>IF(E143=0,"0",G143/H143)</f>
        <v>324</v>
      </c>
      <c r="J150" s="485"/>
      <c r="K150" s="520">
        <f t="shared" si="52"/>
        <v>0.20833333333333334</v>
      </c>
      <c r="L150" s="519">
        <f t="shared" si="50"/>
        <v>324</v>
      </c>
      <c r="M150" s="518">
        <v>0.25</v>
      </c>
      <c r="N150" s="516"/>
      <c r="O150" s="517">
        <f t="shared" si="51"/>
        <v>0</v>
      </c>
      <c r="P150" s="516"/>
      <c r="Q150" s="515"/>
      <c r="R150" s="515"/>
      <c r="S150" s="514"/>
      <c r="U150" s="513"/>
      <c r="V150" s="485"/>
      <c r="W150" s="485"/>
      <c r="X150" s="485"/>
      <c r="Y150" s="485"/>
      <c r="Z150" s="485"/>
      <c r="AA150" s="485"/>
      <c r="AB150" s="512"/>
    </row>
    <row r="151" spans="1:28" s="486" customFormat="1" outlineLevel="2" x14ac:dyDescent="0.2">
      <c r="A151" s="497">
        <f t="shared" si="49"/>
        <v>8</v>
      </c>
      <c r="B151" s="511"/>
      <c r="C151" s="510"/>
      <c r="D151" s="510"/>
      <c r="E151" s="499"/>
      <c r="F151" s="499"/>
      <c r="G151" s="509"/>
      <c r="H151" s="508">
        <v>1</v>
      </c>
      <c r="I151" s="507">
        <f>IF(E143=0,"0",G143/H143)</f>
        <v>324</v>
      </c>
      <c r="J151" s="485"/>
      <c r="K151" s="506">
        <f t="shared" si="52"/>
        <v>0.25</v>
      </c>
      <c r="L151" s="638">
        <f t="shared" si="50"/>
        <v>324</v>
      </c>
      <c r="M151" s="505">
        <v>0.33333333333333331</v>
      </c>
      <c r="N151" s="504"/>
      <c r="O151" s="503">
        <f t="shared" si="51"/>
        <v>0</v>
      </c>
      <c r="P151" s="499"/>
      <c r="Q151" s="502"/>
      <c r="R151" s="502"/>
      <c r="S151" s="501"/>
      <c r="U151" s="500"/>
      <c r="V151" s="499"/>
      <c r="W151" s="499"/>
      <c r="X151" s="485"/>
      <c r="Y151" s="499"/>
      <c r="Z151" s="499"/>
      <c r="AA151" s="499"/>
      <c r="AB151" s="498"/>
    </row>
    <row r="152" spans="1:28" s="489" customFormat="1" outlineLevel="1" x14ac:dyDescent="0.2">
      <c r="A152" s="497">
        <f t="shared" si="49"/>
        <v>8</v>
      </c>
      <c r="B152" s="496"/>
      <c r="C152" s="495"/>
      <c r="D152" s="495"/>
      <c r="G152" s="596"/>
      <c r="H152" s="495"/>
      <c r="I152" s="494"/>
      <c r="K152" s="492"/>
      <c r="L152" s="493"/>
      <c r="M152" s="492"/>
      <c r="O152" s="491"/>
      <c r="Q152" s="490"/>
      <c r="R152" s="490"/>
      <c r="S152" s="490"/>
      <c r="T152" s="486"/>
    </row>
    <row r="153" spans="1:28" s="585" customFormat="1" ht="15.75" x14ac:dyDescent="0.2">
      <c r="A153" s="497">
        <f t="shared" si="49"/>
        <v>8</v>
      </c>
      <c r="B153" s="595">
        <f>B154</f>
        <v>46074</v>
      </c>
      <c r="C153" s="593"/>
      <c r="D153" s="593"/>
      <c r="E153" s="587">
        <f>+E154+E163+E172</f>
        <v>75000</v>
      </c>
      <c r="F153" s="587"/>
      <c r="G153" s="594">
        <f>+G154+G163+G172</f>
        <v>5706</v>
      </c>
      <c r="H153" s="593">
        <f>+H154+H163+H172</f>
        <v>21</v>
      </c>
      <c r="I153" s="592">
        <f>+I154+I163+I172</f>
        <v>6521.1428571428569</v>
      </c>
      <c r="J153" s="587"/>
      <c r="K153" s="591"/>
      <c r="L153" s="590">
        <f>SUM(L155:L162,L164:L171,L173:L180)</f>
        <v>5705.9999999999982</v>
      </c>
      <c r="M153" s="589"/>
      <c r="N153" s="565">
        <f>SUM(N155:N162,N164:N171,N173:N180)</f>
        <v>0</v>
      </c>
      <c r="O153" s="588">
        <f>+N153/L153</f>
        <v>0</v>
      </c>
      <c r="P153" s="587"/>
      <c r="Q153" s="586"/>
      <c r="R153" s="586"/>
      <c r="S153" s="586"/>
    </row>
    <row r="154" spans="1:28" outlineLevel="1" x14ac:dyDescent="0.2">
      <c r="A154" s="497">
        <f t="shared" si="49"/>
        <v>8</v>
      </c>
      <c r="B154" s="584">
        <f>+B125+1</f>
        <v>46074</v>
      </c>
      <c r="C154" s="583" t="s">
        <v>208</v>
      </c>
      <c r="D154" s="583"/>
      <c r="E154" s="548">
        <v>30000</v>
      </c>
      <c r="F154" s="548">
        <v>630</v>
      </c>
      <c r="G154" s="547">
        <f>+E154*12*F154/100000</f>
        <v>2268</v>
      </c>
      <c r="H154" s="546">
        <f>IF(E154="","0",SUM(H155:H162))</f>
        <v>7</v>
      </c>
      <c r="I154" s="598">
        <f>SUM(I155:I162)</f>
        <v>2592</v>
      </c>
      <c r="J154" s="545"/>
      <c r="K154" s="513" t="str">
        <f>C154</f>
        <v>T1</v>
      </c>
      <c r="L154" s="582">
        <f>SUM(L155:L162)</f>
        <v>2268</v>
      </c>
      <c r="M154" s="545"/>
      <c r="N154" s="565">
        <f>SUM(N155:N162)</f>
        <v>0</v>
      </c>
      <c r="O154" s="581">
        <f>+N154/L154</f>
        <v>0</v>
      </c>
      <c r="P154" s="579"/>
      <c r="Q154" s="577"/>
      <c r="R154" s="577"/>
      <c r="S154" s="576"/>
      <c r="T154" s="568"/>
      <c r="U154" s="535"/>
      <c r="V154" s="534"/>
      <c r="W154" s="534"/>
      <c r="Y154" s="534"/>
      <c r="Z154" s="534"/>
      <c r="AA154" s="534"/>
      <c r="AB154" s="533"/>
    </row>
    <row r="155" spans="1:28" outlineLevel="2" x14ac:dyDescent="0.2">
      <c r="A155" s="497">
        <f t="shared" si="49"/>
        <v>8</v>
      </c>
      <c r="B155" s="524"/>
      <c r="C155" s="523"/>
      <c r="D155" s="523"/>
      <c r="G155" s="522"/>
      <c r="H155" s="521">
        <v>1</v>
      </c>
      <c r="I155" s="507">
        <f>IF(E154=0,"0",G154/H154)</f>
        <v>324</v>
      </c>
      <c r="K155" s="520">
        <v>0.29166666666666669</v>
      </c>
      <c r="L155" s="519">
        <f t="shared" ref="L155:L162" si="53">IF(M155="","",I155*H155)</f>
        <v>324</v>
      </c>
      <c r="M155" s="518">
        <v>0.33333333333333331</v>
      </c>
      <c r="N155" s="516"/>
      <c r="O155" s="517">
        <f t="shared" ref="O155:O162" si="54">IF(M155="","",N155/L155)</f>
        <v>0</v>
      </c>
      <c r="P155" s="517"/>
      <c r="Q155" s="580"/>
      <c r="R155" s="574"/>
      <c r="S155" s="573"/>
      <c r="T155" s="568"/>
      <c r="U155" s="513"/>
      <c r="AB155" s="512"/>
    </row>
    <row r="156" spans="1:28" outlineLevel="2" x14ac:dyDescent="0.2">
      <c r="A156" s="497">
        <f t="shared" si="49"/>
        <v>8</v>
      </c>
      <c r="B156" s="524"/>
      <c r="C156" s="523"/>
      <c r="D156" s="523"/>
      <c r="G156" s="522"/>
      <c r="H156" s="521">
        <v>0.5</v>
      </c>
      <c r="I156" s="507">
        <f>IF(E154=0,"0",G154/H154)</f>
        <v>324</v>
      </c>
      <c r="K156" s="530">
        <f t="shared" ref="K156:K162" si="55">M155</f>
        <v>0.33333333333333331</v>
      </c>
      <c r="L156" s="493">
        <f t="shared" si="53"/>
        <v>162</v>
      </c>
      <c r="M156" s="528">
        <v>0.375</v>
      </c>
      <c r="N156" s="527"/>
      <c r="O156" s="526">
        <f t="shared" si="54"/>
        <v>0</v>
      </c>
      <c r="P156" s="579"/>
      <c r="Q156" s="578"/>
      <c r="R156" s="577"/>
      <c r="S156" s="576"/>
      <c r="T156" s="568"/>
      <c r="U156" s="513"/>
      <c r="AB156" s="512"/>
    </row>
    <row r="157" spans="1:28" outlineLevel="2" x14ac:dyDescent="0.2">
      <c r="A157" s="497">
        <f t="shared" si="49"/>
        <v>8</v>
      </c>
      <c r="B157" s="524"/>
      <c r="C157" s="523"/>
      <c r="D157" s="523"/>
      <c r="G157" s="522"/>
      <c r="H157" s="521">
        <v>1</v>
      </c>
      <c r="I157" s="507">
        <f>IF(E154=0,"0",G154/H154)</f>
        <v>324</v>
      </c>
      <c r="K157" s="520">
        <f t="shared" si="55"/>
        <v>0.375</v>
      </c>
      <c r="L157" s="519">
        <f t="shared" si="53"/>
        <v>324</v>
      </c>
      <c r="M157" s="518">
        <v>0.41666666666666669</v>
      </c>
      <c r="N157" s="516"/>
      <c r="O157" s="517">
        <f t="shared" si="54"/>
        <v>0</v>
      </c>
      <c r="P157" s="517"/>
      <c r="Q157" s="575"/>
      <c r="R157" s="574"/>
      <c r="S157" s="573"/>
      <c r="T157" s="568"/>
      <c r="U157" s="513"/>
      <c r="AB157" s="512"/>
    </row>
    <row r="158" spans="1:28" outlineLevel="2" x14ac:dyDescent="0.2">
      <c r="A158" s="497">
        <f t="shared" si="49"/>
        <v>8</v>
      </c>
      <c r="B158" s="524"/>
      <c r="C158" s="523"/>
      <c r="D158" s="523"/>
      <c r="G158" s="522"/>
      <c r="H158" s="521">
        <v>1</v>
      </c>
      <c r="I158" s="507">
        <f>IF(E154=0,"0",G154/H154)</f>
        <v>324</v>
      </c>
      <c r="K158" s="530">
        <f t="shared" si="55"/>
        <v>0.41666666666666669</v>
      </c>
      <c r="L158" s="493">
        <f t="shared" si="53"/>
        <v>324</v>
      </c>
      <c r="M158" s="528">
        <v>0.45833333333333331</v>
      </c>
      <c r="N158" s="527"/>
      <c r="O158" s="526">
        <f t="shared" si="54"/>
        <v>0</v>
      </c>
      <c r="P158" s="579"/>
      <c r="Q158" s="578"/>
      <c r="R158" s="577"/>
      <c r="S158" s="576"/>
      <c r="T158" s="568"/>
      <c r="U158" s="513"/>
      <c r="AB158" s="512"/>
    </row>
    <row r="159" spans="1:28" outlineLevel="2" x14ac:dyDescent="0.2">
      <c r="A159" s="497">
        <f t="shared" si="49"/>
        <v>8</v>
      </c>
      <c r="B159" s="524"/>
      <c r="C159" s="523"/>
      <c r="D159" s="523"/>
      <c r="G159" s="522"/>
      <c r="H159" s="521">
        <v>0.5</v>
      </c>
      <c r="I159" s="507">
        <f>IF(E154=0,"0",G154/H154)</f>
        <v>324</v>
      </c>
      <c r="K159" s="520">
        <f t="shared" si="55"/>
        <v>0.45833333333333331</v>
      </c>
      <c r="L159" s="519">
        <f t="shared" si="53"/>
        <v>162</v>
      </c>
      <c r="M159" s="518">
        <v>0.5</v>
      </c>
      <c r="N159" s="516"/>
      <c r="O159" s="517">
        <f t="shared" si="54"/>
        <v>0</v>
      </c>
      <c r="P159" s="517"/>
      <c r="Q159" s="575"/>
      <c r="R159" s="574"/>
      <c r="S159" s="573"/>
      <c r="T159" s="568"/>
      <c r="U159" s="513"/>
      <c r="AB159" s="512"/>
    </row>
    <row r="160" spans="1:28" outlineLevel="2" x14ac:dyDescent="0.2">
      <c r="A160" s="497">
        <f t="shared" si="49"/>
        <v>8</v>
      </c>
      <c r="B160" s="524"/>
      <c r="C160" s="523"/>
      <c r="D160" s="523"/>
      <c r="G160" s="522"/>
      <c r="H160" s="521">
        <v>1</v>
      </c>
      <c r="I160" s="507">
        <f>IF(E154=0,"0",G154/H154)</f>
        <v>324</v>
      </c>
      <c r="K160" s="530">
        <f t="shared" si="55"/>
        <v>0.5</v>
      </c>
      <c r="L160" s="493">
        <f t="shared" si="53"/>
        <v>324</v>
      </c>
      <c r="M160" s="528">
        <v>0.54166666666666663</v>
      </c>
      <c r="N160" s="527"/>
      <c r="O160" s="526">
        <f t="shared" si="54"/>
        <v>0</v>
      </c>
      <c r="P160" s="579"/>
      <c r="Q160" s="578"/>
      <c r="R160" s="577"/>
      <c r="S160" s="576"/>
      <c r="T160" s="568"/>
      <c r="U160" s="513"/>
      <c r="AB160" s="512"/>
    </row>
    <row r="161" spans="1:28" outlineLevel="2" x14ac:dyDescent="0.2">
      <c r="A161" s="497">
        <f t="shared" si="49"/>
        <v>8</v>
      </c>
      <c r="B161" s="524"/>
      <c r="C161" s="523"/>
      <c r="D161" s="523"/>
      <c r="G161" s="522"/>
      <c r="H161" s="521">
        <v>1</v>
      </c>
      <c r="I161" s="507">
        <f>IF(E154=0,"0",G154/H154)</f>
        <v>324</v>
      </c>
      <c r="K161" s="520">
        <f t="shared" si="55"/>
        <v>0.54166666666666663</v>
      </c>
      <c r="L161" s="519">
        <f t="shared" si="53"/>
        <v>324</v>
      </c>
      <c r="M161" s="518">
        <v>0.58333333333333337</v>
      </c>
      <c r="N161" s="516"/>
      <c r="O161" s="517">
        <f t="shared" si="54"/>
        <v>0</v>
      </c>
      <c r="P161" s="517"/>
      <c r="Q161" s="575"/>
      <c r="R161" s="574"/>
      <c r="S161" s="573"/>
      <c r="T161" s="568"/>
      <c r="U161" s="513"/>
      <c r="AB161" s="512"/>
    </row>
    <row r="162" spans="1:28" outlineLevel="2" x14ac:dyDescent="0.2">
      <c r="A162" s="497">
        <f t="shared" si="49"/>
        <v>8</v>
      </c>
      <c r="B162" s="524"/>
      <c r="C162" s="523"/>
      <c r="D162" s="523"/>
      <c r="G162" s="522"/>
      <c r="H162" s="521">
        <v>1</v>
      </c>
      <c r="I162" s="507">
        <f>IF(E154=0,"0",G154/H154)</f>
        <v>324</v>
      </c>
      <c r="K162" s="506">
        <f t="shared" si="55"/>
        <v>0.58333333333333337</v>
      </c>
      <c r="L162" s="493">
        <f t="shared" si="53"/>
        <v>324</v>
      </c>
      <c r="M162" s="505">
        <v>0.625</v>
      </c>
      <c r="N162" s="504"/>
      <c r="O162" s="503">
        <f t="shared" si="54"/>
        <v>0</v>
      </c>
      <c r="P162" s="572"/>
      <c r="Q162" s="571"/>
      <c r="R162" s="570"/>
      <c r="S162" s="569"/>
      <c r="T162" s="568"/>
      <c r="U162" s="500"/>
      <c r="V162" s="499"/>
      <c r="W162" s="499"/>
      <c r="Y162" s="499"/>
      <c r="Z162" s="499"/>
      <c r="AA162" s="499"/>
      <c r="AB162" s="498"/>
    </row>
    <row r="163" spans="1:28" s="545" customFormat="1" outlineLevel="1" x14ac:dyDescent="0.2">
      <c r="A163" s="497">
        <f t="shared" si="49"/>
        <v>8</v>
      </c>
      <c r="B163" s="551">
        <f>B154</f>
        <v>46074</v>
      </c>
      <c r="C163" s="550" t="s">
        <v>210</v>
      </c>
      <c r="D163" s="550"/>
      <c r="E163" s="549">
        <v>30000</v>
      </c>
      <c r="F163" s="548">
        <v>630</v>
      </c>
      <c r="G163" s="547">
        <f>+E163*12*F163/100000</f>
        <v>2268</v>
      </c>
      <c r="H163" s="546">
        <f>IF(E163="","0",SUM(H164:H171))</f>
        <v>7</v>
      </c>
      <c r="I163" s="598">
        <f>SUM(I164:I171)</f>
        <v>2592</v>
      </c>
      <c r="K163" s="567" t="str">
        <f>C163</f>
        <v>T2</v>
      </c>
      <c r="L163" s="566" t="str">
        <f>IF(N163=0,"0",SUM(L164:L171))</f>
        <v>0</v>
      </c>
      <c r="M163" s="563"/>
      <c r="N163" s="565">
        <f>SUM(N164:N171)</f>
        <v>0</v>
      </c>
      <c r="O163" s="564" t="e">
        <f>+N163/L163</f>
        <v>#DIV/0!</v>
      </c>
      <c r="P163" s="563"/>
      <c r="Q163" s="562"/>
      <c r="R163" s="562"/>
      <c r="S163" s="561"/>
      <c r="T163" s="536"/>
      <c r="U163" s="485"/>
      <c r="V163" s="485"/>
      <c r="W163" s="485"/>
      <c r="X163" s="485"/>
      <c r="Y163" s="485"/>
      <c r="Z163" s="485"/>
      <c r="AA163" s="485"/>
      <c r="AB163" s="537"/>
    </row>
    <row r="164" spans="1:28" s="486" customFormat="1" outlineLevel="2" x14ac:dyDescent="0.2">
      <c r="A164" s="497">
        <f t="shared" si="49"/>
        <v>8</v>
      </c>
      <c r="B164" s="524"/>
      <c r="C164" s="523"/>
      <c r="D164" s="523"/>
      <c r="E164" s="485"/>
      <c r="F164" s="485"/>
      <c r="G164" s="522"/>
      <c r="H164" s="521">
        <v>1</v>
      </c>
      <c r="I164" s="507">
        <f>IF(E163=0,"0",G163/H163)</f>
        <v>324</v>
      </c>
      <c r="J164" s="485"/>
      <c r="K164" s="530">
        <v>0.625</v>
      </c>
      <c r="L164" s="493">
        <f t="shared" ref="L164:L171" si="56">IF(M164="","",I164*H164)</f>
        <v>324</v>
      </c>
      <c r="M164" s="528">
        <v>0.66666666666666663</v>
      </c>
      <c r="N164" s="527"/>
      <c r="O164" s="526">
        <f t="shared" ref="O164:O171" si="57">IF(M164="","",N164/L164)</f>
        <v>0</v>
      </c>
      <c r="P164" s="485"/>
      <c r="Q164" s="560"/>
      <c r="R164" s="487"/>
      <c r="S164" s="525"/>
      <c r="U164" s="535"/>
      <c r="V164" s="534"/>
      <c r="W164" s="534"/>
      <c r="X164" s="485"/>
      <c r="Y164" s="534"/>
      <c r="Z164" s="534"/>
      <c r="AA164" s="534"/>
      <c r="AB164" s="533"/>
    </row>
    <row r="165" spans="1:28" s="486" customFormat="1" outlineLevel="2" x14ac:dyDescent="0.2">
      <c r="A165" s="497">
        <f t="shared" si="49"/>
        <v>8</v>
      </c>
      <c r="B165" s="524"/>
      <c r="C165" s="523"/>
      <c r="D165" s="523"/>
      <c r="E165" s="485"/>
      <c r="F165" s="485"/>
      <c r="G165" s="522"/>
      <c r="H165" s="521">
        <v>0.5</v>
      </c>
      <c r="I165" s="507">
        <f>IF(E163=0,"0",G163/H163)</f>
        <v>324</v>
      </c>
      <c r="J165" s="485"/>
      <c r="K165" s="520">
        <f t="shared" ref="K165:K171" si="58">M164</f>
        <v>0.66666666666666663</v>
      </c>
      <c r="L165" s="519">
        <f t="shared" si="56"/>
        <v>162</v>
      </c>
      <c r="M165" s="518">
        <v>0.70833333333333337</v>
      </c>
      <c r="N165" s="516"/>
      <c r="O165" s="517">
        <f t="shared" si="57"/>
        <v>0</v>
      </c>
      <c r="P165" s="516"/>
      <c r="Q165" s="559"/>
      <c r="R165" s="515"/>
      <c r="S165" s="514"/>
      <c r="U165" s="513"/>
      <c r="V165" s="485"/>
      <c r="W165" s="485"/>
      <c r="X165" s="485"/>
      <c r="Y165" s="485"/>
      <c r="Z165" s="485"/>
      <c r="AA165" s="485"/>
      <c r="AB165" s="512"/>
    </row>
    <row r="166" spans="1:28" s="486" customFormat="1" outlineLevel="2" x14ac:dyDescent="0.2">
      <c r="A166" s="497">
        <f t="shared" si="49"/>
        <v>8</v>
      </c>
      <c r="B166" s="524"/>
      <c r="C166" s="523"/>
      <c r="D166" s="523"/>
      <c r="E166" s="485"/>
      <c r="F166" s="485"/>
      <c r="G166" s="522"/>
      <c r="H166" s="521">
        <v>1</v>
      </c>
      <c r="I166" s="507">
        <f>IF(E163=0,"0",G163/H163)</f>
        <v>324</v>
      </c>
      <c r="J166" s="485"/>
      <c r="K166" s="530">
        <f t="shared" si="58"/>
        <v>0.70833333333333337</v>
      </c>
      <c r="L166" s="493">
        <f t="shared" si="56"/>
        <v>324</v>
      </c>
      <c r="M166" s="528">
        <v>0.75</v>
      </c>
      <c r="N166" s="527"/>
      <c r="O166" s="526">
        <f t="shared" si="57"/>
        <v>0</v>
      </c>
      <c r="P166" s="485"/>
      <c r="Q166" s="487"/>
      <c r="R166" s="487"/>
      <c r="S166" s="525"/>
      <c r="U166" s="513"/>
      <c r="V166" s="485"/>
      <c r="W166" s="485"/>
      <c r="X166" s="485"/>
      <c r="Y166" s="485"/>
      <c r="Z166" s="485"/>
      <c r="AA166" s="485"/>
      <c r="AB166" s="512"/>
    </row>
    <row r="167" spans="1:28" s="486" customFormat="1" outlineLevel="2" x14ac:dyDescent="0.2">
      <c r="A167" s="497">
        <f t="shared" si="49"/>
        <v>8</v>
      </c>
      <c r="B167" s="524"/>
      <c r="C167" s="523"/>
      <c r="D167" s="523"/>
      <c r="E167" s="485"/>
      <c r="F167" s="485"/>
      <c r="G167" s="522"/>
      <c r="H167" s="521">
        <v>1</v>
      </c>
      <c r="I167" s="507">
        <f>IF(E163=0,"0",G163/H163)</f>
        <v>324</v>
      </c>
      <c r="J167" s="485"/>
      <c r="K167" s="520">
        <f t="shared" si="58"/>
        <v>0.75</v>
      </c>
      <c r="L167" s="519">
        <f t="shared" si="56"/>
        <v>324</v>
      </c>
      <c r="M167" s="518">
        <v>0.79166666666666663</v>
      </c>
      <c r="N167" s="516"/>
      <c r="O167" s="517">
        <f t="shared" si="57"/>
        <v>0</v>
      </c>
      <c r="P167" s="516"/>
      <c r="Q167" s="558"/>
      <c r="R167" s="515"/>
      <c r="S167" s="514"/>
      <c r="U167" s="513"/>
      <c r="V167" s="485"/>
      <c r="W167" s="485"/>
      <c r="X167" s="485"/>
      <c r="Y167" s="485"/>
      <c r="Z167" s="485"/>
      <c r="AA167" s="485"/>
      <c r="AB167" s="512"/>
    </row>
    <row r="168" spans="1:28" s="486" customFormat="1" outlineLevel="2" x14ac:dyDescent="0.2">
      <c r="A168" s="497">
        <f t="shared" si="49"/>
        <v>8</v>
      </c>
      <c r="B168" s="524"/>
      <c r="C168" s="523"/>
      <c r="D168" s="523"/>
      <c r="E168" s="485"/>
      <c r="F168" s="485"/>
      <c r="G168" s="522"/>
      <c r="H168" s="521">
        <v>0.5</v>
      </c>
      <c r="I168" s="507">
        <f>IF(E163=0,"0",G163/H163)</f>
        <v>324</v>
      </c>
      <c r="J168" s="485"/>
      <c r="K168" s="530">
        <f t="shared" si="58"/>
        <v>0.79166666666666663</v>
      </c>
      <c r="L168" s="493">
        <f t="shared" si="56"/>
        <v>162</v>
      </c>
      <c r="M168" s="528">
        <v>0.83333333333333337</v>
      </c>
      <c r="N168" s="527"/>
      <c r="O168" s="526">
        <f t="shared" si="57"/>
        <v>0</v>
      </c>
      <c r="P168" s="485"/>
      <c r="Q168" s="487"/>
      <c r="R168" s="487"/>
      <c r="S168" s="525"/>
      <c r="U168" s="513"/>
      <c r="V168" s="485"/>
      <c r="W168" s="485"/>
      <c r="X168" s="485"/>
      <c r="Y168" s="485"/>
      <c r="Z168" s="485"/>
      <c r="AA168" s="485"/>
      <c r="AB168" s="512"/>
    </row>
    <row r="169" spans="1:28" s="486" customFormat="1" outlineLevel="2" x14ac:dyDescent="0.2">
      <c r="A169" s="497">
        <f t="shared" si="49"/>
        <v>8</v>
      </c>
      <c r="B169" s="524"/>
      <c r="C169" s="523"/>
      <c r="D169" s="523"/>
      <c r="E169" s="485"/>
      <c r="F169" s="485"/>
      <c r="G169" s="522"/>
      <c r="H169" s="521">
        <v>1</v>
      </c>
      <c r="I169" s="507">
        <f>IF(E163=0,"0",G163/H163)</f>
        <v>324</v>
      </c>
      <c r="J169" s="485"/>
      <c r="K169" s="520">
        <f t="shared" si="58"/>
        <v>0.83333333333333337</v>
      </c>
      <c r="L169" s="519">
        <f t="shared" si="56"/>
        <v>324</v>
      </c>
      <c r="M169" s="518">
        <v>0.875</v>
      </c>
      <c r="N169" s="516"/>
      <c r="O169" s="517">
        <f t="shared" si="57"/>
        <v>0</v>
      </c>
      <c r="P169" s="516"/>
      <c r="Q169" s="515"/>
      <c r="R169" s="515"/>
      <c r="S169" s="514"/>
      <c r="U169" s="513"/>
      <c r="V169" s="485"/>
      <c r="W169" s="485"/>
      <c r="X169" s="485"/>
      <c r="Y169" s="485"/>
      <c r="Z169" s="485"/>
      <c r="AA169" s="485"/>
      <c r="AB169" s="512"/>
    </row>
    <row r="170" spans="1:28" s="486" customFormat="1" outlineLevel="2" x14ac:dyDescent="0.2">
      <c r="A170" s="497">
        <f t="shared" ref="A170:A201" si="59">$A$9</f>
        <v>8</v>
      </c>
      <c r="B170" s="524"/>
      <c r="C170" s="523"/>
      <c r="D170" s="523"/>
      <c r="E170" s="485"/>
      <c r="F170" s="485"/>
      <c r="G170" s="522"/>
      <c r="H170" s="521">
        <v>1</v>
      </c>
      <c r="I170" s="507">
        <f>IF(E163=0,"0",G163/H163)</f>
        <v>324</v>
      </c>
      <c r="J170" s="485"/>
      <c r="K170" s="530">
        <f t="shared" si="58"/>
        <v>0.875</v>
      </c>
      <c r="L170" s="493">
        <f t="shared" si="56"/>
        <v>324</v>
      </c>
      <c r="M170" s="528">
        <v>0.91666666666666663</v>
      </c>
      <c r="N170" s="527"/>
      <c r="O170" s="526">
        <f t="shared" si="57"/>
        <v>0</v>
      </c>
      <c r="P170" s="485"/>
      <c r="Q170" s="487"/>
      <c r="R170" s="487"/>
      <c r="S170" s="525"/>
      <c r="U170" s="513"/>
      <c r="V170" s="485"/>
      <c r="W170" s="485"/>
      <c r="X170" s="485"/>
      <c r="Y170" s="485"/>
      <c r="Z170" s="485"/>
      <c r="AA170" s="485"/>
      <c r="AB170" s="512"/>
    </row>
    <row r="171" spans="1:28" s="486" customFormat="1" outlineLevel="2" x14ac:dyDescent="0.2">
      <c r="A171" s="497">
        <f t="shared" si="59"/>
        <v>8</v>
      </c>
      <c r="B171" s="524"/>
      <c r="C171" s="523"/>
      <c r="D171" s="523"/>
      <c r="E171" s="485"/>
      <c r="F171" s="485"/>
      <c r="G171" s="522"/>
      <c r="H171" s="521">
        <v>1</v>
      </c>
      <c r="I171" s="507">
        <f>IF(E163=0,"0",G163/H163)</f>
        <v>324</v>
      </c>
      <c r="J171" s="485"/>
      <c r="K171" s="557">
        <f t="shared" si="58"/>
        <v>0.91666666666666663</v>
      </c>
      <c r="L171" s="519">
        <f t="shared" si="56"/>
        <v>324</v>
      </c>
      <c r="M171" s="556">
        <v>0.95833333333333337</v>
      </c>
      <c r="N171" s="554"/>
      <c r="O171" s="555">
        <f t="shared" si="57"/>
        <v>0</v>
      </c>
      <c r="P171" s="554"/>
      <c r="Q171" s="553"/>
      <c r="R171" s="553"/>
      <c r="S171" s="552"/>
      <c r="U171" s="500"/>
      <c r="V171" s="499"/>
      <c r="W171" s="499"/>
      <c r="X171" s="485"/>
      <c r="Y171" s="499"/>
      <c r="Z171" s="499"/>
      <c r="AA171" s="499"/>
      <c r="AB171" s="498"/>
    </row>
    <row r="172" spans="1:28" s="536" customFormat="1" outlineLevel="1" x14ac:dyDescent="0.2">
      <c r="A172" s="497">
        <f t="shared" si="59"/>
        <v>8</v>
      </c>
      <c r="B172" s="551">
        <f>B154</f>
        <v>46074</v>
      </c>
      <c r="C172" s="550" t="s">
        <v>211</v>
      </c>
      <c r="D172" s="550"/>
      <c r="E172" s="549">
        <v>15000</v>
      </c>
      <c r="F172" s="548">
        <v>650</v>
      </c>
      <c r="G172" s="547">
        <f>+E172*12*F172/100000</f>
        <v>1170</v>
      </c>
      <c r="H172" s="546">
        <f>IF(E172="","0",SUM(H173:H180))</f>
        <v>7</v>
      </c>
      <c r="I172" s="598">
        <f>SUM(I173:I180)</f>
        <v>1337.1428571428571</v>
      </c>
      <c r="J172" s="545"/>
      <c r="K172" s="544" t="str">
        <f>C172</f>
        <v>T3</v>
      </c>
      <c r="L172" s="543" t="str">
        <f>IF(N172=0,"0",SUM(L173:L180))</f>
        <v>0</v>
      </c>
      <c r="M172" s="540"/>
      <c r="N172" s="542">
        <f>SUM(N173:N180)</f>
        <v>0</v>
      </c>
      <c r="O172" s="541" t="e">
        <f>+N172/L172</f>
        <v>#DIV/0!</v>
      </c>
      <c r="P172" s="540"/>
      <c r="Q172" s="539"/>
      <c r="R172" s="539"/>
      <c r="S172" s="538"/>
      <c r="U172" s="485"/>
      <c r="V172" s="485"/>
      <c r="W172" s="485"/>
      <c r="X172" s="485"/>
      <c r="Y172" s="485"/>
      <c r="Z172" s="485"/>
      <c r="AA172" s="485"/>
      <c r="AB172" s="537"/>
    </row>
    <row r="173" spans="1:28" s="486" customFormat="1" outlineLevel="2" x14ac:dyDescent="0.2">
      <c r="A173" s="497">
        <f t="shared" si="59"/>
        <v>8</v>
      </c>
      <c r="B173" s="524"/>
      <c r="C173" s="523"/>
      <c r="D173" s="523"/>
      <c r="E173" s="485"/>
      <c r="F173" s="485"/>
      <c r="G173" s="522"/>
      <c r="H173" s="521">
        <v>1</v>
      </c>
      <c r="I173" s="507">
        <f>IF(E172=0,"0",G172/H172)</f>
        <v>167.14285714285714</v>
      </c>
      <c r="J173" s="485"/>
      <c r="K173" s="520">
        <v>0.95833333333333337</v>
      </c>
      <c r="L173" s="519">
        <f t="shared" ref="L173:L180" si="60">IF(M173="","",I173*H173)</f>
        <v>167.14285714285714</v>
      </c>
      <c r="M173" s="518">
        <v>0</v>
      </c>
      <c r="N173" s="516"/>
      <c r="O173" s="517">
        <f t="shared" ref="O173:O180" si="61">IF(M173="","",N173/L173)</f>
        <v>0</v>
      </c>
      <c r="P173" s="516"/>
      <c r="Q173" s="515"/>
      <c r="R173" s="515"/>
      <c r="S173" s="514"/>
      <c r="U173" s="535"/>
      <c r="V173" s="534"/>
      <c r="W173" s="534"/>
      <c r="X173" s="485"/>
      <c r="Y173" s="534"/>
      <c r="Z173" s="534"/>
      <c r="AA173" s="534"/>
      <c r="AB173" s="533"/>
    </row>
    <row r="174" spans="1:28" s="486" customFormat="1" outlineLevel="2" x14ac:dyDescent="0.2">
      <c r="A174" s="497">
        <f t="shared" si="59"/>
        <v>8</v>
      </c>
      <c r="B174" s="524"/>
      <c r="C174" s="523"/>
      <c r="D174" s="523"/>
      <c r="E174" s="485"/>
      <c r="F174" s="485"/>
      <c r="G174" s="522"/>
      <c r="H174" s="521">
        <v>0.5</v>
      </c>
      <c r="I174" s="507">
        <f>IF(E172=0,"0",G172/H172)</f>
        <v>167.14285714285714</v>
      </c>
      <c r="J174" s="485"/>
      <c r="K174" s="530">
        <f t="shared" ref="K174:K180" si="62">M173</f>
        <v>0</v>
      </c>
      <c r="L174" s="493">
        <f t="shared" si="60"/>
        <v>83.571428571428569</v>
      </c>
      <c r="M174" s="528">
        <v>4.1666666666666664E-2</v>
      </c>
      <c r="N174" s="527"/>
      <c r="O174" s="526">
        <f t="shared" si="61"/>
        <v>0</v>
      </c>
      <c r="P174" s="485"/>
      <c r="Q174" s="532"/>
      <c r="R174" s="487"/>
      <c r="S174" s="525"/>
      <c r="U174" s="513"/>
      <c r="V174" s="485"/>
      <c r="W174" s="485"/>
      <c r="X174" s="485"/>
      <c r="Y174" s="485"/>
      <c r="Z174" s="485"/>
      <c r="AA174" s="485"/>
      <c r="AB174" s="512"/>
    </row>
    <row r="175" spans="1:28" s="486" customFormat="1" outlineLevel="2" x14ac:dyDescent="0.2">
      <c r="A175" s="497">
        <f t="shared" si="59"/>
        <v>8</v>
      </c>
      <c r="B175" s="524"/>
      <c r="C175" s="523"/>
      <c r="D175" s="523"/>
      <c r="E175" s="485"/>
      <c r="F175" s="485"/>
      <c r="G175" s="522"/>
      <c r="H175" s="521">
        <v>1</v>
      </c>
      <c r="I175" s="507">
        <f>IF(E172=0,"0",G172/H172)</f>
        <v>167.14285714285714</v>
      </c>
      <c r="J175" s="485"/>
      <c r="K175" s="520">
        <f t="shared" si="62"/>
        <v>4.1666666666666664E-2</v>
      </c>
      <c r="L175" s="519">
        <f t="shared" si="60"/>
        <v>167.14285714285714</v>
      </c>
      <c r="M175" s="518">
        <v>8.3333333333333329E-2</v>
      </c>
      <c r="N175" s="516"/>
      <c r="O175" s="517">
        <f t="shared" si="61"/>
        <v>0</v>
      </c>
      <c r="P175" s="516"/>
      <c r="Q175" s="531"/>
      <c r="R175" s="515"/>
      <c r="S175" s="514"/>
      <c r="U175" s="513"/>
      <c r="V175" s="485"/>
      <c r="W175" s="485"/>
      <c r="X175" s="485"/>
      <c r="Y175" s="485"/>
      <c r="Z175" s="485"/>
      <c r="AA175" s="485"/>
      <c r="AB175" s="512"/>
    </row>
    <row r="176" spans="1:28" s="486" customFormat="1" outlineLevel="2" x14ac:dyDescent="0.2">
      <c r="A176" s="497">
        <f t="shared" si="59"/>
        <v>8</v>
      </c>
      <c r="B176" s="524"/>
      <c r="C176" s="523"/>
      <c r="D176" s="523"/>
      <c r="E176" s="485"/>
      <c r="F176" s="485"/>
      <c r="G176" s="522"/>
      <c r="H176" s="521">
        <v>1</v>
      </c>
      <c r="I176" s="507">
        <f>IF(E172=0,"0",G172/H172)</f>
        <v>167.14285714285714</v>
      </c>
      <c r="J176" s="485"/>
      <c r="K176" s="530">
        <f t="shared" si="62"/>
        <v>8.3333333333333329E-2</v>
      </c>
      <c r="L176" s="493">
        <f t="shared" si="60"/>
        <v>167.14285714285714</v>
      </c>
      <c r="M176" s="528">
        <v>0.125</v>
      </c>
      <c r="N176" s="527"/>
      <c r="O176" s="526">
        <f t="shared" si="61"/>
        <v>0</v>
      </c>
      <c r="P176" s="485"/>
      <c r="Q176" s="532"/>
      <c r="R176" s="487"/>
      <c r="S176" s="525"/>
      <c r="U176" s="513"/>
      <c r="V176" s="485"/>
      <c r="W176" s="485"/>
      <c r="X176" s="485"/>
      <c r="Y176" s="485"/>
      <c r="Z176" s="485"/>
      <c r="AA176" s="485"/>
      <c r="AB176" s="512"/>
    </row>
    <row r="177" spans="1:28" s="486" customFormat="1" outlineLevel="2" x14ac:dyDescent="0.2">
      <c r="A177" s="497">
        <f t="shared" si="59"/>
        <v>8</v>
      </c>
      <c r="B177" s="524"/>
      <c r="C177" s="523"/>
      <c r="D177" s="523"/>
      <c r="E177" s="485"/>
      <c r="F177" s="485"/>
      <c r="G177" s="522"/>
      <c r="H177" s="521">
        <v>0.5</v>
      </c>
      <c r="I177" s="507">
        <f>IF(E172=0,"0",G172/H172)</f>
        <v>167.14285714285714</v>
      </c>
      <c r="J177" s="485"/>
      <c r="K177" s="520">
        <f t="shared" si="62"/>
        <v>0.125</v>
      </c>
      <c r="L177" s="519">
        <f t="shared" si="60"/>
        <v>83.571428571428569</v>
      </c>
      <c r="M177" s="518">
        <v>0.16666666666666666</v>
      </c>
      <c r="N177" s="516"/>
      <c r="O177" s="517">
        <f t="shared" si="61"/>
        <v>0</v>
      </c>
      <c r="P177" s="516"/>
      <c r="Q177" s="531"/>
      <c r="R177" s="515"/>
      <c r="S177" s="514"/>
      <c r="U177" s="513"/>
      <c r="V177" s="485"/>
      <c r="W177" s="485"/>
      <c r="X177" s="485"/>
      <c r="Y177" s="485"/>
      <c r="Z177" s="485"/>
      <c r="AA177" s="485"/>
      <c r="AB177" s="512"/>
    </row>
    <row r="178" spans="1:28" s="486" customFormat="1" outlineLevel="2" x14ac:dyDescent="0.2">
      <c r="A178" s="497">
        <f t="shared" si="59"/>
        <v>8</v>
      </c>
      <c r="B178" s="524"/>
      <c r="C178" s="523"/>
      <c r="D178" s="523"/>
      <c r="E178" s="485"/>
      <c r="F178" s="485"/>
      <c r="G178" s="522"/>
      <c r="H178" s="521">
        <v>1</v>
      </c>
      <c r="I178" s="507">
        <f>IF(E172=0,"0",G172/H172)</f>
        <v>167.14285714285714</v>
      </c>
      <c r="J178" s="485"/>
      <c r="K178" s="530">
        <f t="shared" si="62"/>
        <v>0.16666666666666666</v>
      </c>
      <c r="L178" s="493">
        <f t="shared" si="60"/>
        <v>167.14285714285714</v>
      </c>
      <c r="M178" s="528">
        <v>0.20833333333333334</v>
      </c>
      <c r="N178" s="527"/>
      <c r="O178" s="526">
        <f t="shared" si="61"/>
        <v>0</v>
      </c>
      <c r="P178" s="485"/>
      <c r="Q178" s="487"/>
      <c r="R178" s="487"/>
      <c r="S178" s="525"/>
      <c r="U178" s="513"/>
      <c r="V178" s="485"/>
      <c r="W178" s="485"/>
      <c r="X178" s="485"/>
      <c r="Y178" s="485"/>
      <c r="Z178" s="485"/>
      <c r="AA178" s="485"/>
      <c r="AB178" s="512"/>
    </row>
    <row r="179" spans="1:28" s="486" customFormat="1" outlineLevel="2" x14ac:dyDescent="0.2">
      <c r="A179" s="497">
        <f t="shared" si="59"/>
        <v>8</v>
      </c>
      <c r="B179" s="524"/>
      <c r="C179" s="523"/>
      <c r="D179" s="523"/>
      <c r="E179" s="485"/>
      <c r="F179" s="485"/>
      <c r="G179" s="522"/>
      <c r="H179" s="521">
        <v>1</v>
      </c>
      <c r="I179" s="507">
        <f>IF(E172=0,"0",G172/H172)</f>
        <v>167.14285714285714</v>
      </c>
      <c r="J179" s="485"/>
      <c r="K179" s="520">
        <f t="shared" si="62"/>
        <v>0.20833333333333334</v>
      </c>
      <c r="L179" s="519">
        <f t="shared" si="60"/>
        <v>167.14285714285714</v>
      </c>
      <c r="M179" s="518">
        <v>0.25</v>
      </c>
      <c r="N179" s="516"/>
      <c r="O179" s="517">
        <f t="shared" si="61"/>
        <v>0</v>
      </c>
      <c r="P179" s="516"/>
      <c r="Q179" s="515"/>
      <c r="R179" s="515"/>
      <c r="S179" s="514"/>
      <c r="U179" s="513"/>
      <c r="V179" s="485"/>
      <c r="W179" s="485"/>
      <c r="X179" s="485"/>
      <c r="Y179" s="485"/>
      <c r="Z179" s="485"/>
      <c r="AA179" s="485"/>
      <c r="AB179" s="512"/>
    </row>
    <row r="180" spans="1:28" s="486" customFormat="1" outlineLevel="2" x14ac:dyDescent="0.2">
      <c r="A180" s="497">
        <f t="shared" si="59"/>
        <v>8</v>
      </c>
      <c r="B180" s="511"/>
      <c r="C180" s="510"/>
      <c r="D180" s="510"/>
      <c r="E180" s="499"/>
      <c r="F180" s="499"/>
      <c r="G180" s="509"/>
      <c r="H180" s="508">
        <v>1</v>
      </c>
      <c r="I180" s="507">
        <f>IF(E172=0,"0",G172/H172)</f>
        <v>167.14285714285714</v>
      </c>
      <c r="J180" s="485"/>
      <c r="K180" s="506">
        <f t="shared" si="62"/>
        <v>0.25</v>
      </c>
      <c r="L180" s="638">
        <f t="shared" si="60"/>
        <v>167.14285714285714</v>
      </c>
      <c r="M180" s="505">
        <v>0.33333333333333331</v>
      </c>
      <c r="N180" s="504"/>
      <c r="O180" s="503">
        <f t="shared" si="61"/>
        <v>0</v>
      </c>
      <c r="P180" s="499"/>
      <c r="Q180" s="502"/>
      <c r="R180" s="502"/>
      <c r="S180" s="501"/>
      <c r="U180" s="500"/>
      <c r="V180" s="499"/>
      <c r="W180" s="499"/>
      <c r="X180" s="485"/>
      <c r="Y180" s="499"/>
      <c r="Z180" s="499"/>
      <c r="AA180" s="499"/>
      <c r="AB180" s="498"/>
    </row>
    <row r="181" spans="1:28" s="489" customFormat="1" outlineLevel="1" x14ac:dyDescent="0.2">
      <c r="A181" s="497">
        <f t="shared" si="59"/>
        <v>8</v>
      </c>
      <c r="B181" s="496"/>
      <c r="C181" s="495"/>
      <c r="D181" s="495"/>
      <c r="G181" s="596"/>
      <c r="H181" s="495"/>
      <c r="I181" s="494"/>
      <c r="K181" s="492"/>
      <c r="L181" s="493"/>
      <c r="M181" s="492"/>
      <c r="O181" s="491"/>
      <c r="Q181" s="490"/>
      <c r="R181" s="490"/>
      <c r="S181" s="490"/>
      <c r="T181" s="486"/>
    </row>
    <row r="182" spans="1:28" s="585" customFormat="1" ht="15.75" x14ac:dyDescent="0.2">
      <c r="A182" s="497">
        <f t="shared" si="59"/>
        <v>8</v>
      </c>
      <c r="B182" s="595">
        <f>B183</f>
        <v>46075</v>
      </c>
      <c r="C182" s="593"/>
      <c r="D182" s="593"/>
      <c r="E182" s="587">
        <f>+E183+E192+E201</f>
        <v>90000</v>
      </c>
      <c r="F182" s="587"/>
      <c r="G182" s="594">
        <f>+G183+G192+G201</f>
        <v>7020</v>
      </c>
      <c r="H182" s="593">
        <f>+H183+H192+H201</f>
        <v>21</v>
      </c>
      <c r="I182" s="592">
        <f>+I183+I192+I201</f>
        <v>8022.8571428571431</v>
      </c>
      <c r="J182" s="587"/>
      <c r="K182" s="591"/>
      <c r="L182" s="590">
        <f>SUM(L184:L191,L193:L200,L202:L209)</f>
        <v>7020.0000000000027</v>
      </c>
      <c r="M182" s="589"/>
      <c r="N182" s="565">
        <f>SUM(N184:N191,N193:N200,N202:N209)</f>
        <v>0</v>
      </c>
      <c r="O182" s="588">
        <f>+N182/L182</f>
        <v>0</v>
      </c>
      <c r="P182" s="587"/>
      <c r="Q182" s="586"/>
      <c r="R182" s="586"/>
      <c r="S182" s="586"/>
    </row>
    <row r="183" spans="1:28" outlineLevel="1" x14ac:dyDescent="0.2">
      <c r="A183" s="497">
        <f t="shared" si="59"/>
        <v>8</v>
      </c>
      <c r="B183" s="584">
        <f>+B154+1</f>
        <v>46075</v>
      </c>
      <c r="C183" s="583" t="s">
        <v>208</v>
      </c>
      <c r="D183" s="583"/>
      <c r="E183" s="548">
        <v>30000</v>
      </c>
      <c r="F183" s="548">
        <v>650</v>
      </c>
      <c r="G183" s="547">
        <f>+E183*12*F183/100000</f>
        <v>2340</v>
      </c>
      <c r="H183" s="546">
        <f>IF(E183="","0",SUM(H184:H191))</f>
        <v>7</v>
      </c>
      <c r="I183" s="598">
        <f>SUM(I184:I191)</f>
        <v>2674.2857142857142</v>
      </c>
      <c r="J183" s="545"/>
      <c r="K183" s="513" t="str">
        <f>C183</f>
        <v>T1</v>
      </c>
      <c r="L183" s="582">
        <f>SUM(L184:L191)</f>
        <v>2340</v>
      </c>
      <c r="M183" s="545"/>
      <c r="N183" s="565">
        <f>SUM(N184:N191)</f>
        <v>0</v>
      </c>
      <c r="O183" s="581">
        <f>+N183/L183</f>
        <v>0</v>
      </c>
      <c r="P183" s="579"/>
      <c r="Q183" s="577"/>
      <c r="R183" s="577"/>
      <c r="S183" s="576"/>
      <c r="T183" s="568"/>
      <c r="U183" s="535"/>
      <c r="V183" s="534"/>
      <c r="W183" s="534"/>
      <c r="Y183" s="534"/>
      <c r="Z183" s="534"/>
      <c r="AA183" s="534"/>
      <c r="AB183" s="533"/>
    </row>
    <row r="184" spans="1:28" outlineLevel="2" x14ac:dyDescent="0.2">
      <c r="A184" s="497">
        <f t="shared" si="59"/>
        <v>8</v>
      </c>
      <c r="B184" s="524"/>
      <c r="C184" s="523"/>
      <c r="D184" s="523"/>
      <c r="G184" s="522"/>
      <c r="H184" s="521">
        <v>1</v>
      </c>
      <c r="I184" s="507">
        <f>IF(E183=0,"0",G183/H183)</f>
        <v>334.28571428571428</v>
      </c>
      <c r="K184" s="520">
        <v>0.29166666666666669</v>
      </c>
      <c r="L184" s="519">
        <f t="shared" ref="L184:L191" si="63">IF(M184="","",I184*H184)</f>
        <v>334.28571428571428</v>
      </c>
      <c r="M184" s="518">
        <v>0.33333333333333331</v>
      </c>
      <c r="N184" s="516"/>
      <c r="O184" s="517">
        <f t="shared" ref="O184:O191" si="64">IF(M184="","",N184/L184)</f>
        <v>0</v>
      </c>
      <c r="P184" s="517"/>
      <c r="Q184" s="580"/>
      <c r="R184" s="574"/>
      <c r="S184" s="573"/>
      <c r="T184" s="568"/>
      <c r="U184" s="513"/>
      <c r="AB184" s="512"/>
    </row>
    <row r="185" spans="1:28" outlineLevel="2" x14ac:dyDescent="0.2">
      <c r="A185" s="497">
        <f t="shared" si="59"/>
        <v>8</v>
      </c>
      <c r="B185" s="524"/>
      <c r="C185" s="523"/>
      <c r="D185" s="523"/>
      <c r="G185" s="522"/>
      <c r="H185" s="521">
        <v>0.5</v>
      </c>
      <c r="I185" s="507">
        <f>IF(E183=0,"0",G183/H183)</f>
        <v>334.28571428571428</v>
      </c>
      <c r="K185" s="530">
        <f t="shared" ref="K185:K191" si="65">M184</f>
        <v>0.33333333333333331</v>
      </c>
      <c r="L185" s="493">
        <f t="shared" si="63"/>
        <v>167.14285714285714</v>
      </c>
      <c r="M185" s="528">
        <v>0.375</v>
      </c>
      <c r="N185" s="527"/>
      <c r="O185" s="526">
        <f t="shared" si="64"/>
        <v>0</v>
      </c>
      <c r="P185" s="579"/>
      <c r="Q185" s="578"/>
      <c r="R185" s="577"/>
      <c r="S185" s="576"/>
      <c r="T185" s="568"/>
      <c r="U185" s="513"/>
      <c r="AB185" s="512"/>
    </row>
    <row r="186" spans="1:28" outlineLevel="2" x14ac:dyDescent="0.2">
      <c r="A186" s="497">
        <f t="shared" si="59"/>
        <v>8</v>
      </c>
      <c r="B186" s="524"/>
      <c r="C186" s="523"/>
      <c r="D186" s="523"/>
      <c r="G186" s="522"/>
      <c r="H186" s="521">
        <v>1</v>
      </c>
      <c r="I186" s="507">
        <f>IF(E183=0,"0",G183/H183)</f>
        <v>334.28571428571428</v>
      </c>
      <c r="K186" s="520">
        <f t="shared" si="65"/>
        <v>0.375</v>
      </c>
      <c r="L186" s="519">
        <f t="shared" si="63"/>
        <v>334.28571428571428</v>
      </c>
      <c r="M186" s="518">
        <v>0.41666666666666669</v>
      </c>
      <c r="N186" s="516"/>
      <c r="O186" s="517">
        <f t="shared" si="64"/>
        <v>0</v>
      </c>
      <c r="P186" s="517"/>
      <c r="Q186" s="575"/>
      <c r="R186" s="574"/>
      <c r="S186" s="573"/>
      <c r="T186" s="568"/>
      <c r="U186" s="513"/>
      <c r="AB186" s="512"/>
    </row>
    <row r="187" spans="1:28" outlineLevel="2" x14ac:dyDescent="0.2">
      <c r="A187" s="497">
        <f t="shared" si="59"/>
        <v>8</v>
      </c>
      <c r="B187" s="524"/>
      <c r="C187" s="523"/>
      <c r="D187" s="523"/>
      <c r="G187" s="522"/>
      <c r="H187" s="521">
        <v>1</v>
      </c>
      <c r="I187" s="507">
        <f>IF(E183=0,"0",G183/H183)</f>
        <v>334.28571428571428</v>
      </c>
      <c r="K187" s="530">
        <f t="shared" si="65"/>
        <v>0.41666666666666669</v>
      </c>
      <c r="L187" s="493">
        <f t="shared" si="63"/>
        <v>334.28571428571428</v>
      </c>
      <c r="M187" s="528">
        <v>0.45833333333333331</v>
      </c>
      <c r="N187" s="527"/>
      <c r="O187" s="526">
        <f t="shared" si="64"/>
        <v>0</v>
      </c>
      <c r="P187" s="579"/>
      <c r="Q187" s="578"/>
      <c r="R187" s="577"/>
      <c r="S187" s="576"/>
      <c r="T187" s="568"/>
      <c r="U187" s="513"/>
      <c r="AB187" s="512"/>
    </row>
    <row r="188" spans="1:28" outlineLevel="2" x14ac:dyDescent="0.2">
      <c r="A188" s="497">
        <f t="shared" si="59"/>
        <v>8</v>
      </c>
      <c r="B188" s="524"/>
      <c r="C188" s="523"/>
      <c r="D188" s="523"/>
      <c r="G188" s="522"/>
      <c r="H188" s="521">
        <v>0.5</v>
      </c>
      <c r="I188" s="507">
        <f>IF(E183=0,"0",G183/H183)</f>
        <v>334.28571428571428</v>
      </c>
      <c r="K188" s="520">
        <f t="shared" si="65"/>
        <v>0.45833333333333331</v>
      </c>
      <c r="L188" s="519">
        <f t="shared" si="63"/>
        <v>167.14285714285714</v>
      </c>
      <c r="M188" s="518">
        <v>0.5</v>
      </c>
      <c r="N188" s="516"/>
      <c r="O188" s="517">
        <f t="shared" si="64"/>
        <v>0</v>
      </c>
      <c r="P188" s="517"/>
      <c r="Q188" s="575"/>
      <c r="R188" s="574"/>
      <c r="S188" s="573"/>
      <c r="T188" s="568"/>
      <c r="U188" s="513"/>
      <c r="AB188" s="512"/>
    </row>
    <row r="189" spans="1:28" outlineLevel="2" x14ac:dyDescent="0.2">
      <c r="A189" s="497">
        <f t="shared" si="59"/>
        <v>8</v>
      </c>
      <c r="B189" s="524"/>
      <c r="C189" s="523"/>
      <c r="D189" s="523"/>
      <c r="G189" s="522"/>
      <c r="H189" s="521">
        <v>1</v>
      </c>
      <c r="I189" s="507">
        <f>IF(E183=0,"0",G183/H183)</f>
        <v>334.28571428571428</v>
      </c>
      <c r="K189" s="530">
        <f t="shared" si="65"/>
        <v>0.5</v>
      </c>
      <c r="L189" s="493">
        <f t="shared" si="63"/>
        <v>334.28571428571428</v>
      </c>
      <c r="M189" s="528">
        <v>0.54166666666666663</v>
      </c>
      <c r="N189" s="527"/>
      <c r="O189" s="526">
        <f t="shared" si="64"/>
        <v>0</v>
      </c>
      <c r="P189" s="579"/>
      <c r="Q189" s="578"/>
      <c r="R189" s="577"/>
      <c r="S189" s="576"/>
      <c r="T189" s="568"/>
      <c r="U189" s="513"/>
      <c r="AB189" s="512"/>
    </row>
    <row r="190" spans="1:28" outlineLevel="2" x14ac:dyDescent="0.2">
      <c r="A190" s="497">
        <f t="shared" si="59"/>
        <v>8</v>
      </c>
      <c r="B190" s="524"/>
      <c r="C190" s="523"/>
      <c r="D190" s="523"/>
      <c r="G190" s="522"/>
      <c r="H190" s="521">
        <v>1</v>
      </c>
      <c r="I190" s="507">
        <f>IF(E183=0,"0",G183/H183)</f>
        <v>334.28571428571428</v>
      </c>
      <c r="K190" s="520">
        <f t="shared" si="65"/>
        <v>0.54166666666666663</v>
      </c>
      <c r="L190" s="519">
        <f t="shared" si="63"/>
        <v>334.28571428571428</v>
      </c>
      <c r="M190" s="518">
        <v>0.58333333333333337</v>
      </c>
      <c r="N190" s="516"/>
      <c r="O190" s="517">
        <f t="shared" si="64"/>
        <v>0</v>
      </c>
      <c r="P190" s="517"/>
      <c r="Q190" s="575"/>
      <c r="R190" s="574"/>
      <c r="S190" s="573"/>
      <c r="T190" s="568"/>
      <c r="U190" s="513"/>
      <c r="AB190" s="512"/>
    </row>
    <row r="191" spans="1:28" outlineLevel="2" x14ac:dyDescent="0.2">
      <c r="A191" s="497">
        <f t="shared" si="59"/>
        <v>8</v>
      </c>
      <c r="B191" s="524"/>
      <c r="C191" s="523"/>
      <c r="D191" s="523"/>
      <c r="G191" s="522"/>
      <c r="H191" s="521">
        <v>1</v>
      </c>
      <c r="I191" s="507">
        <f>IF(E183=0,"0",G183/H183)</f>
        <v>334.28571428571428</v>
      </c>
      <c r="K191" s="506">
        <f t="shared" si="65"/>
        <v>0.58333333333333337</v>
      </c>
      <c r="L191" s="493">
        <f t="shared" si="63"/>
        <v>334.28571428571428</v>
      </c>
      <c r="M191" s="505">
        <v>0.625</v>
      </c>
      <c r="N191" s="504"/>
      <c r="O191" s="503">
        <f t="shared" si="64"/>
        <v>0</v>
      </c>
      <c r="P191" s="572"/>
      <c r="Q191" s="571"/>
      <c r="R191" s="570"/>
      <c r="S191" s="569"/>
      <c r="T191" s="568"/>
      <c r="U191" s="500"/>
      <c r="V191" s="499"/>
      <c r="W191" s="499"/>
      <c r="Y191" s="499"/>
      <c r="Z191" s="499"/>
      <c r="AA191" s="499"/>
      <c r="AB191" s="498"/>
    </row>
    <row r="192" spans="1:28" s="545" customFormat="1" outlineLevel="1" x14ac:dyDescent="0.2">
      <c r="A192" s="497">
        <f t="shared" si="59"/>
        <v>8</v>
      </c>
      <c r="B192" s="551">
        <f>B183</f>
        <v>46075</v>
      </c>
      <c r="C192" s="550" t="s">
        <v>210</v>
      </c>
      <c r="D192" s="550"/>
      <c r="E192" s="549">
        <v>30000</v>
      </c>
      <c r="F192" s="548">
        <v>650</v>
      </c>
      <c r="G192" s="547">
        <f>+E192*12*F192/100000</f>
        <v>2340</v>
      </c>
      <c r="H192" s="546">
        <f>IF(E192="","0",SUM(H193:H200))</f>
        <v>7</v>
      </c>
      <c r="I192" s="598">
        <f>SUM(I193:I200)</f>
        <v>2674.2857142857142</v>
      </c>
      <c r="K192" s="567" t="str">
        <f>C192</f>
        <v>T2</v>
      </c>
      <c r="L192" s="566" t="str">
        <f>IF(N192=0,"0",SUM(L193:L200))</f>
        <v>0</v>
      </c>
      <c r="M192" s="563"/>
      <c r="N192" s="565">
        <f>SUM(N193:N200)</f>
        <v>0</v>
      </c>
      <c r="O192" s="564" t="e">
        <f>+N192/L192</f>
        <v>#DIV/0!</v>
      </c>
      <c r="P192" s="563"/>
      <c r="Q192" s="562"/>
      <c r="R192" s="562"/>
      <c r="S192" s="561"/>
      <c r="T192" s="536"/>
      <c r="U192" s="485"/>
      <c r="V192" s="485"/>
      <c r="W192" s="485"/>
      <c r="X192" s="485"/>
      <c r="Y192" s="485"/>
      <c r="Z192" s="485"/>
      <c r="AA192" s="485"/>
      <c r="AB192" s="537"/>
    </row>
    <row r="193" spans="1:28" s="486" customFormat="1" outlineLevel="2" x14ac:dyDescent="0.2">
      <c r="A193" s="497">
        <f t="shared" si="59"/>
        <v>8</v>
      </c>
      <c r="B193" s="524"/>
      <c r="C193" s="523"/>
      <c r="D193" s="523"/>
      <c r="E193" s="485"/>
      <c r="F193" s="485"/>
      <c r="G193" s="522"/>
      <c r="H193" s="521">
        <v>1</v>
      </c>
      <c r="I193" s="507">
        <f>IF(E192=0,"0",G192/H192)</f>
        <v>334.28571428571428</v>
      </c>
      <c r="J193" s="485"/>
      <c r="K193" s="530">
        <v>0.625</v>
      </c>
      <c r="L193" s="493">
        <f t="shared" ref="L193:L200" si="66">IF(M193="","",I193*H193)</f>
        <v>334.28571428571428</v>
      </c>
      <c r="M193" s="528">
        <v>0.66666666666666663</v>
      </c>
      <c r="N193" s="527"/>
      <c r="O193" s="526">
        <f t="shared" ref="O193:O200" si="67">IF(M193="","",N193/L193)</f>
        <v>0</v>
      </c>
      <c r="P193" s="485"/>
      <c r="Q193" s="560"/>
      <c r="R193" s="487"/>
      <c r="S193" s="525"/>
      <c r="U193" s="535"/>
      <c r="V193" s="534"/>
      <c r="W193" s="534"/>
      <c r="X193" s="485"/>
      <c r="Y193" s="534"/>
      <c r="Z193" s="534"/>
      <c r="AA193" s="534"/>
      <c r="AB193" s="533"/>
    </row>
    <row r="194" spans="1:28" s="486" customFormat="1" outlineLevel="2" x14ac:dyDescent="0.2">
      <c r="A194" s="497">
        <f t="shared" si="59"/>
        <v>8</v>
      </c>
      <c r="B194" s="524"/>
      <c r="C194" s="523"/>
      <c r="D194" s="523"/>
      <c r="E194" s="485"/>
      <c r="F194" s="485"/>
      <c r="G194" s="522"/>
      <c r="H194" s="521">
        <v>0.5</v>
      </c>
      <c r="I194" s="507">
        <f>IF(E192=0,"0",G192/H192)</f>
        <v>334.28571428571428</v>
      </c>
      <c r="J194" s="485"/>
      <c r="K194" s="520">
        <f t="shared" ref="K194:K200" si="68">M193</f>
        <v>0.66666666666666663</v>
      </c>
      <c r="L194" s="519">
        <f t="shared" si="66"/>
        <v>167.14285714285714</v>
      </c>
      <c r="M194" s="518">
        <v>0.70833333333333337</v>
      </c>
      <c r="N194" s="516"/>
      <c r="O194" s="517">
        <f t="shared" si="67"/>
        <v>0</v>
      </c>
      <c r="P194" s="516"/>
      <c r="Q194" s="559"/>
      <c r="R194" s="515"/>
      <c r="S194" s="514"/>
      <c r="U194" s="513"/>
      <c r="V194" s="485"/>
      <c r="W194" s="485"/>
      <c r="X194" s="485"/>
      <c r="Y194" s="485"/>
      <c r="Z194" s="485"/>
      <c r="AA194" s="485"/>
      <c r="AB194" s="512"/>
    </row>
    <row r="195" spans="1:28" s="486" customFormat="1" outlineLevel="2" x14ac:dyDescent="0.2">
      <c r="A195" s="497">
        <f t="shared" si="59"/>
        <v>8</v>
      </c>
      <c r="B195" s="524"/>
      <c r="C195" s="523"/>
      <c r="D195" s="523"/>
      <c r="E195" s="485"/>
      <c r="F195" s="485"/>
      <c r="G195" s="522"/>
      <c r="H195" s="521">
        <v>1</v>
      </c>
      <c r="I195" s="507">
        <f>IF(E192=0,"0",G192/H192)</f>
        <v>334.28571428571428</v>
      </c>
      <c r="J195" s="485"/>
      <c r="K195" s="530">
        <f t="shared" si="68"/>
        <v>0.70833333333333337</v>
      </c>
      <c r="L195" s="493">
        <f t="shared" si="66"/>
        <v>334.28571428571428</v>
      </c>
      <c r="M195" s="528">
        <v>0.75</v>
      </c>
      <c r="N195" s="527"/>
      <c r="O195" s="526">
        <f t="shared" si="67"/>
        <v>0</v>
      </c>
      <c r="P195" s="485"/>
      <c r="Q195" s="487"/>
      <c r="R195" s="487"/>
      <c r="S195" s="525"/>
      <c r="U195" s="513"/>
      <c r="V195" s="485"/>
      <c r="W195" s="485"/>
      <c r="X195" s="485"/>
      <c r="Y195" s="485"/>
      <c r="Z195" s="485"/>
      <c r="AA195" s="485"/>
      <c r="AB195" s="512"/>
    </row>
    <row r="196" spans="1:28" s="486" customFormat="1" outlineLevel="2" x14ac:dyDescent="0.2">
      <c r="A196" s="497">
        <f t="shared" si="59"/>
        <v>8</v>
      </c>
      <c r="B196" s="524"/>
      <c r="C196" s="523"/>
      <c r="D196" s="523"/>
      <c r="E196" s="485"/>
      <c r="F196" s="485"/>
      <c r="G196" s="522"/>
      <c r="H196" s="521">
        <v>1</v>
      </c>
      <c r="I196" s="507">
        <f>IF(E192=0,"0",G192/H192)</f>
        <v>334.28571428571428</v>
      </c>
      <c r="J196" s="485"/>
      <c r="K196" s="520">
        <f t="shared" si="68"/>
        <v>0.75</v>
      </c>
      <c r="L196" s="519">
        <f t="shared" si="66"/>
        <v>334.28571428571428</v>
      </c>
      <c r="M196" s="518">
        <v>0.79166666666666663</v>
      </c>
      <c r="N196" s="516"/>
      <c r="O196" s="517">
        <f t="shared" si="67"/>
        <v>0</v>
      </c>
      <c r="P196" s="516"/>
      <c r="Q196" s="558"/>
      <c r="R196" s="515"/>
      <c r="S196" s="514"/>
      <c r="U196" s="513"/>
      <c r="V196" s="485"/>
      <c r="W196" s="485"/>
      <c r="X196" s="485"/>
      <c r="Y196" s="485"/>
      <c r="Z196" s="485"/>
      <c r="AA196" s="485"/>
      <c r="AB196" s="512"/>
    </row>
    <row r="197" spans="1:28" s="486" customFormat="1" outlineLevel="2" x14ac:dyDescent="0.2">
      <c r="A197" s="497">
        <f t="shared" si="59"/>
        <v>8</v>
      </c>
      <c r="B197" s="524"/>
      <c r="C197" s="523"/>
      <c r="D197" s="523"/>
      <c r="E197" s="485"/>
      <c r="F197" s="485"/>
      <c r="G197" s="522"/>
      <c r="H197" s="521">
        <v>0.5</v>
      </c>
      <c r="I197" s="507">
        <f>IF(E192=0,"0",G192/H192)</f>
        <v>334.28571428571428</v>
      </c>
      <c r="J197" s="485"/>
      <c r="K197" s="530">
        <f t="shared" si="68"/>
        <v>0.79166666666666663</v>
      </c>
      <c r="L197" s="493">
        <f t="shared" si="66"/>
        <v>167.14285714285714</v>
      </c>
      <c r="M197" s="528">
        <v>0.83333333333333337</v>
      </c>
      <c r="N197" s="527"/>
      <c r="O197" s="526">
        <f t="shared" si="67"/>
        <v>0</v>
      </c>
      <c r="P197" s="485"/>
      <c r="Q197" s="487"/>
      <c r="R197" s="487"/>
      <c r="S197" s="525"/>
      <c r="U197" s="513"/>
      <c r="V197" s="485"/>
      <c r="W197" s="485"/>
      <c r="X197" s="485"/>
      <c r="Y197" s="485"/>
      <c r="Z197" s="485"/>
      <c r="AA197" s="485"/>
      <c r="AB197" s="512"/>
    </row>
    <row r="198" spans="1:28" s="486" customFormat="1" outlineLevel="2" x14ac:dyDescent="0.2">
      <c r="A198" s="497">
        <f t="shared" si="59"/>
        <v>8</v>
      </c>
      <c r="B198" s="524"/>
      <c r="C198" s="523"/>
      <c r="D198" s="523"/>
      <c r="E198" s="485"/>
      <c r="F198" s="485"/>
      <c r="G198" s="522"/>
      <c r="H198" s="521">
        <v>1</v>
      </c>
      <c r="I198" s="507">
        <f>IF(E192=0,"0",G192/H192)</f>
        <v>334.28571428571428</v>
      </c>
      <c r="J198" s="485"/>
      <c r="K198" s="520">
        <f t="shared" si="68"/>
        <v>0.83333333333333337</v>
      </c>
      <c r="L198" s="519">
        <f t="shared" si="66"/>
        <v>334.28571428571428</v>
      </c>
      <c r="M198" s="518">
        <v>0.875</v>
      </c>
      <c r="N198" s="516"/>
      <c r="O198" s="517">
        <f t="shared" si="67"/>
        <v>0</v>
      </c>
      <c r="P198" s="516"/>
      <c r="Q198" s="515"/>
      <c r="R198" s="515"/>
      <c r="S198" s="514"/>
      <c r="U198" s="513"/>
      <c r="V198" s="485"/>
      <c r="W198" s="485"/>
      <c r="X198" s="485"/>
      <c r="Y198" s="485"/>
      <c r="Z198" s="485"/>
      <c r="AA198" s="485"/>
      <c r="AB198" s="512"/>
    </row>
    <row r="199" spans="1:28" s="486" customFormat="1" outlineLevel="2" x14ac:dyDescent="0.2">
      <c r="A199" s="497">
        <f t="shared" si="59"/>
        <v>8</v>
      </c>
      <c r="B199" s="524"/>
      <c r="C199" s="523"/>
      <c r="D199" s="523"/>
      <c r="E199" s="485"/>
      <c r="F199" s="485"/>
      <c r="G199" s="522"/>
      <c r="H199" s="521">
        <v>1</v>
      </c>
      <c r="I199" s="507">
        <f>IF(E192=0,"0",G192/H192)</f>
        <v>334.28571428571428</v>
      </c>
      <c r="J199" s="485"/>
      <c r="K199" s="530">
        <f t="shared" si="68"/>
        <v>0.875</v>
      </c>
      <c r="L199" s="493">
        <f t="shared" si="66"/>
        <v>334.28571428571428</v>
      </c>
      <c r="M199" s="528">
        <v>0.91666666666666663</v>
      </c>
      <c r="N199" s="527"/>
      <c r="O199" s="526">
        <f t="shared" si="67"/>
        <v>0</v>
      </c>
      <c r="P199" s="485"/>
      <c r="Q199" s="487"/>
      <c r="R199" s="487"/>
      <c r="S199" s="525"/>
      <c r="U199" s="513"/>
      <c r="V199" s="485"/>
      <c r="W199" s="485"/>
      <c r="X199" s="485"/>
      <c r="Y199" s="485"/>
      <c r="Z199" s="485"/>
      <c r="AA199" s="485"/>
      <c r="AB199" s="512"/>
    </row>
    <row r="200" spans="1:28" s="486" customFormat="1" outlineLevel="2" x14ac:dyDescent="0.2">
      <c r="A200" s="497">
        <f t="shared" si="59"/>
        <v>8</v>
      </c>
      <c r="B200" s="524"/>
      <c r="C200" s="523"/>
      <c r="D200" s="523"/>
      <c r="E200" s="485"/>
      <c r="F200" s="485"/>
      <c r="G200" s="522"/>
      <c r="H200" s="521">
        <v>1</v>
      </c>
      <c r="I200" s="507">
        <f>IF(E192=0,"0",G192/H192)</f>
        <v>334.28571428571428</v>
      </c>
      <c r="J200" s="485"/>
      <c r="K200" s="557">
        <f t="shared" si="68"/>
        <v>0.91666666666666663</v>
      </c>
      <c r="L200" s="519">
        <f t="shared" si="66"/>
        <v>334.28571428571428</v>
      </c>
      <c r="M200" s="556">
        <v>0.95833333333333337</v>
      </c>
      <c r="N200" s="554"/>
      <c r="O200" s="555">
        <f t="shared" si="67"/>
        <v>0</v>
      </c>
      <c r="P200" s="554"/>
      <c r="Q200" s="553"/>
      <c r="R200" s="553"/>
      <c r="S200" s="552"/>
      <c r="U200" s="500"/>
      <c r="V200" s="499"/>
      <c r="W200" s="499"/>
      <c r="X200" s="485"/>
      <c r="Y200" s="499"/>
      <c r="Z200" s="499"/>
      <c r="AA200" s="499"/>
      <c r="AB200" s="498"/>
    </row>
    <row r="201" spans="1:28" s="536" customFormat="1" outlineLevel="1" x14ac:dyDescent="0.2">
      <c r="A201" s="497">
        <f t="shared" si="59"/>
        <v>8</v>
      </c>
      <c r="B201" s="551">
        <f>B183</f>
        <v>46075</v>
      </c>
      <c r="C201" s="550" t="s">
        <v>211</v>
      </c>
      <c r="D201" s="550"/>
      <c r="E201" s="549">
        <v>30000</v>
      </c>
      <c r="F201" s="548">
        <v>650</v>
      </c>
      <c r="G201" s="547">
        <f>+E201*12*F201/100000</f>
        <v>2340</v>
      </c>
      <c r="H201" s="546">
        <f>IF(E201="","0",SUM(H202:H209))</f>
        <v>7</v>
      </c>
      <c r="I201" s="598">
        <f>SUM(I202:I209)</f>
        <v>2674.2857142857142</v>
      </c>
      <c r="J201" s="545"/>
      <c r="K201" s="544" t="str">
        <f>C201</f>
        <v>T3</v>
      </c>
      <c r="L201" s="543" t="str">
        <f>IF(N201=0,"0",SUM(L202:L209))</f>
        <v>0</v>
      </c>
      <c r="M201" s="540"/>
      <c r="N201" s="542">
        <f>SUM(N202:N209)</f>
        <v>0</v>
      </c>
      <c r="O201" s="541" t="e">
        <f>+N201/L201</f>
        <v>#DIV/0!</v>
      </c>
      <c r="P201" s="540"/>
      <c r="Q201" s="539"/>
      <c r="R201" s="539"/>
      <c r="S201" s="538"/>
      <c r="U201" s="485"/>
      <c r="V201" s="485"/>
      <c r="W201" s="485"/>
      <c r="X201" s="485"/>
      <c r="Y201" s="485"/>
      <c r="Z201" s="485"/>
      <c r="AA201" s="485"/>
      <c r="AB201" s="537"/>
    </row>
    <row r="202" spans="1:28" s="486" customFormat="1" outlineLevel="2" x14ac:dyDescent="0.2">
      <c r="A202" s="497">
        <f t="shared" ref="A202:A209" si="69">$A$9</f>
        <v>8</v>
      </c>
      <c r="B202" s="524"/>
      <c r="C202" s="523"/>
      <c r="D202" s="523"/>
      <c r="E202" s="485"/>
      <c r="F202" s="485"/>
      <c r="G202" s="522"/>
      <c r="H202" s="521">
        <v>1</v>
      </c>
      <c r="I202" s="507">
        <f>IF(E201=0,"0",G201/H201)</f>
        <v>334.28571428571428</v>
      </c>
      <c r="J202" s="485"/>
      <c r="K202" s="520">
        <v>0.95833333333333337</v>
      </c>
      <c r="L202" s="519">
        <f t="shared" ref="L202:L209" si="70">IF(M202="","",I202*H202)</f>
        <v>334.28571428571428</v>
      </c>
      <c r="M202" s="518">
        <v>0</v>
      </c>
      <c r="N202" s="516"/>
      <c r="O202" s="517">
        <f t="shared" ref="O202:O209" si="71">IF(M202="","",N202/L202)</f>
        <v>0</v>
      </c>
      <c r="P202" s="516"/>
      <c r="Q202" s="515"/>
      <c r="R202" s="515"/>
      <c r="S202" s="514"/>
      <c r="U202" s="535"/>
      <c r="V202" s="534"/>
      <c r="W202" s="534"/>
      <c r="X202" s="485"/>
      <c r="Y202" s="534"/>
      <c r="Z202" s="534"/>
      <c r="AA202" s="534"/>
      <c r="AB202" s="533"/>
    </row>
    <row r="203" spans="1:28" s="486" customFormat="1" outlineLevel="2" x14ac:dyDescent="0.2">
      <c r="A203" s="497">
        <f t="shared" si="69"/>
        <v>8</v>
      </c>
      <c r="B203" s="524"/>
      <c r="C203" s="523"/>
      <c r="D203" s="523"/>
      <c r="E203" s="485"/>
      <c r="F203" s="485"/>
      <c r="G203" s="522"/>
      <c r="H203" s="521">
        <v>0.5</v>
      </c>
      <c r="I203" s="507">
        <f>IF(E201=0,"0",G201/H201)</f>
        <v>334.28571428571428</v>
      </c>
      <c r="J203" s="485"/>
      <c r="K203" s="530">
        <f t="shared" ref="K203:K209" si="72">M202</f>
        <v>0</v>
      </c>
      <c r="L203" s="493">
        <f t="shared" si="70"/>
        <v>167.14285714285714</v>
      </c>
      <c r="M203" s="528">
        <v>4.1666666666666664E-2</v>
      </c>
      <c r="N203" s="527"/>
      <c r="O203" s="526">
        <f t="shared" si="71"/>
        <v>0</v>
      </c>
      <c r="P203" s="485"/>
      <c r="Q203" s="532"/>
      <c r="R203" s="487"/>
      <c r="S203" s="525"/>
      <c r="U203" s="513"/>
      <c r="V203" s="485"/>
      <c r="W203" s="485"/>
      <c r="X203" s="485"/>
      <c r="Y203" s="485"/>
      <c r="Z203" s="485"/>
      <c r="AA203" s="485"/>
      <c r="AB203" s="512"/>
    </row>
    <row r="204" spans="1:28" s="486" customFormat="1" outlineLevel="2" x14ac:dyDescent="0.2">
      <c r="A204" s="497">
        <f t="shared" si="69"/>
        <v>8</v>
      </c>
      <c r="B204" s="524"/>
      <c r="C204" s="523"/>
      <c r="D204" s="523"/>
      <c r="E204" s="485"/>
      <c r="F204" s="485"/>
      <c r="G204" s="522"/>
      <c r="H204" s="521">
        <v>1</v>
      </c>
      <c r="I204" s="507">
        <f>IF(E201=0,"0",G201/H201)</f>
        <v>334.28571428571428</v>
      </c>
      <c r="J204" s="485"/>
      <c r="K204" s="520">
        <f t="shared" si="72"/>
        <v>4.1666666666666664E-2</v>
      </c>
      <c r="L204" s="519">
        <f t="shared" si="70"/>
        <v>334.28571428571428</v>
      </c>
      <c r="M204" s="518">
        <v>8.3333333333333329E-2</v>
      </c>
      <c r="N204" s="516"/>
      <c r="O204" s="517">
        <f t="shared" si="71"/>
        <v>0</v>
      </c>
      <c r="P204" s="516"/>
      <c r="Q204" s="531"/>
      <c r="R204" s="515"/>
      <c r="S204" s="514"/>
      <c r="U204" s="513"/>
      <c r="V204" s="485"/>
      <c r="W204" s="485"/>
      <c r="X204" s="485"/>
      <c r="Y204" s="485"/>
      <c r="Z204" s="485"/>
      <c r="AA204" s="485"/>
      <c r="AB204" s="512"/>
    </row>
    <row r="205" spans="1:28" s="486" customFormat="1" outlineLevel="2" x14ac:dyDescent="0.2">
      <c r="A205" s="497">
        <f t="shared" si="69"/>
        <v>8</v>
      </c>
      <c r="B205" s="524"/>
      <c r="C205" s="523"/>
      <c r="D205" s="523"/>
      <c r="E205" s="485"/>
      <c r="F205" s="485"/>
      <c r="G205" s="522"/>
      <c r="H205" s="521">
        <v>1</v>
      </c>
      <c r="I205" s="507">
        <f>IF(E201=0,"0",G201/H201)</f>
        <v>334.28571428571428</v>
      </c>
      <c r="J205" s="485"/>
      <c r="K205" s="530">
        <f t="shared" si="72"/>
        <v>8.3333333333333329E-2</v>
      </c>
      <c r="L205" s="493">
        <f t="shared" si="70"/>
        <v>334.28571428571428</v>
      </c>
      <c r="M205" s="528">
        <v>0.125</v>
      </c>
      <c r="N205" s="527"/>
      <c r="O205" s="526">
        <f t="shared" si="71"/>
        <v>0</v>
      </c>
      <c r="P205" s="485"/>
      <c r="Q205" s="532"/>
      <c r="R205" s="487"/>
      <c r="S205" s="525"/>
      <c r="U205" s="513"/>
      <c r="V205" s="485"/>
      <c r="W205" s="485"/>
      <c r="X205" s="485"/>
      <c r="Y205" s="485"/>
      <c r="Z205" s="485"/>
      <c r="AA205" s="485"/>
      <c r="AB205" s="512"/>
    </row>
    <row r="206" spans="1:28" s="486" customFormat="1" outlineLevel="2" x14ac:dyDescent="0.2">
      <c r="A206" s="497">
        <f t="shared" si="69"/>
        <v>8</v>
      </c>
      <c r="B206" s="524"/>
      <c r="C206" s="523"/>
      <c r="D206" s="523"/>
      <c r="E206" s="485"/>
      <c r="F206" s="485"/>
      <c r="G206" s="522"/>
      <c r="H206" s="521">
        <v>0.5</v>
      </c>
      <c r="I206" s="507">
        <f>IF(E201=0,"0",G201/H201)</f>
        <v>334.28571428571428</v>
      </c>
      <c r="J206" s="485"/>
      <c r="K206" s="520">
        <f t="shared" si="72"/>
        <v>0.125</v>
      </c>
      <c r="L206" s="519">
        <f t="shared" si="70"/>
        <v>167.14285714285714</v>
      </c>
      <c r="M206" s="518">
        <v>0.16666666666666666</v>
      </c>
      <c r="N206" s="516"/>
      <c r="O206" s="517">
        <f t="shared" si="71"/>
        <v>0</v>
      </c>
      <c r="P206" s="516"/>
      <c r="Q206" s="531"/>
      <c r="R206" s="515"/>
      <c r="S206" s="514"/>
      <c r="U206" s="513"/>
      <c r="V206" s="485"/>
      <c r="W206" s="485"/>
      <c r="X206" s="485"/>
      <c r="Y206" s="485"/>
      <c r="Z206" s="485"/>
      <c r="AA206" s="485"/>
      <c r="AB206" s="512"/>
    </row>
    <row r="207" spans="1:28" s="486" customFormat="1" outlineLevel="2" x14ac:dyDescent="0.2">
      <c r="A207" s="497">
        <f t="shared" si="69"/>
        <v>8</v>
      </c>
      <c r="B207" s="524"/>
      <c r="C207" s="523"/>
      <c r="D207" s="523"/>
      <c r="E207" s="485"/>
      <c r="F207" s="485"/>
      <c r="G207" s="522"/>
      <c r="H207" s="521">
        <v>1</v>
      </c>
      <c r="I207" s="507">
        <f>IF(E201=0,"0",G201/H201)</f>
        <v>334.28571428571428</v>
      </c>
      <c r="J207" s="485"/>
      <c r="K207" s="530">
        <f t="shared" si="72"/>
        <v>0.16666666666666666</v>
      </c>
      <c r="L207" s="493">
        <f t="shared" si="70"/>
        <v>334.28571428571428</v>
      </c>
      <c r="M207" s="528">
        <v>0.20833333333333334</v>
      </c>
      <c r="N207" s="527"/>
      <c r="O207" s="526">
        <f t="shared" si="71"/>
        <v>0</v>
      </c>
      <c r="P207" s="485"/>
      <c r="Q207" s="487"/>
      <c r="R207" s="487"/>
      <c r="S207" s="525"/>
      <c r="U207" s="513"/>
      <c r="V207" s="485"/>
      <c r="W207" s="485"/>
      <c r="X207" s="485"/>
      <c r="Y207" s="485"/>
      <c r="Z207" s="485"/>
      <c r="AA207" s="485"/>
      <c r="AB207" s="512"/>
    </row>
    <row r="208" spans="1:28" s="486" customFormat="1" outlineLevel="2" x14ac:dyDescent="0.2">
      <c r="A208" s="497">
        <f t="shared" si="69"/>
        <v>8</v>
      </c>
      <c r="B208" s="524"/>
      <c r="C208" s="523"/>
      <c r="D208" s="523"/>
      <c r="E208" s="485"/>
      <c r="F208" s="485"/>
      <c r="G208" s="522"/>
      <c r="H208" s="521">
        <v>1</v>
      </c>
      <c r="I208" s="507">
        <f>IF(E201=0,"0",G201/H201)</f>
        <v>334.28571428571428</v>
      </c>
      <c r="J208" s="485"/>
      <c r="K208" s="520">
        <f t="shared" si="72"/>
        <v>0.20833333333333334</v>
      </c>
      <c r="L208" s="519">
        <f t="shared" si="70"/>
        <v>334.28571428571428</v>
      </c>
      <c r="M208" s="518">
        <v>0.25</v>
      </c>
      <c r="N208" s="516"/>
      <c r="O208" s="517">
        <f t="shared" si="71"/>
        <v>0</v>
      </c>
      <c r="P208" s="516"/>
      <c r="Q208" s="515"/>
      <c r="R208" s="515"/>
      <c r="S208" s="514"/>
      <c r="U208" s="513"/>
      <c r="V208" s="485"/>
      <c r="W208" s="485"/>
      <c r="X208" s="485"/>
      <c r="Y208" s="485"/>
      <c r="Z208" s="485"/>
      <c r="AA208" s="485"/>
      <c r="AB208" s="512"/>
    </row>
    <row r="209" spans="1:28" s="486" customFormat="1" outlineLevel="2" x14ac:dyDescent="0.2">
      <c r="A209" s="497">
        <f t="shared" si="69"/>
        <v>8</v>
      </c>
      <c r="B209" s="511"/>
      <c r="C209" s="510"/>
      <c r="D209" s="510"/>
      <c r="E209" s="499"/>
      <c r="F209" s="499"/>
      <c r="G209" s="509"/>
      <c r="H209" s="508">
        <v>1</v>
      </c>
      <c r="I209" s="507">
        <f>IF(E201=0,"0",G201/H201)</f>
        <v>334.28571428571428</v>
      </c>
      <c r="J209" s="485"/>
      <c r="K209" s="506">
        <f t="shared" si="72"/>
        <v>0.25</v>
      </c>
      <c r="L209" s="638">
        <f t="shared" si="70"/>
        <v>334.28571428571428</v>
      </c>
      <c r="M209" s="505">
        <v>0.33333333333333331</v>
      </c>
      <c r="N209" s="504"/>
      <c r="O209" s="503">
        <f t="shared" si="71"/>
        <v>0</v>
      </c>
      <c r="P209" s="499"/>
      <c r="Q209" s="502"/>
      <c r="R209" s="502"/>
      <c r="S209" s="501"/>
      <c r="U209" s="500"/>
      <c r="V209" s="499"/>
      <c r="W209" s="499"/>
      <c r="X209" s="485"/>
      <c r="Y209" s="499"/>
      <c r="Z209" s="499"/>
      <c r="AA209" s="499"/>
      <c r="AB209" s="498"/>
    </row>
    <row r="210" spans="1:28" s="489" customFormat="1" outlineLevel="1" x14ac:dyDescent="0.2">
      <c r="A210" s="497"/>
      <c r="B210" s="496"/>
      <c r="C210" s="495"/>
      <c r="D210" s="495"/>
      <c r="G210" s="485"/>
      <c r="H210" s="495"/>
      <c r="I210" s="494"/>
      <c r="K210" s="492"/>
      <c r="L210" s="493"/>
      <c r="M210" s="492"/>
      <c r="O210" s="491"/>
      <c r="Q210" s="490"/>
      <c r="R210" s="490"/>
      <c r="S210" s="490"/>
      <c r="T210" s="486"/>
    </row>
  </sheetData>
  <autoFilter ref="A7:AB7" xr:uid="{670CC44A-1B17-4A2A-A894-800350C4C103}"/>
  <conditionalFormatting sqref="M10:N17">
    <cfRule type="cellIs" dxfId="41" priority="49" operator="greaterThan">
      <formula>0</formula>
    </cfRule>
  </conditionalFormatting>
  <conditionalFormatting sqref="M19:N26">
    <cfRule type="cellIs" dxfId="40" priority="48" operator="greaterThan">
      <formula>0</formula>
    </cfRule>
  </conditionalFormatting>
  <conditionalFormatting sqref="M28:N36">
    <cfRule type="cellIs" dxfId="39" priority="47" operator="greaterThan">
      <formula>0</formula>
    </cfRule>
  </conditionalFormatting>
  <conditionalFormatting sqref="M39:N46">
    <cfRule type="cellIs" dxfId="38" priority="42" operator="greaterThan">
      <formula>0</formula>
    </cfRule>
  </conditionalFormatting>
  <conditionalFormatting sqref="M48:N55">
    <cfRule type="cellIs" dxfId="37" priority="41" operator="greaterThan">
      <formula>0</formula>
    </cfRule>
  </conditionalFormatting>
  <conditionalFormatting sqref="M57:N65">
    <cfRule type="cellIs" dxfId="36" priority="40" operator="greaterThan">
      <formula>0</formula>
    </cfRule>
  </conditionalFormatting>
  <conditionalFormatting sqref="M68:N75">
    <cfRule type="cellIs" dxfId="35" priority="35" operator="greaterThan">
      <formula>0</formula>
    </cfRule>
  </conditionalFormatting>
  <conditionalFormatting sqref="M77:N84">
    <cfRule type="cellIs" dxfId="34" priority="34" operator="greaterThan">
      <formula>0</formula>
    </cfRule>
  </conditionalFormatting>
  <conditionalFormatting sqref="M86:N94">
    <cfRule type="cellIs" dxfId="33" priority="33" operator="greaterThan">
      <formula>0</formula>
    </cfRule>
  </conditionalFormatting>
  <conditionalFormatting sqref="M97:N104">
    <cfRule type="cellIs" dxfId="32" priority="28" operator="greaterThan">
      <formula>0</formula>
    </cfRule>
  </conditionalFormatting>
  <conditionalFormatting sqref="M106:N113">
    <cfRule type="cellIs" dxfId="31" priority="27" operator="greaterThan">
      <formula>0</formula>
    </cfRule>
  </conditionalFormatting>
  <conditionalFormatting sqref="M115:N123">
    <cfRule type="cellIs" dxfId="30" priority="26" operator="greaterThan">
      <formula>0</formula>
    </cfRule>
  </conditionalFormatting>
  <conditionalFormatting sqref="M126:N133">
    <cfRule type="cellIs" dxfId="29" priority="21" operator="greaterThan">
      <formula>0</formula>
    </cfRule>
  </conditionalFormatting>
  <conditionalFormatting sqref="M135:N142">
    <cfRule type="cellIs" dxfId="28" priority="20" operator="greaterThan">
      <formula>0</formula>
    </cfRule>
  </conditionalFormatting>
  <conditionalFormatting sqref="M144:N152">
    <cfRule type="cellIs" dxfId="27" priority="19" operator="greaterThan">
      <formula>0</formula>
    </cfRule>
  </conditionalFormatting>
  <conditionalFormatting sqref="M155:N162">
    <cfRule type="cellIs" dxfId="26" priority="14" operator="greaterThan">
      <formula>0</formula>
    </cfRule>
  </conditionalFormatting>
  <conditionalFormatting sqref="M164:N171">
    <cfRule type="cellIs" dxfId="25" priority="13" operator="greaterThan">
      <formula>0</formula>
    </cfRule>
  </conditionalFormatting>
  <conditionalFormatting sqref="M173:N181">
    <cfRule type="cellIs" dxfId="24" priority="12" operator="greaterThan">
      <formula>0</formula>
    </cfRule>
  </conditionalFormatting>
  <conditionalFormatting sqref="M184:N191">
    <cfRule type="cellIs" dxfId="23" priority="7" operator="greaterThan">
      <formula>0</formula>
    </cfRule>
  </conditionalFormatting>
  <conditionalFormatting sqref="M193:N200">
    <cfRule type="cellIs" dxfId="22" priority="6" operator="greaterThan">
      <formula>0</formula>
    </cfRule>
  </conditionalFormatting>
  <conditionalFormatting sqref="M202:N210">
    <cfRule type="cellIs" dxfId="21" priority="5" operator="greaterThan">
      <formula>0</formula>
    </cfRule>
  </conditionalFormatting>
  <conditionalFormatting sqref="N8:N9">
    <cfRule type="cellIs" dxfId="20" priority="43" operator="lessThan">
      <formula>L8</formula>
    </cfRule>
  </conditionalFormatting>
  <conditionalFormatting sqref="N18">
    <cfRule type="cellIs" dxfId="19" priority="45" operator="lessThan">
      <formula>L18</formula>
    </cfRule>
  </conditionalFormatting>
  <conditionalFormatting sqref="N27">
    <cfRule type="cellIs" dxfId="18" priority="44" operator="lessThan">
      <formula>L27</formula>
    </cfRule>
  </conditionalFormatting>
  <conditionalFormatting sqref="N37:N38">
    <cfRule type="cellIs" dxfId="17" priority="36" operator="lessThan">
      <formula>L37</formula>
    </cfRule>
  </conditionalFormatting>
  <conditionalFormatting sqref="N47">
    <cfRule type="cellIs" dxfId="16" priority="38" operator="lessThan">
      <formula>L47</formula>
    </cfRule>
  </conditionalFormatting>
  <conditionalFormatting sqref="N56">
    <cfRule type="cellIs" dxfId="15" priority="37" operator="lessThan">
      <formula>L56</formula>
    </cfRule>
  </conditionalFormatting>
  <conditionalFormatting sqref="N66:N67">
    <cfRule type="cellIs" dxfId="14" priority="29" operator="lessThan">
      <formula>L66</formula>
    </cfRule>
  </conditionalFormatting>
  <conditionalFormatting sqref="N76">
    <cfRule type="cellIs" dxfId="13" priority="31" operator="lessThan">
      <formula>L76</formula>
    </cfRule>
  </conditionalFormatting>
  <conditionalFormatting sqref="N85">
    <cfRule type="cellIs" dxfId="12" priority="30" operator="lessThan">
      <formula>L85</formula>
    </cfRule>
  </conditionalFormatting>
  <conditionalFormatting sqref="N95:N96">
    <cfRule type="cellIs" dxfId="11" priority="22" operator="lessThan">
      <formula>L95</formula>
    </cfRule>
  </conditionalFormatting>
  <conditionalFormatting sqref="N105">
    <cfRule type="cellIs" dxfId="10" priority="24" operator="lessThan">
      <formula>L105</formula>
    </cfRule>
  </conditionalFormatting>
  <conditionalFormatting sqref="N114">
    <cfRule type="cellIs" dxfId="9" priority="23" operator="lessThan">
      <formula>L114</formula>
    </cfRule>
  </conditionalFormatting>
  <conditionalFormatting sqref="N124:N125">
    <cfRule type="cellIs" dxfId="8" priority="15" operator="lessThan">
      <formula>L124</formula>
    </cfRule>
  </conditionalFormatting>
  <conditionalFormatting sqref="N134">
    <cfRule type="cellIs" dxfId="7" priority="17" operator="lessThan">
      <formula>L134</formula>
    </cfRule>
  </conditionalFormatting>
  <conditionalFormatting sqref="N143">
    <cfRule type="cellIs" dxfId="6" priority="16" operator="lessThan">
      <formula>L143</formula>
    </cfRule>
  </conditionalFormatting>
  <conditionalFormatting sqref="N153:N154">
    <cfRule type="cellIs" dxfId="5" priority="8" operator="lessThan">
      <formula>L153</formula>
    </cfRule>
  </conditionalFormatting>
  <conditionalFormatting sqref="N163">
    <cfRule type="cellIs" dxfId="4" priority="10" operator="lessThan">
      <formula>L163</formula>
    </cfRule>
  </conditionalFormatting>
  <conditionalFormatting sqref="N172">
    <cfRule type="cellIs" dxfId="3" priority="9" operator="lessThan">
      <formula>L172</formula>
    </cfRule>
  </conditionalFormatting>
  <conditionalFormatting sqref="N182:N183">
    <cfRule type="cellIs" dxfId="2" priority="1" operator="lessThan">
      <formula>L182</formula>
    </cfRule>
  </conditionalFormatting>
  <conditionalFormatting sqref="N192">
    <cfRule type="cellIs" dxfId="1" priority="3" operator="lessThan">
      <formula>L192</formula>
    </cfRule>
  </conditionalFormatting>
  <conditionalFormatting sqref="N201">
    <cfRule type="cellIs" dxfId="0" priority="2" operator="lessThan">
      <formula>L201</formula>
    </cfRule>
  </conditionalFormatting>
  <dataValidations count="1">
    <dataValidation type="list" allowBlank="1" showInputMessage="1" showErrorMessage="1" sqref="F192 F201 F183 F172 F163 F154 F143 F134 F125 F76 F114 F105 F96 F67 F85 F47 F38 F56 F27 F18 F9" xr:uid="{B4FC5AE2-9984-4BED-A6EB-D3DE91E2C49C}">
      <formula1>$M$3:$O$3</formula1>
    </dataValidation>
  </dataValidation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0827-F8C9-4574-968F-7DB19CD09BD8}">
  <dimension ref="A1:BJ100"/>
  <sheetViews>
    <sheetView zoomScale="60" zoomScaleNormal="60" zoomScaleSheetLayoutView="50" workbookViewId="0">
      <selection activeCell="E27" sqref="E27"/>
    </sheetView>
  </sheetViews>
  <sheetFormatPr baseColWidth="10" defaultColWidth="11.42578125" defaultRowHeight="12.75" x14ac:dyDescent="0.2"/>
  <cols>
    <col min="1" max="1" width="1.42578125" style="9" customWidth="1"/>
    <col min="2" max="2" width="13.42578125" style="9" customWidth="1"/>
    <col min="3" max="3" width="3.5703125" style="9" customWidth="1"/>
    <col min="4" max="4" width="1.42578125" style="10" customWidth="1"/>
    <col min="5" max="5" width="12.5703125" style="10" customWidth="1"/>
    <col min="6" max="6" width="8.42578125" style="10" customWidth="1"/>
    <col min="7" max="7" width="14.42578125" style="10" customWidth="1"/>
    <col min="8" max="8" width="12.5703125" style="10" customWidth="1"/>
    <col min="9" max="9" width="8.42578125" style="10" customWidth="1"/>
    <col min="10" max="10" width="14.5703125" style="10" customWidth="1"/>
    <col min="11" max="11" width="12.5703125" style="10" customWidth="1"/>
    <col min="12" max="12" width="8.42578125" style="10" customWidth="1"/>
    <col min="13" max="13" width="15.28515625" style="10" customWidth="1"/>
    <col min="14" max="14" width="12.5703125" style="10" customWidth="1"/>
    <col min="15" max="15" width="8.42578125" style="10" customWidth="1"/>
    <col min="16" max="16" width="14.5703125" style="10" customWidth="1"/>
    <col min="17" max="17" width="5.42578125" style="10" customWidth="1"/>
    <col min="18" max="18" width="13.42578125" style="10" customWidth="1"/>
    <col min="19" max="19" width="8" style="10" customWidth="1"/>
    <col min="20" max="20" width="10.5703125" style="10" bestFit="1" customWidth="1"/>
    <col min="21" max="21" width="12.5703125" style="10" customWidth="1"/>
    <col min="22" max="22" width="9.140625" style="10"/>
    <col min="23" max="23" width="13.7109375" style="10" customWidth="1"/>
    <col min="24" max="25" width="11.42578125" style="10"/>
    <col min="26" max="26" width="11.42578125" style="10" collapsed="1"/>
    <col min="27" max="16384" width="11.42578125" style="10"/>
  </cols>
  <sheetData>
    <row r="1" spans="1:62" s="4" customFormat="1" ht="30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2"/>
      <c r="R1" s="3"/>
      <c r="U1" s="4">
        <v>2184</v>
      </c>
      <c r="V1" s="4">
        <v>9600</v>
      </c>
      <c r="W1" s="4">
        <f>U1+V1</f>
        <v>11784</v>
      </c>
    </row>
    <row r="2" spans="1:62" s="4" customFormat="1" ht="27.75" hidden="1" customHeight="1" x14ac:dyDescent="0.2">
      <c r="A2" s="1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62" s="4" customFormat="1" ht="30" x14ac:dyDescent="0.2">
      <c r="A3" s="1"/>
      <c r="B3" s="7"/>
      <c r="C3" s="7"/>
      <c r="D3" s="7"/>
      <c r="E3" s="7"/>
      <c r="F3" s="7"/>
      <c r="G3" s="7"/>
      <c r="H3" s="132" t="s">
        <v>1</v>
      </c>
      <c r="I3" s="7"/>
      <c r="J3" s="8">
        <f>WEEKNUM(B9,21)</f>
        <v>38</v>
      </c>
      <c r="L3" s="7"/>
      <c r="M3" s="7"/>
      <c r="N3" s="7"/>
      <c r="O3" s="7"/>
      <c r="P3" s="7"/>
      <c r="Q3" s="2"/>
    </row>
    <row r="4" spans="1:62" ht="3" customHeight="1" x14ac:dyDescent="0.2"/>
    <row r="5" spans="1:62" customFormat="1" ht="18.75" x14ac:dyDescent="0.2">
      <c r="A5" s="66"/>
      <c r="B5" s="66"/>
      <c r="C5" s="66"/>
      <c r="D5" s="67"/>
      <c r="E5" s="68"/>
      <c r="F5" s="69"/>
      <c r="G5" s="70"/>
      <c r="H5" s="68"/>
      <c r="I5" s="68"/>
      <c r="J5" s="71" t="str">
        <f>"Del "&amp;TEXT(B9,"DD/MM/YYYY")&amp;" al "&amp;TEXT(B27,"DD/MM/YYYY")</f>
        <v>Del 15/09/YYYY al 21/09/YYYY</v>
      </c>
    </row>
    <row r="6" spans="1:62" ht="13.5" hidden="1" customHeight="1" x14ac:dyDescent="0.2">
      <c r="B6" s="11" t="s">
        <v>2</v>
      </c>
      <c r="C6" s="11" t="s">
        <v>3</v>
      </c>
      <c r="D6" s="12">
        <v>2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3</v>
      </c>
      <c r="L6" s="12">
        <v>3</v>
      </c>
      <c r="M6" s="12">
        <v>3</v>
      </c>
      <c r="N6" s="12">
        <v>3</v>
      </c>
      <c r="O6" s="12">
        <v>3</v>
      </c>
      <c r="P6" s="12">
        <v>3</v>
      </c>
    </row>
    <row r="7" spans="1:62" s="14" customFormat="1" ht="29.1" customHeight="1" x14ac:dyDescent="0.5">
      <c r="A7" s="13"/>
      <c r="B7" s="1005" t="s">
        <v>2</v>
      </c>
      <c r="C7" s="1005" t="s">
        <v>3</v>
      </c>
      <c r="D7" s="208" t="s">
        <v>76</v>
      </c>
      <c r="E7" s="1087" t="s">
        <v>4</v>
      </c>
      <c r="F7" s="1087"/>
      <c r="G7" s="1087"/>
      <c r="H7" s="1087"/>
      <c r="I7" s="1087"/>
      <c r="J7" s="1088"/>
      <c r="K7" s="1087" t="s">
        <v>5</v>
      </c>
      <c r="L7" s="1087"/>
      <c r="M7" s="1087"/>
      <c r="N7" s="1087"/>
      <c r="O7" s="1087"/>
      <c r="P7" s="1088"/>
      <c r="Q7" s="173"/>
      <c r="R7" s="76"/>
      <c r="S7" s="74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 t="s">
        <v>319</v>
      </c>
      <c r="AE7" s="76"/>
      <c r="AF7" s="75"/>
      <c r="AG7" s="75"/>
      <c r="AH7" s="76" t="s">
        <v>320</v>
      </c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</row>
    <row r="8" spans="1:62" ht="19.5" customHeight="1" x14ac:dyDescent="0.2">
      <c r="A8" s="13"/>
      <c r="B8" s="1086"/>
      <c r="C8" s="1086"/>
      <c r="D8" s="209" t="s">
        <v>76</v>
      </c>
      <c r="E8" s="209" t="s">
        <v>6</v>
      </c>
      <c r="F8" s="209" t="s">
        <v>7</v>
      </c>
      <c r="G8" s="209" t="s">
        <v>8</v>
      </c>
      <c r="H8" s="209" t="s">
        <v>6</v>
      </c>
      <c r="I8" s="209" t="s">
        <v>7</v>
      </c>
      <c r="J8" s="209" t="s">
        <v>8</v>
      </c>
      <c r="K8" s="209" t="s">
        <v>6</v>
      </c>
      <c r="L8" s="209" t="s">
        <v>7</v>
      </c>
      <c r="M8" s="209" t="s">
        <v>8</v>
      </c>
      <c r="N8" s="209" t="s">
        <v>6</v>
      </c>
      <c r="O8" s="209" t="s">
        <v>7</v>
      </c>
      <c r="P8" s="209" t="s">
        <v>8</v>
      </c>
      <c r="Q8" s="67"/>
      <c r="R8" s="74"/>
      <c r="S8" s="115" t="s">
        <v>6</v>
      </c>
      <c r="T8" s="74"/>
      <c r="U8" s="74"/>
      <c r="V8" s="74"/>
      <c r="W8" s="74"/>
      <c r="X8" s="74"/>
      <c r="Y8" s="74"/>
      <c r="Z8" s="74"/>
      <c r="AA8" s="74"/>
      <c r="AB8" s="74"/>
      <c r="AC8" s="74"/>
      <c r="AD8" s="77" t="s">
        <v>321</v>
      </c>
      <c r="AE8" s="77" t="s">
        <v>322</v>
      </c>
      <c r="AF8" s="89" t="s">
        <v>51</v>
      </c>
      <c r="AG8" s="74"/>
      <c r="AH8" s="77" t="s">
        <v>323</v>
      </c>
      <c r="AI8" s="77" t="s">
        <v>324</v>
      </c>
      <c r="AJ8" s="89" t="s">
        <v>51</v>
      </c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</row>
    <row r="9" spans="1:62" ht="17.25" customHeight="1" x14ac:dyDescent="0.25">
      <c r="A9" s="13"/>
      <c r="B9" s="156">
        <v>45915</v>
      </c>
      <c r="C9" s="169">
        <v>1</v>
      </c>
      <c r="D9" s="210" t="s">
        <v>76</v>
      </c>
      <c r="E9" s="151">
        <v>2583</v>
      </c>
      <c r="F9" s="135">
        <v>2395</v>
      </c>
      <c r="G9" s="135" t="s">
        <v>22</v>
      </c>
      <c r="H9" s="134"/>
      <c r="I9" s="144"/>
      <c r="J9" s="144"/>
      <c r="K9" s="317"/>
      <c r="L9" s="145">
        <v>2821</v>
      </c>
      <c r="M9" s="145" t="s">
        <v>23</v>
      </c>
      <c r="N9" s="160" t="s">
        <v>76</v>
      </c>
      <c r="O9" s="160" t="s">
        <v>76</v>
      </c>
      <c r="P9" s="160" t="s">
        <v>76</v>
      </c>
      <c r="Q9" s="178"/>
      <c r="R9" s="81"/>
      <c r="S9" s="92" t="s">
        <v>7</v>
      </c>
      <c r="T9" s="92" t="s">
        <v>8</v>
      </c>
      <c r="U9" s="92" t="s">
        <v>12</v>
      </c>
      <c r="V9" s="92" t="s">
        <v>13</v>
      </c>
      <c r="W9" s="92" t="s">
        <v>14</v>
      </c>
      <c r="X9" s="92" t="s">
        <v>15</v>
      </c>
      <c r="Y9" s="92" t="s">
        <v>16</v>
      </c>
      <c r="Z9" s="74"/>
      <c r="AA9" s="74">
        <v>30000</v>
      </c>
      <c r="AB9" s="74">
        <v>1564</v>
      </c>
      <c r="AC9" s="74" t="s">
        <v>11</v>
      </c>
      <c r="AD9" s="78">
        <f>IFERROR(E9/VLOOKUP(F9,#REF!,4,FALSE),0)+IFERROR(H9/VLOOKUP(I9,#REF!,4,FALSE),0)</f>
        <v>0</v>
      </c>
      <c r="AE9" s="78">
        <f>IFERROR(K9/VLOOKUP(L9,#REF!,4,FALSE),0)+IFERROR(N9/VLOOKUP(O9,#REF!,4,FALSE),0)</f>
        <v>0</v>
      </c>
      <c r="AF9" s="90">
        <f>SUM(AD9:AE9)</f>
        <v>0</v>
      </c>
      <c r="AG9" s="1083" t="s">
        <v>325</v>
      </c>
      <c r="AH9" s="74"/>
      <c r="AI9" s="74"/>
      <c r="AJ9" s="74"/>
      <c r="AK9" s="74"/>
      <c r="AL9" s="74" t="s">
        <v>326</v>
      </c>
      <c r="AM9" s="74"/>
      <c r="AN9" s="79" t="s">
        <v>7</v>
      </c>
      <c r="AO9" s="79" t="s">
        <v>8</v>
      </c>
      <c r="AP9" s="80">
        <f>B9</f>
        <v>45915</v>
      </c>
      <c r="AQ9" s="80">
        <f>B12</f>
        <v>45916</v>
      </c>
      <c r="AR9" s="80">
        <f>B15</f>
        <v>45917</v>
      </c>
      <c r="AS9" s="80">
        <f>B18</f>
        <v>45918</v>
      </c>
      <c r="AT9" s="80">
        <f>B21</f>
        <v>45919</v>
      </c>
      <c r="AU9" s="80">
        <f>B24</f>
        <v>45920</v>
      </c>
      <c r="AV9" s="80">
        <f>B27</f>
        <v>45921</v>
      </c>
      <c r="AW9" s="79" t="s">
        <v>17</v>
      </c>
      <c r="AX9" s="74"/>
      <c r="AY9" s="74"/>
      <c r="AZ9" s="74"/>
      <c r="BA9" s="74"/>
      <c r="BB9" s="74"/>
      <c r="BC9" s="74"/>
      <c r="BD9" s="84" t="s">
        <v>7</v>
      </c>
      <c r="BE9" s="84" t="s">
        <v>8</v>
      </c>
      <c r="BF9" s="84" t="s">
        <v>327</v>
      </c>
      <c r="BG9" s="84" t="s">
        <v>328</v>
      </c>
      <c r="BH9" s="64" t="s">
        <v>329</v>
      </c>
      <c r="BI9" s="64" t="s">
        <v>330</v>
      </c>
      <c r="BJ9" s="64" t="s">
        <v>202</v>
      </c>
    </row>
    <row r="10" spans="1:62" ht="17.25" customHeight="1" x14ac:dyDescent="0.25">
      <c r="A10" s="13"/>
      <c r="B10" s="155" t="s">
        <v>18</v>
      </c>
      <c r="C10" s="170">
        <v>2</v>
      </c>
      <c r="D10" s="210" t="s">
        <v>76</v>
      </c>
      <c r="E10" s="151">
        <v>2583</v>
      </c>
      <c r="F10" s="137">
        <v>2395</v>
      </c>
      <c r="G10" s="137" t="s">
        <v>22</v>
      </c>
      <c r="H10" s="147"/>
      <c r="I10" s="151"/>
      <c r="J10" s="144"/>
      <c r="K10" s="319"/>
      <c r="L10" s="145">
        <v>2821</v>
      </c>
      <c r="M10" s="145" t="s">
        <v>23</v>
      </c>
      <c r="N10" s="160" t="s">
        <v>76</v>
      </c>
      <c r="O10" s="160" t="s">
        <v>76</v>
      </c>
      <c r="P10" s="160" t="s">
        <v>76</v>
      </c>
      <c r="Q10" s="181"/>
      <c r="R10" s="81"/>
      <c r="S10" s="94">
        <v>1564</v>
      </c>
      <c r="T10" s="95" t="s">
        <v>11</v>
      </c>
      <c r="U10" s="96">
        <f>SUMIF($F$9:$F$29,S10,$E$9:$E$29)</f>
        <v>0</v>
      </c>
      <c r="V10" s="96">
        <f>SUMIF($M$9:$M$29,T10,$K$9:$K$29)</f>
        <v>0</v>
      </c>
      <c r="W10" s="96">
        <f t="shared" ref="W10:W16" si="0">SUM(U10:V10)</f>
        <v>0</v>
      </c>
      <c r="X10" s="96">
        <f>(SUMIF($J$9:$J$29,T10,$H$9:$H$29))+(SUMIF($P$9:$P$29,T10,$N$9:$N$29))</f>
        <v>0</v>
      </c>
      <c r="Y10" s="96">
        <f>+W10-X10</f>
        <v>0</v>
      </c>
      <c r="Z10" s="74"/>
      <c r="AA10" s="74">
        <v>15000</v>
      </c>
      <c r="AB10" s="74">
        <v>1564</v>
      </c>
      <c r="AC10" s="74" t="s">
        <v>11</v>
      </c>
      <c r="AD10" s="78">
        <f>IFERROR(E10/VLOOKUP(F10,#REF!,4,FALSE),0)+IFERROR(H10/VLOOKUP(I10,#REF!,4,FALSE),0)</f>
        <v>0</v>
      </c>
      <c r="AE10" s="78">
        <f>IFERROR(K10/VLOOKUP(L10,#REF!,4,FALSE),0)+IFERROR(N10/VLOOKUP(O10,#REF!,4,FALSE),0)</f>
        <v>0</v>
      </c>
      <c r="AF10" s="90">
        <f t="shared" ref="AF10:AF30" si="1">SUM(AD10:AE10)</f>
        <v>0</v>
      </c>
      <c r="AG10" s="1084"/>
      <c r="AH10" s="74"/>
      <c r="AI10" s="74"/>
      <c r="AJ10" s="74"/>
      <c r="AK10" s="74"/>
      <c r="AL10" s="74" t="s">
        <v>331</v>
      </c>
      <c r="AM10" s="74"/>
      <c r="AN10" s="76">
        <v>1564</v>
      </c>
      <c r="AO10" s="76" t="s">
        <v>11</v>
      </c>
      <c r="AP10" s="82">
        <f>SUMIF($F$9:$F$11,$AN10,$E$9:$E$11)+SUMIF($I$9:$I$11,$AN10,$H$9:$H$11)+SUMIF($L$9:$L$11,$AN10,$K$9:$K$11)+SUMIF($O$9:$O$11,$AN10,$N$9:$N$11)</f>
        <v>0</v>
      </c>
      <c r="AQ10" s="82">
        <f t="shared" ref="AQ10:AQ16" si="2">SUMIF($F$12:$F$14,$AN10,$E$12:$E$14)+SUMIF($I$12:$I$14,$AN10,$H$12:$H$14)+SUMIF($L$12:$L$14,$AN10,$K$12:$K$14)+SUMIF($O$12:$O$14,$AN10,$N$12:$N$14)</f>
        <v>0</v>
      </c>
      <c r="AR10" s="82">
        <f>SUMIF($F$15:$F$17,$AN10,$E$15:$E$17)+SUMIF($I$15:$I$17,$AN10,$H$15:$H$17)+SUMIF($L$15:$L$17,$AN10,$K$15:$K$17)+SUMIF($O$15:$O$17,$AN10,$N$15:$N$17)</f>
        <v>0</v>
      </c>
      <c r="AS10" s="82">
        <f>SUMIF($F$18:$F$20,$AN10,$E$18:$E$20)+SUMIF($I$18:$I$20,$AN10,$H$18:$H$20)+SUMIF($L$18:$L$20,$AN10,$K$18:$K$20)+SUMIF($O$18:$O$20,$AN10,$N$18:$N$20)</f>
        <v>0</v>
      </c>
      <c r="AT10" s="82">
        <f>SUMIF($F$21:$F$23,$AN10,$E$21:$E$23)+SUMIF($I$21:$I$23,$AN10,$H$21:$H$23)+SUMIF($L$21:$L$23,$AN10,$K$21:$K$23)+SUMIF($O$21:$O$23,$AN10,$N$21:$N$23)</f>
        <v>0</v>
      </c>
      <c r="AU10" s="82">
        <f>SUMIF($F$24:$F$26,$AN10,$E$24:$E$26)+SUMIF($I$24:$I$26,$AN10,$H$24:$H$26)+SUMIF($L$24:$L$26,$AN10,$K$24:$K$26)+SUMIF($O$24:$O$26,$AN10,$N$24:$N$26)</f>
        <v>0</v>
      </c>
      <c r="AV10" s="82">
        <f>SUMIF($F$27:$F$29,$AN10,$E$27:$E$29)+SUMIF($I$27:$I$29,$AN10,$H$27:$H$29)+SUMIF($L$27:$L$29,$AN10,$K$27:$K$29)+SUMIF($O$27:$O$29,$AN10,$N$27:$N$29)</f>
        <v>0</v>
      </c>
      <c r="AW10" s="83">
        <f>SUM(AP10:AV10)</f>
        <v>0</v>
      </c>
      <c r="AX10" s="74"/>
      <c r="AY10" s="74"/>
      <c r="AZ10" s="74"/>
      <c r="BA10" s="74"/>
      <c r="BB10" s="74"/>
      <c r="BC10" s="74"/>
      <c r="BD10" s="17">
        <v>1564</v>
      </c>
      <c r="BE10" s="10" t="s">
        <v>11</v>
      </c>
      <c r="BF10" s="10" t="s">
        <v>332</v>
      </c>
      <c r="BG10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12.820512820512819</v>
      </c>
      <c r="BH10" s="10">
        <v>12</v>
      </c>
      <c r="BI10" s="10">
        <v>0.65</v>
      </c>
      <c r="BJ10" s="10" t="s">
        <v>333</v>
      </c>
    </row>
    <row r="11" spans="1:62" ht="17.25" customHeight="1" x14ac:dyDescent="0.25">
      <c r="A11" s="13"/>
      <c r="B11" s="157" t="s">
        <v>76</v>
      </c>
      <c r="C11" s="171">
        <v>3</v>
      </c>
      <c r="D11" s="211" t="s">
        <v>76</v>
      </c>
      <c r="E11" s="332">
        <v>2583</v>
      </c>
      <c r="F11" s="140">
        <v>2395</v>
      </c>
      <c r="G11" s="140" t="s">
        <v>22</v>
      </c>
      <c r="H11" s="152"/>
      <c r="I11" s="152"/>
      <c r="J11" s="152"/>
      <c r="K11" s="323"/>
      <c r="L11" s="146">
        <v>2821</v>
      </c>
      <c r="M11" s="146" t="s">
        <v>23</v>
      </c>
      <c r="N11" s="143" t="s">
        <v>76</v>
      </c>
      <c r="O11" s="143" t="s">
        <v>76</v>
      </c>
      <c r="P11" s="143" t="s">
        <v>76</v>
      </c>
      <c r="Q11" s="184"/>
      <c r="R11" s="81"/>
      <c r="S11" s="97">
        <v>2395</v>
      </c>
      <c r="T11" s="98" t="s">
        <v>22</v>
      </c>
      <c r="U11" s="99">
        <f>SUMIF($F$9:$F$29,S11,$E$9:$E$29)</f>
        <v>20664</v>
      </c>
      <c r="V11" s="99">
        <f>SUMIF($M$9:$M$29,S11,$L$9:$L$29)+SUMIF($P$9:$P$29,S11,$O$9:$O$29)</f>
        <v>0</v>
      </c>
      <c r="W11" s="99">
        <f t="shared" si="0"/>
        <v>20664</v>
      </c>
      <c r="X11" s="99">
        <f>SUMIF($J$9:$J$29,T11,$H$9:$H$29)</f>
        <v>0</v>
      </c>
      <c r="Y11" s="99">
        <f>+W11-X11</f>
        <v>20664</v>
      </c>
      <c r="Z11" s="74"/>
      <c r="AA11" s="185"/>
      <c r="AB11" s="74"/>
      <c r="AC11" s="74"/>
      <c r="AD11" s="78">
        <f>IFERROR(E11/VLOOKUP(F11,#REF!,4,FALSE),0)+IFERROR(H11/VLOOKUP(I11,#REF!,4,FALSE),0)</f>
        <v>0</v>
      </c>
      <c r="AE11" s="78">
        <f>IFERROR(K11/VLOOKUP(L11,#REF!,4,FALSE),0)+IFERROR(N11/VLOOKUP(O11,#REF!,4,FALSE),0)</f>
        <v>0</v>
      </c>
      <c r="AF11" s="90">
        <f t="shared" si="1"/>
        <v>0</v>
      </c>
      <c r="AG11" s="1085"/>
      <c r="AH11" s="88">
        <f>SUM(AD9:AD11)</f>
        <v>0</v>
      </c>
      <c r="AI11" s="78">
        <f>SUM(AE9:AE11)</f>
        <v>0</v>
      </c>
      <c r="AJ11" s="91">
        <f>+AH11+AI11</f>
        <v>0</v>
      </c>
      <c r="AK11" s="74"/>
      <c r="AL11" s="74" t="s">
        <v>334</v>
      </c>
      <c r="AM11" s="74"/>
      <c r="AN11" s="76">
        <v>2395</v>
      </c>
      <c r="AO11" s="76" t="s">
        <v>22</v>
      </c>
      <c r="AP11" s="82">
        <f t="shared" ref="AP11:AP16" si="3">SUMIF($F$9:$F$11,$AN11,$E$9:$E$11)+SUMIF($I$9:$I$11,$AN11,$H$9:$H$11)+SUMIF($L$9:$L$11,$AN11,$K$9:$K$11)+SUMIF($O$9:$O$11,$AN11,$N$9:$N$11)</f>
        <v>7749</v>
      </c>
      <c r="AQ11" s="82">
        <f t="shared" si="2"/>
        <v>7749</v>
      </c>
      <c r="AR11" s="82">
        <f>SUMIF($F$15:$F$17,$AN11,$E$15:$E$17)+SUMIF($I$15:$I$17,$AN11,$H$15:$H$17)+SUMIF($L$15:$L$17,$AN11,$K$15:$K$17)+SUMIF($O$15:$O$17,$AN11,$N$15:$N$17)</f>
        <v>5166</v>
      </c>
      <c r="AS11" s="82">
        <f>SUMIF($F$18:$F$20,$AN11,$E$18:$E$20)+SUMIF($I$18:$I$20,$AN11,$H$18:$H$20)+SUMIF($L$18:$L$20,$AN11,$K$18:$K$20)+SUMIF($O$18:$O$20,$AN11,$N$18:$N$20)</f>
        <v>0</v>
      </c>
      <c r="AT11" s="82">
        <f>SUMIF($F$21:$F$23,$AN11,$E$21:$E$23)+SUMIF($I$21:$I$23,$AN11,$H$21:$H$23)+SUMIF($L$21:$L$23,$AN11,$K$21:$K$23)+SUMIF($O$21:$O$23,$AN11,$N$21:$N$23)</f>
        <v>0</v>
      </c>
      <c r="AU11" s="82">
        <f>SUMIF($F$24:$F$26,$AN11,$E$24:$E$26)+SUMIF($I$24:$I$26,$AN11,$H$24:$H$26)+SUMIF($L$24:$L$26,$AN11,$K$24:$K$26)+SUMIF($O$24:$O$26,$AN11,$N$24:$N$26)</f>
        <v>0</v>
      </c>
      <c r="AV11" s="82">
        <f>SUMIF($F$27:$F$29,$AN11,$E$27:$E$29)+SUMIF($I$27:$I$29,$AN11,$H$27:$H$29)+SUMIF($L$27:$L$29,$AN11,$K$27:$K$29)+SUMIF($O$27:$O$29,$AN11,$N$27:$N$29)</f>
        <v>0</v>
      </c>
      <c r="AW11" s="83">
        <f t="shared" ref="AW11:AW16" si="4">SUM(AP11:AV11)</f>
        <v>20664</v>
      </c>
      <c r="AX11" s="74"/>
      <c r="AY11" s="74"/>
      <c r="AZ11" s="74"/>
      <c r="BA11" s="74"/>
      <c r="BB11" s="74"/>
      <c r="BC11" s="74"/>
      <c r="BD11" s="17">
        <v>2395</v>
      </c>
      <c r="BE11" s="10" t="s">
        <v>22</v>
      </c>
      <c r="BF11" s="10" t="s">
        <v>335</v>
      </c>
      <c r="BG11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13.440860215053762</v>
      </c>
      <c r="BH11" s="10">
        <v>12</v>
      </c>
      <c r="BI11" s="10">
        <v>0.62</v>
      </c>
      <c r="BJ11" s="10" t="s">
        <v>333</v>
      </c>
    </row>
    <row r="12" spans="1:62" ht="17.100000000000001" customHeight="1" x14ac:dyDescent="0.25">
      <c r="A12" s="13"/>
      <c r="B12" s="156">
        <v>45916</v>
      </c>
      <c r="C12" s="170">
        <v>1</v>
      </c>
      <c r="D12" s="210" t="s">
        <v>76</v>
      </c>
      <c r="E12" s="201">
        <v>2583</v>
      </c>
      <c r="F12" s="135">
        <v>2395</v>
      </c>
      <c r="G12" s="135" t="s">
        <v>22</v>
      </c>
      <c r="H12" s="144"/>
      <c r="I12" s="144"/>
      <c r="J12" s="144"/>
      <c r="K12" s="317"/>
      <c r="L12" s="145">
        <v>2821</v>
      </c>
      <c r="M12" s="145" t="s">
        <v>23</v>
      </c>
      <c r="N12" s="160" t="s">
        <v>76</v>
      </c>
      <c r="O12" s="160" t="s">
        <v>76</v>
      </c>
      <c r="P12" s="160" t="s">
        <v>76</v>
      </c>
      <c r="Q12" s="178"/>
      <c r="R12" s="81"/>
      <c r="S12" s="100">
        <v>2821</v>
      </c>
      <c r="T12" s="101" t="s">
        <v>23</v>
      </c>
      <c r="U12" s="102">
        <f>SUMIF($F$9:$F$29,S12,$E$9:$E$29)+SUMIF($I$9:$I$29,S12,$H$9:$H$29)</f>
        <v>0</v>
      </c>
      <c r="V12" s="102">
        <f>SUMIF($M$9:$M$29,T12,$K$9:$K$29)</f>
        <v>0</v>
      </c>
      <c r="W12" s="102">
        <f t="shared" si="0"/>
        <v>0</v>
      </c>
      <c r="X12" s="102">
        <f>SUMIF($P$9:$P$29,T12,$N$9:$N$29)</f>
        <v>0</v>
      </c>
      <c r="Y12" s="102">
        <f>+W12-X12</f>
        <v>0</v>
      </c>
      <c r="Z12" s="74"/>
      <c r="AA12" s="74"/>
      <c r="AB12" s="74"/>
      <c r="AC12" s="74"/>
      <c r="AD12" s="78">
        <f>IFERROR(E12/VLOOKUP(F12,#REF!,4,FALSE),0)+IFERROR(H12/VLOOKUP(I12,#REF!,4,FALSE),0)</f>
        <v>0</v>
      </c>
      <c r="AE12" s="78">
        <f>IFERROR(K12/VLOOKUP(L12,#REF!,4,FALSE),0)+IFERROR(N12/VLOOKUP(O12,#REF!,4,FALSE),0)</f>
        <v>0</v>
      </c>
      <c r="AF12" s="90">
        <f t="shared" si="1"/>
        <v>0</v>
      </c>
      <c r="AG12" s="1083" t="s">
        <v>336</v>
      </c>
      <c r="AH12" s="81"/>
      <c r="AI12" s="81"/>
      <c r="AJ12" s="74"/>
      <c r="AK12" s="74"/>
      <c r="AL12" s="74" t="s">
        <v>337</v>
      </c>
      <c r="AM12" s="74"/>
      <c r="AN12" s="76">
        <v>2821</v>
      </c>
      <c r="AO12" s="76" t="s">
        <v>23</v>
      </c>
      <c r="AP12" s="82">
        <f t="shared" si="3"/>
        <v>0</v>
      </c>
      <c r="AQ12" s="82">
        <f t="shared" si="2"/>
        <v>0</v>
      </c>
      <c r="AR12" s="82">
        <f>SUMIF($F$15:$F$17,$AN12,$E$15:$E$17)+SUMIF($I$15:$I$17,$AN12,$H$15:$H$17)+SUMIF($L$15:$L$17,$AN12,$K$15:$K$17)+SUMIF($O$15:$O$17,$AN12,$N$15:$N$17)</f>
        <v>0</v>
      </c>
      <c r="AS12" s="82">
        <f>SUMIF($F$18:$F$20,$AN12,$E$18:$E$20)+SUMIF($I$18:$I$20,$AN12,$H$18:$H$20)+SUMIF($L$18:$L$20,$AN12,$K$18:$K$20)+SUMIF($O$18:$O$20,$AN12,$N$18:$N$20)</f>
        <v>0</v>
      </c>
      <c r="AT12" s="82">
        <f>SUMIF($F$21:$F$23,$AN12,$E$21:$E$23)+SUMIF($I$21:$I$23,$AN12,$H$21:$H$23)+SUMIF($L$21:$L$23,$AN12,$K$21:$K$23)+SUMIF($O$21:$O$23,$AN12,$N$21:$N$23)</f>
        <v>0</v>
      </c>
      <c r="AU12" s="82">
        <f>SUMIF($F$24:$F$26,$AN12,$E$24:$E$26)+SUMIF($I$24:$I$26,$AN12,$H$24:$H$26)+SUMIF($L$24:$L$26,$AN12,$K$24:$K$26)+SUMIF($O$24:$O$26,$AN12,$N$24:$N$26)</f>
        <v>0</v>
      </c>
      <c r="AV12" s="82">
        <f>SUMIF($F$27:$F$29,$AN12,$E$27:$E$29)+SUMIF($I$27:$I$29,$AN12,$H$27:$H$29)+SUMIF($L$27:$L$29,$AN12,$K$27:$K$29)+SUMIF($O$27:$O$29,$AN12,$N$27:$N$29)</f>
        <v>0</v>
      </c>
      <c r="AW12" s="83">
        <f t="shared" si="4"/>
        <v>0</v>
      </c>
      <c r="AX12" s="74"/>
      <c r="AY12" s="74"/>
      <c r="AZ12" s="74"/>
      <c r="BA12" s="74"/>
      <c r="BB12" s="74"/>
      <c r="BC12" s="74"/>
      <c r="BD12" s="17">
        <v>2821</v>
      </c>
      <c r="BE12" s="10" t="s">
        <v>23</v>
      </c>
      <c r="BF12" s="10" t="s">
        <v>338</v>
      </c>
      <c r="BG12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13.227513227513226</v>
      </c>
      <c r="BH12" s="10">
        <v>12</v>
      </c>
      <c r="BI12" s="10">
        <v>0.63</v>
      </c>
      <c r="BJ12" s="10" t="s">
        <v>333</v>
      </c>
    </row>
    <row r="13" spans="1:62" ht="17.25" customHeight="1" x14ac:dyDescent="0.25">
      <c r="A13" s="13"/>
      <c r="B13" s="155" t="s">
        <v>24</v>
      </c>
      <c r="C13" s="170">
        <v>2</v>
      </c>
      <c r="D13" s="210" t="s">
        <v>76</v>
      </c>
      <c r="E13" s="151">
        <v>2583</v>
      </c>
      <c r="F13" s="137">
        <v>2395</v>
      </c>
      <c r="G13" s="137" t="s">
        <v>22</v>
      </c>
      <c r="H13" s="151"/>
      <c r="I13" s="151"/>
      <c r="J13" s="144"/>
      <c r="K13" s="319"/>
      <c r="L13" s="145">
        <v>2821</v>
      </c>
      <c r="M13" s="145" t="s">
        <v>23</v>
      </c>
      <c r="N13" s="160" t="s">
        <v>76</v>
      </c>
      <c r="O13" s="160" t="s">
        <v>76</v>
      </c>
      <c r="P13" s="160" t="s">
        <v>76</v>
      </c>
      <c r="Q13" s="181"/>
      <c r="R13" s="81"/>
      <c r="S13" s="103">
        <v>5037</v>
      </c>
      <c r="T13" s="104" t="s">
        <v>25</v>
      </c>
      <c r="U13" s="105">
        <f>SUMIF($F$9:$F$29,S13,$E$9:$E$29)+SUMIF($I$9:$I$29,S13,$H$9:$H$29)</f>
        <v>0</v>
      </c>
      <c r="V13" s="105">
        <f>SUMIF($M$9:$M$29,S13,$L$9:$L$29)+SUMIF($P$9:$P$29,S13,$O$9:$O$29)</f>
        <v>0</v>
      </c>
      <c r="W13" s="105">
        <f t="shared" si="0"/>
        <v>0</v>
      </c>
      <c r="X13" s="105">
        <f>SUMIF($J$10:$J$30,T13,$H$10:$H$30)</f>
        <v>0</v>
      </c>
      <c r="Y13" s="105"/>
      <c r="Z13" s="74"/>
      <c r="AA13" s="74"/>
      <c r="AB13" s="74"/>
      <c r="AC13" s="74"/>
      <c r="AD13" s="78">
        <f>IFERROR(E13/VLOOKUP(F13,#REF!,4,FALSE),0)+IFERROR(H13/VLOOKUP(I13,#REF!,4,FALSE),0)</f>
        <v>0</v>
      </c>
      <c r="AE13" s="78">
        <f>IFERROR(K13/VLOOKUP(L13,#REF!,4,FALSE),0)+IFERROR(N13/VLOOKUP(O13,#REF!,4,FALSE),0)</f>
        <v>0</v>
      </c>
      <c r="AF13" s="90">
        <f t="shared" si="1"/>
        <v>0</v>
      </c>
      <c r="AG13" s="1084"/>
      <c r="AH13" s="81"/>
      <c r="AI13" s="81"/>
      <c r="AJ13" s="74"/>
      <c r="AK13" s="74"/>
      <c r="AL13" s="74" t="s">
        <v>77</v>
      </c>
      <c r="AM13" s="74"/>
      <c r="AN13" s="76">
        <v>5037</v>
      </c>
      <c r="AO13" s="76" t="s">
        <v>25</v>
      </c>
      <c r="AP13" s="82">
        <f t="shared" si="3"/>
        <v>0</v>
      </c>
      <c r="AQ13" s="82">
        <f t="shared" si="2"/>
        <v>0</v>
      </c>
      <c r="AR13" s="82">
        <f t="shared" ref="AR13:AR14" si="5">SUMIF($F$15:$F$17,$AN13,$E$15:$E$17)+SUMIF($I$15:$I$17,$AN13,$H$15:$H$17)+SUMIF($L$15:$L$19,$AN13,$K$15:$K$19)+SUMIF($O$15:$O$17,$AN13,$N$15:$N$17)</f>
        <v>0</v>
      </c>
      <c r="AS13" s="82">
        <f t="shared" ref="AS13:AS14" si="6">SUMIF($F$18:$F$20,$AN13,$E$18:$E$20)+SUMIF($I$18:$I$20,$AN13,$H$18:$H$20)+SUMIF($L$20:$L$22,$AN13,$K$20:$K$22)+SUMIF($O$18:$O$20,$AN13,$N$18:$N$20)</f>
        <v>0</v>
      </c>
      <c r="AT13" s="82">
        <f t="shared" ref="AT13:AT14" si="7">SUMIF($F$21:$F$23,$AN13,$E$21:$E$23)+SUMIF($I$21:$I$23,$AN13,$H$21:$H$23)+SUMIF($L$23:$L$25,$AN13,$K$23:$K$25)+SUMIF($O$21:$O$23,$AN13,$N$21:$N$23)</f>
        <v>0</v>
      </c>
      <c r="AU13" s="82">
        <f t="shared" ref="AU13:AU14" si="8">SUMIF($F$24:$F$26,$AN13,$E$24:$E$26)+SUMIF($I$24:$I$26,$AN13,$H$24:$H$26)+SUMIF($L$26:$L$28,$AN13,$K$26:$K$28)+SUMIF($O$24:$O$26,$AN13,$N$24:$N$26)</f>
        <v>0</v>
      </c>
      <c r="AV13" s="82">
        <f t="shared" ref="AV13:AV14" si="9">SUMIF($F$27:$F$29,$AN13,$E$27:$E$29)+SUMIF($I$27:$I$29,$AN13,$H$27:$H$29)+SUMIF($L$29:$L$29,$AN13,$K$29:$K$29)+SUMIF($O$27:$O$29,$AN13,$N$27:$N$29)</f>
        <v>0</v>
      </c>
      <c r="AW13" s="83">
        <f t="shared" si="4"/>
        <v>0</v>
      </c>
      <c r="AX13" s="74"/>
      <c r="AY13" s="74"/>
      <c r="AZ13" s="74"/>
      <c r="BA13" s="74"/>
      <c r="BB13" s="74"/>
      <c r="BC13" s="74"/>
      <c r="BD13" s="17">
        <v>5037</v>
      </c>
      <c r="BE13" s="10" t="s">
        <v>25</v>
      </c>
      <c r="BF13" s="10" t="s">
        <v>339</v>
      </c>
      <c r="BG13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8.3333333333333321</v>
      </c>
      <c r="BH13" s="10">
        <v>12</v>
      </c>
      <c r="BI13" s="10">
        <v>1</v>
      </c>
      <c r="BJ13" s="10" t="s">
        <v>333</v>
      </c>
    </row>
    <row r="14" spans="1:62" ht="17.25" customHeight="1" x14ac:dyDescent="0.25">
      <c r="A14" s="13"/>
      <c r="B14" s="157" t="s">
        <v>76</v>
      </c>
      <c r="C14" s="171">
        <v>3</v>
      </c>
      <c r="D14" s="211" t="s">
        <v>76</v>
      </c>
      <c r="E14" s="152">
        <v>2583</v>
      </c>
      <c r="F14" s="140">
        <v>2395</v>
      </c>
      <c r="G14" s="140" t="s">
        <v>22</v>
      </c>
      <c r="H14" s="152"/>
      <c r="I14" s="152"/>
      <c r="J14" s="152"/>
      <c r="K14" s="323"/>
      <c r="L14" s="146">
        <v>2821</v>
      </c>
      <c r="M14" s="212" t="s">
        <v>23</v>
      </c>
      <c r="N14" s="143" t="s">
        <v>76</v>
      </c>
      <c r="O14" s="143" t="s">
        <v>76</v>
      </c>
      <c r="P14" s="143" t="s">
        <v>76</v>
      </c>
      <c r="Q14" s="184"/>
      <c r="R14" s="81"/>
      <c r="S14" s="106">
        <v>6788</v>
      </c>
      <c r="T14" s="107" t="s">
        <v>28</v>
      </c>
      <c r="U14" s="108">
        <f>SUMIF($F$9:$F$29,S14,$E$9:$E$29)+SUMIF($I$9:$I$29,S14,$H$9:$H$29)</f>
        <v>0</v>
      </c>
      <c r="V14" s="108">
        <f>SUMIF($M$9:$M$29,S14,$L$9:$L$29)+SUMIF($P$9:$P$29,S14,$O$9:$O$29)</f>
        <v>0</v>
      </c>
      <c r="W14" s="108">
        <f t="shared" si="0"/>
        <v>0</v>
      </c>
      <c r="X14" s="108">
        <f>SUMIF($M$9:$M$29,U14,$L$9:$L$29)+SUMIF($P$9:$P$29,U14,$O$9:$O$29)</f>
        <v>0</v>
      </c>
      <c r="Y14" s="108"/>
      <c r="Z14" s="74"/>
      <c r="AA14" s="74"/>
      <c r="AB14" s="74"/>
      <c r="AC14" s="74"/>
      <c r="AD14" s="78">
        <f>IFERROR(E14/VLOOKUP(F14,#REF!,4,FALSE),0)+IFERROR(H14/VLOOKUP(I14,#REF!,4,FALSE),0)</f>
        <v>0</v>
      </c>
      <c r="AE14" s="78">
        <f>IFERROR(K14/VLOOKUP(L14,#REF!,4,FALSE),0)+IFERROR(N14/VLOOKUP(O14,#REF!,4,FALSE),0)</f>
        <v>0</v>
      </c>
      <c r="AF14" s="90">
        <f t="shared" si="1"/>
        <v>0</v>
      </c>
      <c r="AG14" s="1085"/>
      <c r="AH14" s="78">
        <f>SUM(AD12:AD14)</f>
        <v>0</v>
      </c>
      <c r="AI14" s="78">
        <f>SUM(AE12:AE14)</f>
        <v>0</v>
      </c>
      <c r="AJ14" s="91">
        <f>+AH14+AI14</f>
        <v>0</v>
      </c>
      <c r="AK14" s="74"/>
      <c r="AL14" s="74" t="s">
        <v>340</v>
      </c>
      <c r="AM14" s="74"/>
      <c r="AN14" s="76">
        <v>6788</v>
      </c>
      <c r="AO14" s="76" t="s">
        <v>28</v>
      </c>
      <c r="AP14" s="82">
        <f t="shared" si="3"/>
        <v>0</v>
      </c>
      <c r="AQ14" s="82">
        <f t="shared" si="2"/>
        <v>0</v>
      </c>
      <c r="AR14" s="82">
        <f t="shared" si="5"/>
        <v>0</v>
      </c>
      <c r="AS14" s="82">
        <f t="shared" si="6"/>
        <v>0</v>
      </c>
      <c r="AT14" s="82">
        <f t="shared" si="7"/>
        <v>0</v>
      </c>
      <c r="AU14" s="82">
        <f t="shared" si="8"/>
        <v>0</v>
      </c>
      <c r="AV14" s="82">
        <f t="shared" si="9"/>
        <v>0</v>
      </c>
      <c r="AW14" s="83">
        <f t="shared" si="4"/>
        <v>0</v>
      </c>
      <c r="AX14" s="74"/>
      <c r="AY14" s="74"/>
      <c r="AZ14" s="74"/>
      <c r="BA14" s="74"/>
      <c r="BB14" s="74"/>
      <c r="BC14" s="74"/>
      <c r="BD14" s="17">
        <v>6788</v>
      </c>
      <c r="BE14" s="10" t="s">
        <v>28</v>
      </c>
      <c r="BF14" s="10" t="s">
        <v>341</v>
      </c>
      <c r="BG14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8.3333333333333321</v>
      </c>
      <c r="BH14" s="10">
        <v>12</v>
      </c>
      <c r="BI14" s="10">
        <v>1</v>
      </c>
      <c r="BJ14" s="10" t="s">
        <v>333</v>
      </c>
    </row>
    <row r="15" spans="1:62" ht="17.25" customHeight="1" x14ac:dyDescent="0.25">
      <c r="A15" s="13"/>
      <c r="B15" s="156">
        <v>45917</v>
      </c>
      <c r="C15" s="170">
        <v>1</v>
      </c>
      <c r="D15" s="210" t="s">
        <v>76</v>
      </c>
      <c r="E15" s="201">
        <v>2583</v>
      </c>
      <c r="F15" s="135">
        <v>2395</v>
      </c>
      <c r="G15" s="135" t="s">
        <v>22</v>
      </c>
      <c r="H15" s="144"/>
      <c r="I15" s="144"/>
      <c r="J15" s="144"/>
      <c r="K15" s="134"/>
      <c r="L15" s="372">
        <v>6843</v>
      </c>
      <c r="M15" s="372" t="s">
        <v>21</v>
      </c>
      <c r="N15" s="160" t="s">
        <v>76</v>
      </c>
      <c r="O15" s="160" t="s">
        <v>76</v>
      </c>
      <c r="P15" s="160" t="s">
        <v>76</v>
      </c>
      <c r="Q15" s="178"/>
      <c r="R15" s="81"/>
      <c r="S15" s="109">
        <v>6843</v>
      </c>
      <c r="T15" s="110" t="s">
        <v>21</v>
      </c>
      <c r="U15" s="111">
        <f>SUMIF($F$9:$F$29,S15,$E$9:$E$29)+SUMIF($I$9:$I$29,S15,$H$9:$H$29)</f>
        <v>0</v>
      </c>
      <c r="V15" s="111">
        <f ca="1">SUMIF($L$9:$M$29,S15,$L$9:$L$29)</f>
        <v>20529</v>
      </c>
      <c r="W15" s="111">
        <f t="shared" ca="1" si="0"/>
        <v>20529</v>
      </c>
      <c r="X15" s="111">
        <f>SUMIF($R$10:$R$30,T15,$O$10:$O$30)</f>
        <v>0</v>
      </c>
      <c r="Y15" s="111">
        <f ca="1">+W15-X15</f>
        <v>20529</v>
      </c>
      <c r="Z15" s="74"/>
      <c r="AA15" s="74"/>
      <c r="AB15" s="74"/>
      <c r="AC15" s="74"/>
      <c r="AD15" s="78">
        <f>IFERROR(E15/VLOOKUP(F15,#REF!,4,FALSE),0)+IFERROR(H15/VLOOKUP(I15,#REF!,4,FALSE),0)</f>
        <v>0</v>
      </c>
      <c r="AE15" s="78">
        <f>IFERROR(K15/VLOOKUP(L15,#REF!,4,FALSE),0)+IFERROR(N15/VLOOKUP(O15,#REF!,4,FALSE),0)</f>
        <v>0</v>
      </c>
      <c r="AF15" s="90">
        <f t="shared" si="1"/>
        <v>0</v>
      </c>
      <c r="AG15" s="1083" t="s">
        <v>342</v>
      </c>
      <c r="AH15" s="81"/>
      <c r="AI15" s="81"/>
      <c r="AJ15" s="74"/>
      <c r="AK15" s="74"/>
      <c r="AL15" s="74" t="s">
        <v>343</v>
      </c>
      <c r="AM15" s="74"/>
      <c r="AN15" s="76">
        <v>6842</v>
      </c>
      <c r="AO15" s="76" t="s">
        <v>26</v>
      </c>
      <c r="AP15" s="82">
        <f t="shared" si="3"/>
        <v>0</v>
      </c>
      <c r="AQ15" s="82">
        <f t="shared" si="2"/>
        <v>0</v>
      </c>
      <c r="AR15" s="82">
        <f>SUMIF($F$15:$F$17,$AN15,$E$15:$E$17)+SUMIF($I$15:$I$17,$AN15,$H$15:$H$17)+SUMIF($L$15:$L$17,$AN15,$K$15:$K$17)+SUMIF($O$15:$O$17,$AN15,$N$15:$N$17)</f>
        <v>0</v>
      </c>
      <c r="AS15" s="82">
        <f>SUMIF($F$18:$F$20,$AN15,$E$18:$E$20)+SUMIF($I$18:$I$20,$AN15,$H$18:$H$20)+SUMIF($L$18:$L$20,$AN15,$K$18:$K$20)+SUMIF($O$18:$O$20,$AN15,$N$18:$N$20)</f>
        <v>0</v>
      </c>
      <c r="AT15" s="82">
        <f>SUMIF($F$21:$F$23,$AN15,$E$21:$E$23)+SUMIF($I$21:$I$23,$AN15,$H$21:$H$23)+SUMIF($L$21:$L$23,$AN15,$K$21:$K$23)+SUMIF($O$21:$O$23,$AN15,$N$21:$N$23)</f>
        <v>0</v>
      </c>
      <c r="AU15" s="82">
        <f>SUMIF($F$24:$F$26,$AN15,$E$24:$E$26)+SUMIF($I$24:$I$26,$AN15,$H$24:$H$26)+SUMIF($L$24:$L$26,$AN15,$K$24:$K$26)+SUMIF($O$24:$O$26,$AN15,$N$24:$N$26)</f>
        <v>0</v>
      </c>
      <c r="AV15" s="82">
        <f>SUMIF($F$27:$F$29,$AN15,$E$27:$E$29)+SUMIF($I$27:$I$29,$AN15,$H$27:$H$29)+SUMIF($L$27:$L$29,$AN15,$K$27:$K$29)+SUMIF($O$27:$O$29,$AN15,$N$27:$N$29)</f>
        <v>0</v>
      </c>
      <c r="AW15" s="83">
        <f t="shared" si="4"/>
        <v>0</v>
      </c>
      <c r="AX15" s="74"/>
      <c r="AY15" s="74"/>
      <c r="AZ15" s="74"/>
      <c r="BA15" s="74"/>
      <c r="BB15" s="74"/>
      <c r="BC15" s="74"/>
      <c r="BD15" s="17">
        <v>6841</v>
      </c>
      <c r="BE15" s="10" t="s">
        <v>26</v>
      </c>
      <c r="BF15" s="10" t="s">
        <v>344</v>
      </c>
      <c r="BG15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13.440860215053762</v>
      </c>
      <c r="BH15" s="10">
        <v>12</v>
      </c>
      <c r="BI15" s="10">
        <v>0.62</v>
      </c>
      <c r="BJ15" s="10" t="s">
        <v>333</v>
      </c>
    </row>
    <row r="16" spans="1:62" ht="17.25" customHeight="1" x14ac:dyDescent="0.25">
      <c r="A16" s="13"/>
      <c r="B16" s="155" t="s">
        <v>31</v>
      </c>
      <c r="C16" s="170">
        <v>2</v>
      </c>
      <c r="D16" s="210" t="s">
        <v>76</v>
      </c>
      <c r="E16" s="151">
        <v>2583</v>
      </c>
      <c r="F16" s="137">
        <v>2395</v>
      </c>
      <c r="G16" s="137" t="s">
        <v>22</v>
      </c>
      <c r="H16" s="151"/>
      <c r="I16" s="151"/>
      <c r="J16" s="151"/>
      <c r="K16" s="147"/>
      <c r="L16" s="373">
        <v>6843</v>
      </c>
      <c r="M16" s="373" t="s">
        <v>21</v>
      </c>
      <c r="N16" s="160" t="s">
        <v>76</v>
      </c>
      <c r="O16" s="160" t="s">
        <v>76</v>
      </c>
      <c r="P16" s="160" t="s">
        <v>76</v>
      </c>
      <c r="Q16" s="181"/>
      <c r="R16" s="81"/>
      <c r="S16" s="112">
        <v>6842</v>
      </c>
      <c r="T16" s="113" t="s">
        <v>29</v>
      </c>
      <c r="U16" s="114">
        <f>SUMIF($F$9:$F$29,S16,$E$9:$E$29)+SUMIF($I$9:$I$29,S16,$H$9:$H$29)</f>
        <v>0</v>
      </c>
      <c r="V16" s="114">
        <f>SUMIF($M$9:$M$29,S16,$L$9:$L$29)+SUMIF($P$9:$P$29,S16,$O$9:$O$29)</f>
        <v>0</v>
      </c>
      <c r="W16" s="114">
        <f t="shared" si="0"/>
        <v>0</v>
      </c>
      <c r="X16" s="114">
        <f>SUM(V16:W16)</f>
        <v>0</v>
      </c>
      <c r="Y16" s="114"/>
      <c r="Z16" s="74"/>
      <c r="AA16" s="74"/>
      <c r="AB16" s="74"/>
      <c r="AC16" s="74"/>
      <c r="AD16" s="78">
        <f>IFERROR(E16/VLOOKUP(F16,#REF!,4,FALSE),0)+IFERROR(H16/VLOOKUP(I16,#REF!,4,FALSE),0)</f>
        <v>0</v>
      </c>
      <c r="AE16" s="78">
        <f>IFERROR(K18/VLOOKUP(L18,#REF!,4,FALSE),0)+IFERROR(N16/VLOOKUP(O16,#REF!,4,FALSE),0)</f>
        <v>0</v>
      </c>
      <c r="AF16" s="90">
        <f t="shared" si="1"/>
        <v>0</v>
      </c>
      <c r="AG16" s="1084"/>
      <c r="AH16" s="81"/>
      <c r="AI16" s="81"/>
      <c r="AJ16" s="74"/>
      <c r="AK16" s="74"/>
      <c r="AL16" s="74" t="s">
        <v>345</v>
      </c>
      <c r="AM16" s="74"/>
      <c r="AN16" s="76">
        <v>6843</v>
      </c>
      <c r="AO16" s="76" t="s">
        <v>29</v>
      </c>
      <c r="AP16" s="82">
        <f t="shared" si="3"/>
        <v>0</v>
      </c>
      <c r="AQ16" s="82">
        <f t="shared" si="2"/>
        <v>0</v>
      </c>
      <c r="AR16" s="82">
        <f>SUMIF($F$15:$F$17,$AN16,$E$15:$E$17)+SUMIF($I$15:$I$17,$AN16,$H$15:$H$17)+SUMIF($L$15:$L$17,$AN16,$K$15:$K$17)+SUMIF($O$15:$O$17,$AN16,$N$15:$N$17)</f>
        <v>0</v>
      </c>
      <c r="AS16" s="82">
        <f>SUMIF($F$18:$F$20,$AN16,$E$18:$E$20)+SUMIF($I$18:$I$20,$AN16,$H$18:$H$20)+SUMIF($L$18:$L$20,$AN16,$K$18:$K$20)+SUMIF($O$18:$O$20,$AN16,$N$18:$N$20)</f>
        <v>0</v>
      </c>
      <c r="AT16" s="82">
        <f>SUMIF($F$21:$F$23,$AN16,$E$21:$E$23)+SUMIF($I$21:$I$23,$AN16,$H$21:$H$23)+SUMIF($L$21:$L$23,$AN16,$K$21:$K$23)+SUMIF($O$21:$O$23,$AN16,$N$21:$N$23)</f>
        <v>0</v>
      </c>
      <c r="AU16" s="82">
        <f>SUMIF($F$24:$F$26,$AN16,$E$24:$E$26)+SUMIF($I$24:$I$26,$AN16,$H$24:$H$26)+SUMIF($L$24:$L$26,$AN16,$K$24:$K$26)+SUMIF($O$24:$O$26,$AN16,$N$24:$N$26)</f>
        <v>0</v>
      </c>
      <c r="AV16" s="82">
        <f>SUMIF($F$27:$F$29,$AN16,$E$27:$E$29)+SUMIF($I$27:$I$29,$AN16,$H$27:$H$29)+SUMIF($L$27:$L$29,$AN16,$K$27:$K$29)+SUMIF($O$27:$O$29,$AN16,$N$27:$N$29)</f>
        <v>0</v>
      </c>
      <c r="AW16" s="83">
        <f t="shared" si="4"/>
        <v>0</v>
      </c>
      <c r="AX16" s="74"/>
      <c r="AY16" s="74"/>
      <c r="AZ16" s="74"/>
      <c r="BA16" s="74"/>
      <c r="BB16" s="74"/>
      <c r="BC16" s="74"/>
      <c r="BD16" s="17">
        <v>6842</v>
      </c>
      <c r="BE16" s="10" t="s">
        <v>29</v>
      </c>
      <c r="BF16" s="10" t="s">
        <v>346</v>
      </c>
      <c r="BG16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13.440860215053762</v>
      </c>
      <c r="BH16" s="10">
        <v>12</v>
      </c>
      <c r="BI16" s="10">
        <v>0.62</v>
      </c>
      <c r="BJ16" s="10" t="s">
        <v>333</v>
      </c>
    </row>
    <row r="17" spans="1:62" ht="17.25" customHeight="1" x14ac:dyDescent="0.25">
      <c r="A17" s="13"/>
      <c r="B17" s="157" t="s">
        <v>76</v>
      </c>
      <c r="C17" s="171">
        <v>3</v>
      </c>
      <c r="D17" s="211" t="s">
        <v>76</v>
      </c>
      <c r="E17" s="152"/>
      <c r="F17" s="140">
        <v>2395</v>
      </c>
      <c r="G17" s="140" t="s">
        <v>22</v>
      </c>
      <c r="H17" s="152"/>
      <c r="I17" s="152"/>
      <c r="J17" s="152"/>
      <c r="K17" s="148"/>
      <c r="L17" s="374">
        <v>6843</v>
      </c>
      <c r="M17" s="374" t="s">
        <v>21</v>
      </c>
      <c r="N17" s="143" t="s">
        <v>76</v>
      </c>
      <c r="O17" s="143" t="s">
        <v>76</v>
      </c>
      <c r="P17" s="143" t="s">
        <v>76</v>
      </c>
      <c r="Q17" s="184"/>
      <c r="R17" s="81"/>
      <c r="S17" s="74"/>
      <c r="T17" s="92" t="s">
        <v>32</v>
      </c>
      <c r="U17" s="93">
        <f>SUM(U10:U16)</f>
        <v>20664</v>
      </c>
      <c r="V17" s="93">
        <f ca="1">SUM(V10:V16)</f>
        <v>20529</v>
      </c>
      <c r="W17" s="93">
        <f ca="1">SUM(W10:W16)</f>
        <v>41193</v>
      </c>
      <c r="X17" s="127">
        <f>SUM(X10:X16)</f>
        <v>0</v>
      </c>
      <c r="Y17" s="127">
        <f ca="1">SUM(Y10:Y16)</f>
        <v>41193</v>
      </c>
      <c r="Z17" s="74"/>
      <c r="AA17" s="74"/>
      <c r="AB17" s="74"/>
      <c r="AC17" s="74"/>
      <c r="AD17" s="78">
        <f>IFERROR(E17/VLOOKUP(F17,#REF!,4,FALSE),0)+IFERROR(H17/VLOOKUP(I17,#REF!,4,FALSE),0)</f>
        <v>0</v>
      </c>
      <c r="AE17" s="78">
        <f>IFERROR(K19/VLOOKUP(L19,#REF!,4,FALSE),0)+IFERROR(N17/VLOOKUP(O17,#REF!,4,FALSE),0)</f>
        <v>0</v>
      </c>
      <c r="AF17" s="90">
        <f t="shared" si="1"/>
        <v>0</v>
      </c>
      <c r="AG17" s="1085"/>
      <c r="AH17" s="78">
        <f>SUM(AD15:AD17)</f>
        <v>0</v>
      </c>
      <c r="AI17" s="78">
        <f>SUM(AE15:AE17)</f>
        <v>0</v>
      </c>
      <c r="AJ17" s="91">
        <f>+AH17+AI17</f>
        <v>0</v>
      </c>
      <c r="AK17" s="74"/>
      <c r="AL17" s="74" t="s">
        <v>347</v>
      </c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83">
        <f>SUM(AW10:AW16)</f>
        <v>20664</v>
      </c>
      <c r="AX17" s="76" t="s">
        <v>348</v>
      </c>
      <c r="AY17" s="74"/>
      <c r="AZ17" s="74"/>
      <c r="BA17" s="74"/>
      <c r="BB17" s="74"/>
      <c r="BC17" s="74"/>
      <c r="BD17" s="17">
        <v>2960</v>
      </c>
      <c r="BE17" s="10" t="s">
        <v>349</v>
      </c>
      <c r="BF17" s="10" t="s">
        <v>350</v>
      </c>
      <c r="BG17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8.3056478405315612</v>
      </c>
      <c r="BH17" s="10">
        <v>4</v>
      </c>
      <c r="BI17" s="10">
        <v>3.01</v>
      </c>
      <c r="BJ17" s="10" t="s">
        <v>351</v>
      </c>
    </row>
    <row r="18" spans="1:62" ht="17.25" customHeight="1" x14ac:dyDescent="0.25">
      <c r="A18" s="13"/>
      <c r="B18" s="156">
        <v>45918</v>
      </c>
      <c r="C18" s="170">
        <v>1</v>
      </c>
      <c r="D18" s="210" t="s">
        <v>76</v>
      </c>
      <c r="E18" s="151"/>
      <c r="F18" s="259">
        <v>1564</v>
      </c>
      <c r="G18" s="259" t="s">
        <v>11</v>
      </c>
      <c r="H18" s="144"/>
      <c r="I18" s="144"/>
      <c r="J18" s="144"/>
      <c r="K18" s="239"/>
      <c r="L18" s="144"/>
      <c r="M18" s="158" t="s">
        <v>30</v>
      </c>
      <c r="N18" s="160" t="s">
        <v>76</v>
      </c>
      <c r="O18" s="160" t="s">
        <v>76</v>
      </c>
      <c r="P18" s="160" t="s">
        <v>76</v>
      </c>
      <c r="Q18" s="178"/>
      <c r="R18" s="81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8">
        <f>IFERROR(E18/VLOOKUP(F18,#REF!,4,FALSE),0)+IFERROR(H18/VLOOKUP(I18,#REF!,4,FALSE),0)</f>
        <v>0</v>
      </c>
      <c r="AE18" s="78">
        <f>IFERROR(K20/VLOOKUP(L20,#REF!,4,FALSE),0)+IFERROR(N18/VLOOKUP(O18,#REF!,4,FALSE),0)</f>
        <v>0</v>
      </c>
      <c r="AF18" s="90">
        <f t="shared" si="1"/>
        <v>0</v>
      </c>
      <c r="AG18" s="1083" t="s">
        <v>352</v>
      </c>
      <c r="AH18" s="81"/>
      <c r="AI18" s="81"/>
      <c r="AJ18" s="74"/>
      <c r="AK18" s="74"/>
      <c r="AL18" s="74" t="s">
        <v>353</v>
      </c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17">
        <v>8758</v>
      </c>
      <c r="BE18" s="10" t="s">
        <v>354</v>
      </c>
      <c r="BF18" s="10" t="s">
        <v>355</v>
      </c>
      <c r="BG18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14.814814814814813</v>
      </c>
      <c r="BH18" s="10">
        <v>15</v>
      </c>
      <c r="BI18" s="10">
        <v>0.45</v>
      </c>
      <c r="BJ18" s="10" t="s">
        <v>351</v>
      </c>
    </row>
    <row r="19" spans="1:62" ht="17.25" customHeight="1" x14ac:dyDescent="0.25">
      <c r="A19" s="13"/>
      <c r="B19" s="155" t="s">
        <v>35</v>
      </c>
      <c r="C19" s="170">
        <v>2</v>
      </c>
      <c r="D19" s="210" t="s">
        <v>76</v>
      </c>
      <c r="E19" s="151"/>
      <c r="F19" s="138">
        <v>1564</v>
      </c>
      <c r="G19" s="138" t="s">
        <v>11</v>
      </c>
      <c r="H19" s="151"/>
      <c r="I19" s="151"/>
      <c r="J19" s="151"/>
      <c r="K19" s="240"/>
      <c r="L19" s="144"/>
      <c r="M19" s="158" t="s">
        <v>30</v>
      </c>
      <c r="N19" s="160" t="s">
        <v>76</v>
      </c>
      <c r="O19" s="160" t="s">
        <v>76</v>
      </c>
      <c r="P19" s="160" t="s">
        <v>76</v>
      </c>
      <c r="Q19" s="181"/>
      <c r="R19" s="81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8">
        <f>IFERROR(E19/VLOOKUP(F19,#REF!,4,FALSE),0)+IFERROR(H19/VLOOKUP(I19,#REF!,4,FALSE),0)</f>
        <v>0</v>
      </c>
      <c r="AE19" s="78">
        <f>IFERROR(K21/VLOOKUP(L21,#REF!,4,FALSE),0)+IFERROR(N19/VLOOKUP(O19,#REF!,4,FALSE),0)</f>
        <v>0</v>
      </c>
      <c r="AF19" s="90">
        <f t="shared" si="1"/>
        <v>0</v>
      </c>
      <c r="AG19" s="1084"/>
      <c r="AH19" s="81"/>
      <c r="AI19" s="81"/>
      <c r="AJ19" s="74"/>
      <c r="AK19" s="74"/>
      <c r="AL19" s="74" t="s">
        <v>356</v>
      </c>
      <c r="AM19" s="74"/>
      <c r="AN19" s="76">
        <v>1564</v>
      </c>
      <c r="AO19" s="76" t="s">
        <v>11</v>
      </c>
      <c r="AP19" s="82">
        <f t="shared" ref="AP19:AV19" si="10">AP10/(1/12/0.65*100)</f>
        <v>0</v>
      </c>
      <c r="AQ19" s="82">
        <f t="shared" si="10"/>
        <v>0</v>
      </c>
      <c r="AR19" s="82">
        <f t="shared" si="10"/>
        <v>0</v>
      </c>
      <c r="AS19" s="82">
        <f t="shared" si="10"/>
        <v>0</v>
      </c>
      <c r="AT19" s="82">
        <f t="shared" si="10"/>
        <v>0</v>
      </c>
      <c r="AU19" s="82">
        <f t="shared" si="10"/>
        <v>0</v>
      </c>
      <c r="AV19" s="82">
        <f t="shared" si="10"/>
        <v>0</v>
      </c>
      <c r="AW19" s="83">
        <f>SUM(AP19:AV19)</f>
        <v>0</v>
      </c>
      <c r="AX19" s="74"/>
      <c r="AY19" s="74"/>
      <c r="AZ19" s="74"/>
      <c r="BA19" s="74"/>
      <c r="BB19" s="74"/>
      <c r="BC19" s="74"/>
      <c r="BD19" s="17">
        <v>11112</v>
      </c>
      <c r="BE19" s="10" t="s">
        <v>357</v>
      </c>
      <c r="BF19" s="10" t="s">
        <v>358</v>
      </c>
      <c r="BG19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8.3056478405315612</v>
      </c>
      <c r="BH19" s="10">
        <v>4</v>
      </c>
      <c r="BI19" s="10">
        <v>3.01</v>
      </c>
      <c r="BJ19" s="10" t="s">
        <v>351</v>
      </c>
    </row>
    <row r="20" spans="1:62" ht="17.25" customHeight="1" x14ac:dyDescent="0.25">
      <c r="A20" s="13"/>
      <c r="B20" s="157" t="s">
        <v>76</v>
      </c>
      <c r="C20" s="171">
        <v>3</v>
      </c>
      <c r="D20" s="211" t="s">
        <v>76</v>
      </c>
      <c r="E20" s="152"/>
      <c r="F20" s="141">
        <v>1564</v>
      </c>
      <c r="G20" s="141" t="s">
        <v>11</v>
      </c>
      <c r="H20" s="152"/>
      <c r="I20" s="152"/>
      <c r="J20" s="152"/>
      <c r="K20" s="947"/>
      <c r="L20" s="146">
        <v>2821</v>
      </c>
      <c r="M20" s="212" t="s">
        <v>23</v>
      </c>
      <c r="N20" s="143" t="s">
        <v>76</v>
      </c>
      <c r="O20" s="143" t="s">
        <v>76</v>
      </c>
      <c r="P20" s="143" t="s">
        <v>76</v>
      </c>
      <c r="Q20" s="184"/>
      <c r="R20" s="81"/>
      <c r="S20" s="115" t="s">
        <v>36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8">
        <f>IFERROR(E20/VLOOKUP(F20,#REF!,4,FALSE),0)+IFERROR(H20/VLOOKUP(I20,#REF!,4,FALSE),0)</f>
        <v>0</v>
      </c>
      <c r="AE20" s="78">
        <f>IFERROR(K22/VLOOKUP(L22,#REF!,4,FALSE),0)+IFERROR(N20/VLOOKUP(O20,#REF!,4,FALSE),0)</f>
        <v>0</v>
      </c>
      <c r="AF20" s="90">
        <f t="shared" si="1"/>
        <v>0</v>
      </c>
      <c r="AG20" s="1085"/>
      <c r="AH20" s="78">
        <f>SUM(AD18:AD20)</f>
        <v>0</v>
      </c>
      <c r="AI20" s="78">
        <f>SUM(AE18:AE20)</f>
        <v>0</v>
      </c>
      <c r="AJ20" s="91">
        <f>+AH20+AI20</f>
        <v>0</v>
      </c>
      <c r="AK20" s="74"/>
      <c r="AL20" s="74">
        <v>0</v>
      </c>
      <c r="AM20" s="74"/>
      <c r="AN20" s="76">
        <v>2395</v>
      </c>
      <c r="AO20" s="76" t="s">
        <v>22</v>
      </c>
      <c r="AP20" s="82">
        <f t="shared" ref="AP20:AV20" si="11">AP11/(1/12/0.62*100)</f>
        <v>576.52560000000005</v>
      </c>
      <c r="AQ20" s="82">
        <f t="shared" si="11"/>
        <v>576.52560000000005</v>
      </c>
      <c r="AR20" s="82">
        <f t="shared" si="11"/>
        <v>384.35040000000004</v>
      </c>
      <c r="AS20" s="82">
        <f t="shared" si="11"/>
        <v>0</v>
      </c>
      <c r="AT20" s="82">
        <f t="shared" si="11"/>
        <v>0</v>
      </c>
      <c r="AU20" s="82">
        <f t="shared" si="11"/>
        <v>0</v>
      </c>
      <c r="AV20" s="82">
        <f t="shared" si="11"/>
        <v>0</v>
      </c>
      <c r="AW20" s="83">
        <f>SUM(AP20:AV20)</f>
        <v>1537.4016000000001</v>
      </c>
      <c r="AX20" s="74"/>
      <c r="AY20" s="74"/>
      <c r="AZ20" s="74"/>
      <c r="BA20" s="74"/>
      <c r="BB20" s="74"/>
      <c r="BC20" s="74"/>
      <c r="BD20" s="17">
        <v>11115</v>
      </c>
      <c r="BE20" s="10" t="s">
        <v>359</v>
      </c>
      <c r="BF20" s="10" t="s">
        <v>360</v>
      </c>
      <c r="BG20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8.3333333333333321</v>
      </c>
      <c r="BH20" s="10">
        <v>6</v>
      </c>
      <c r="BI20" s="10">
        <v>2</v>
      </c>
      <c r="BJ20" s="10" t="s">
        <v>351</v>
      </c>
    </row>
    <row r="21" spans="1:62" ht="17.25" customHeight="1" x14ac:dyDescent="0.25">
      <c r="A21" s="13"/>
      <c r="B21" s="156">
        <v>45919</v>
      </c>
      <c r="C21" s="170">
        <v>1</v>
      </c>
      <c r="D21" s="210" t="s">
        <v>76</v>
      </c>
      <c r="E21" s="144"/>
      <c r="F21" s="136">
        <v>1564</v>
      </c>
      <c r="G21" s="136" t="s">
        <v>11</v>
      </c>
      <c r="H21" s="207"/>
      <c r="I21" s="140">
        <v>2395</v>
      </c>
      <c r="J21" s="140" t="s">
        <v>22</v>
      </c>
      <c r="K21" s="324"/>
      <c r="L21" s="145">
        <v>2821</v>
      </c>
      <c r="M21" s="205" t="s">
        <v>23</v>
      </c>
      <c r="N21" s="160" t="s">
        <v>76</v>
      </c>
      <c r="O21" s="160" t="s">
        <v>76</v>
      </c>
      <c r="P21" s="160" t="s">
        <v>76</v>
      </c>
      <c r="Q21" s="178"/>
      <c r="R21" s="81"/>
      <c r="S21" s="92" t="s">
        <v>7</v>
      </c>
      <c r="T21" s="92" t="s">
        <v>8</v>
      </c>
      <c r="U21" s="92" t="s">
        <v>37</v>
      </c>
      <c r="V21" s="92" t="s">
        <v>38</v>
      </c>
      <c r="W21" s="92" t="s">
        <v>39</v>
      </c>
      <c r="X21" s="92" t="s">
        <v>40</v>
      </c>
      <c r="Y21" s="92" t="s">
        <v>41</v>
      </c>
      <c r="Z21" s="74"/>
      <c r="AA21" s="74"/>
      <c r="AB21" s="74"/>
      <c r="AC21" s="74"/>
      <c r="AD21" s="78">
        <f>IFERROR(E21/VLOOKUP(F21,#REF!,4,FALSE),0)+IFERROR(H21/VLOOKUP(I21,#REF!,4,FALSE),0)</f>
        <v>0</v>
      </c>
      <c r="AE21" s="78">
        <f>IFERROR(K23/VLOOKUP(L23,#REF!,4,FALSE),0)+IFERROR(N21/VLOOKUP(O21,#REF!,4,FALSE),0)</f>
        <v>0</v>
      </c>
      <c r="AF21" s="90">
        <f t="shared" si="1"/>
        <v>0</v>
      </c>
      <c r="AG21" s="1083" t="s">
        <v>361</v>
      </c>
      <c r="AH21" s="81"/>
      <c r="AI21" s="81"/>
      <c r="AJ21" s="74"/>
      <c r="AK21" s="74"/>
      <c r="AL21" s="74">
        <v>0</v>
      </c>
      <c r="AM21" s="74"/>
      <c r="AN21" s="76">
        <v>2821</v>
      </c>
      <c r="AO21" s="76" t="s">
        <v>23</v>
      </c>
      <c r="AP21" s="82">
        <f t="shared" ref="AP21:AV21" si="12">AP12/(1/12/0.63*100)</f>
        <v>0</v>
      </c>
      <c r="AQ21" s="82">
        <f t="shared" si="12"/>
        <v>0</v>
      </c>
      <c r="AR21" s="82">
        <f t="shared" si="12"/>
        <v>0</v>
      </c>
      <c r="AS21" s="82">
        <f t="shared" si="12"/>
        <v>0</v>
      </c>
      <c r="AT21" s="82">
        <f t="shared" si="12"/>
        <v>0</v>
      </c>
      <c r="AU21" s="82">
        <f t="shared" si="12"/>
        <v>0</v>
      </c>
      <c r="AV21" s="82">
        <f t="shared" si="12"/>
        <v>0</v>
      </c>
      <c r="AW21" s="83">
        <f>SUM(AP21:AV21)</f>
        <v>0</v>
      </c>
      <c r="AX21" s="74"/>
      <c r="AY21" s="74"/>
      <c r="AZ21" s="74"/>
      <c r="BA21" s="74"/>
      <c r="BB21" s="74"/>
      <c r="BC21" s="74"/>
      <c r="BD21" s="17">
        <v>11116</v>
      </c>
      <c r="BE21" s="10" t="s">
        <v>362</v>
      </c>
      <c r="BF21" s="10" t="s">
        <v>363</v>
      </c>
      <c r="BG21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16.666666666666664</v>
      </c>
      <c r="BH21" s="10">
        <v>6</v>
      </c>
      <c r="BI21" s="10">
        <v>1</v>
      </c>
      <c r="BJ21" s="10" t="s">
        <v>351</v>
      </c>
    </row>
    <row r="22" spans="1:62" ht="17.25" customHeight="1" x14ac:dyDescent="0.25">
      <c r="A22" s="13"/>
      <c r="B22" s="155" t="s">
        <v>42</v>
      </c>
      <c r="C22" s="170">
        <v>2</v>
      </c>
      <c r="D22" s="210" t="s">
        <v>76</v>
      </c>
      <c r="E22" s="147"/>
      <c r="F22" s="138">
        <v>1564</v>
      </c>
      <c r="G22" s="138" t="s">
        <v>11</v>
      </c>
      <c r="H22" s="176"/>
      <c r="I22" s="135">
        <v>2395</v>
      </c>
      <c r="J22" s="135" t="s">
        <v>22</v>
      </c>
      <c r="K22" s="375"/>
      <c r="L22" s="138">
        <v>1564</v>
      </c>
      <c r="M22" s="138" t="s">
        <v>11</v>
      </c>
      <c r="N22" s="160" t="s">
        <v>76</v>
      </c>
      <c r="O22" s="160" t="s">
        <v>76</v>
      </c>
      <c r="P22" s="160" t="s">
        <v>76</v>
      </c>
      <c r="Q22" s="181"/>
      <c r="R22" s="81"/>
      <c r="S22" s="94">
        <v>1564</v>
      </c>
      <c r="T22" s="95" t="s">
        <v>11</v>
      </c>
      <c r="U22" s="96">
        <f>U10*12*0.65/100</f>
        <v>0</v>
      </c>
      <c r="V22" s="96">
        <f>V10*12*0.65/100</f>
        <v>0</v>
      </c>
      <c r="W22" s="96">
        <f>SUM(U22:V22)</f>
        <v>0</v>
      </c>
      <c r="X22" s="96">
        <v>30264</v>
      </c>
      <c r="Y22" s="96">
        <f>W22-X22</f>
        <v>-30264</v>
      </c>
      <c r="Z22" s="74"/>
      <c r="AA22" s="74"/>
      <c r="AB22" s="74"/>
      <c r="AC22" s="74"/>
      <c r="AD22" s="78">
        <f>IFERROR(E22/VLOOKUP(F22,#REF!,4,FALSE),0)+IFERROR(H22/VLOOKUP(I22,#REF!,4,FALSE),0)</f>
        <v>0</v>
      </c>
      <c r="AE22" s="78">
        <f>IFERROR(K24/VLOOKUP(L24,#REF!,4,FALSE),0)+IFERROR(N22/VLOOKUP(O22,#REF!,4,FALSE),0)</f>
        <v>0</v>
      </c>
      <c r="AF22" s="90">
        <f t="shared" si="1"/>
        <v>0</v>
      </c>
      <c r="AG22" s="1084"/>
      <c r="AH22" s="81"/>
      <c r="AI22" s="81"/>
      <c r="AJ22" s="82"/>
      <c r="AK22" s="74"/>
      <c r="AL22" s="74">
        <v>0</v>
      </c>
      <c r="AM22" s="74"/>
      <c r="AN22" s="76">
        <v>5037</v>
      </c>
      <c r="AO22" s="76" t="s">
        <v>25</v>
      </c>
      <c r="AP22" s="74"/>
      <c r="AQ22" s="74"/>
      <c r="AR22" s="74"/>
      <c r="AS22" s="74"/>
      <c r="AT22" s="74"/>
      <c r="AU22" s="74"/>
      <c r="AV22" s="74"/>
      <c r="AW22" s="83"/>
      <c r="AX22" s="74"/>
      <c r="AY22" s="74"/>
      <c r="AZ22" s="74"/>
      <c r="BA22" s="74"/>
      <c r="BB22" s="74"/>
      <c r="BC22" s="74"/>
      <c r="BD22" s="17">
        <v>11118</v>
      </c>
      <c r="BE22" s="10" t="s">
        <v>364</v>
      </c>
      <c r="BF22" s="10" t="s">
        <v>365</v>
      </c>
      <c r="BG22" s="65">
        <f>1/TablaHL11121910121314252325313234291436464725384814502548505421456575825782145859142324463416421242816231827293233383941402[[#This Row],[UN x CA]]/TablaHL11121910121314252325313234291436464725384814502548505421456575825782145859142324463416421242816231827293233383941402[[#This Row],[CAPACIDAD]]*100</f>
        <v>14.814814814814813</v>
      </c>
      <c r="BH22" s="10">
        <v>15</v>
      </c>
      <c r="BI22" s="10">
        <v>0.45</v>
      </c>
      <c r="BJ22" s="10" t="s">
        <v>351</v>
      </c>
    </row>
    <row r="23" spans="1:62" ht="17.25" customHeight="1" x14ac:dyDescent="0.25">
      <c r="A23" s="13"/>
      <c r="B23" s="157" t="s">
        <v>76</v>
      </c>
      <c r="C23" s="171">
        <v>3</v>
      </c>
      <c r="D23" s="211" t="s">
        <v>76</v>
      </c>
      <c r="E23" s="377"/>
      <c r="F23" s="260">
        <v>1564</v>
      </c>
      <c r="G23" s="260" t="s">
        <v>11</v>
      </c>
      <c r="H23" s="183"/>
      <c r="I23" s="141">
        <v>1564</v>
      </c>
      <c r="J23" s="141" t="s">
        <v>11</v>
      </c>
      <c r="K23" s="376"/>
      <c r="L23" s="256">
        <v>1564</v>
      </c>
      <c r="M23" s="257" t="s">
        <v>11</v>
      </c>
      <c r="N23" s="143" t="s">
        <v>76</v>
      </c>
      <c r="O23" s="143" t="s">
        <v>76</v>
      </c>
      <c r="P23" s="143" t="s">
        <v>76</v>
      </c>
      <c r="Q23" s="184"/>
      <c r="R23" s="81"/>
      <c r="S23" s="97">
        <v>2395</v>
      </c>
      <c r="T23" s="98" t="s">
        <v>22</v>
      </c>
      <c r="U23" s="99">
        <f>U11*12*0.62/100</f>
        <v>1537.4016000000001</v>
      </c>
      <c r="V23" s="99">
        <f>V11*12*0.62/100</f>
        <v>0</v>
      </c>
      <c r="W23" s="99">
        <f t="shared" ref="W23:W28" si="13">SUM(U23:V23)</f>
        <v>1537.4016000000001</v>
      </c>
      <c r="X23" s="99">
        <v>10416</v>
      </c>
      <c r="Y23" s="99">
        <f t="shared" ref="Y23:Y28" si="14">W23-X23</f>
        <v>-8878.5983999999989</v>
      </c>
      <c r="Z23" s="82"/>
      <c r="AA23" s="92" t="s">
        <v>43</v>
      </c>
      <c r="AB23" s="92" t="s">
        <v>33</v>
      </c>
      <c r="AC23" s="74"/>
      <c r="AD23" s="78">
        <f>IFERROR(E23/VLOOKUP(F23,#REF!,4,FALSE),0)+IFERROR(H23/VLOOKUP(I23,#REF!,4,FALSE),0)</f>
        <v>0</v>
      </c>
      <c r="AE23" s="78">
        <f>IFERROR(K25/VLOOKUP(L25,#REF!,4,FALSE),0)+IFERROR(N23/VLOOKUP(O23,#REF!,4,FALSE),0)</f>
        <v>0</v>
      </c>
      <c r="AF23" s="90">
        <f t="shared" si="1"/>
        <v>0</v>
      </c>
      <c r="AG23" s="1085"/>
      <c r="AH23" s="78">
        <f>SUM(AD21:AD23)</f>
        <v>0</v>
      </c>
      <c r="AI23" s="78">
        <f>SUM(AE21:AE23)</f>
        <v>0</v>
      </c>
      <c r="AJ23" s="91">
        <f>+AH23+AI23</f>
        <v>0</v>
      </c>
      <c r="AK23" s="74"/>
      <c r="AL23" s="74"/>
      <c r="AM23" s="74"/>
      <c r="AN23" s="76">
        <v>6788</v>
      </c>
      <c r="AO23" s="76" t="s">
        <v>28</v>
      </c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</row>
    <row r="24" spans="1:62" ht="17.25" customHeight="1" x14ac:dyDescent="0.25">
      <c r="A24" s="13"/>
      <c r="B24" s="156">
        <v>45920</v>
      </c>
      <c r="C24" s="170">
        <v>1</v>
      </c>
      <c r="D24" s="210" t="s">
        <v>76</v>
      </c>
      <c r="E24" s="151"/>
      <c r="F24" s="138">
        <v>1564</v>
      </c>
      <c r="G24" s="138" t="s">
        <v>11</v>
      </c>
      <c r="H24" s="229"/>
      <c r="I24" s="138">
        <v>1564</v>
      </c>
      <c r="J24" s="138" t="s">
        <v>11</v>
      </c>
      <c r="K24" s="144"/>
      <c r="L24" s="259">
        <v>1564</v>
      </c>
      <c r="M24" s="259" t="s">
        <v>11</v>
      </c>
      <c r="N24" s="160" t="s">
        <v>76</v>
      </c>
      <c r="O24" s="160" t="s">
        <v>76</v>
      </c>
      <c r="P24" s="160" t="s">
        <v>76</v>
      </c>
      <c r="Q24" s="178"/>
      <c r="R24" s="81"/>
      <c r="S24" s="100">
        <v>2821</v>
      </c>
      <c r="T24" s="101" t="s">
        <v>23</v>
      </c>
      <c r="U24" s="102">
        <f>U12*12*0.63/100</f>
        <v>0</v>
      </c>
      <c r="V24" s="102">
        <f>V12*12*0.63/100</f>
        <v>0</v>
      </c>
      <c r="W24" s="102">
        <f t="shared" si="13"/>
        <v>0</v>
      </c>
      <c r="X24" s="102">
        <v>16027.2</v>
      </c>
      <c r="Y24" s="102">
        <f t="shared" si="14"/>
        <v>-16027.2</v>
      </c>
      <c r="Z24" s="74"/>
      <c r="AA24" s="116" t="s">
        <v>44</v>
      </c>
      <c r="AB24" s="117">
        <f>W22+W25</f>
        <v>0</v>
      </c>
      <c r="AC24" s="74"/>
      <c r="AD24" s="78">
        <f>IFERROR(E24/VLOOKUP(F24,#REF!,4,FALSE),0)+IFERROR(H24/VLOOKUP(I24,#REF!,4,FALSE),0)</f>
        <v>0</v>
      </c>
      <c r="AE24" s="78">
        <f>IFERROR(K26/VLOOKUP(L26,#REF!,4,FALSE),0)+IFERROR(N24/VLOOKUP(O24,#REF!,4,FALSE),0)</f>
        <v>0</v>
      </c>
      <c r="AF24" s="90">
        <f t="shared" si="1"/>
        <v>0</v>
      </c>
      <c r="AG24" s="1083" t="s">
        <v>366</v>
      </c>
      <c r="AH24" s="81"/>
      <c r="AI24" s="81"/>
      <c r="AJ24" s="74"/>
      <c r="AK24" s="74"/>
      <c r="AL24" s="74"/>
      <c r="AM24" s="74"/>
      <c r="AN24" s="76">
        <v>6841</v>
      </c>
      <c r="AO24" s="76" t="s">
        <v>26</v>
      </c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</row>
    <row r="25" spans="1:62" ht="17.25" customHeight="1" x14ac:dyDescent="0.25">
      <c r="A25" s="13"/>
      <c r="B25" s="155" t="s">
        <v>45</v>
      </c>
      <c r="C25" s="170">
        <v>2</v>
      </c>
      <c r="D25" s="210" t="s">
        <v>76</v>
      </c>
      <c r="E25" s="342"/>
      <c r="F25" s="138">
        <v>1564</v>
      </c>
      <c r="G25" s="138" t="s">
        <v>11</v>
      </c>
      <c r="H25" s="235"/>
      <c r="I25" s="138">
        <v>1564</v>
      </c>
      <c r="J25" s="138" t="s">
        <v>11</v>
      </c>
      <c r="K25" s="144"/>
      <c r="L25" s="138">
        <v>1564</v>
      </c>
      <c r="M25" s="138" t="s">
        <v>11</v>
      </c>
      <c r="N25" s="160" t="s">
        <v>76</v>
      </c>
      <c r="O25" s="160" t="s">
        <v>76</v>
      </c>
      <c r="P25" s="160" t="s">
        <v>76</v>
      </c>
      <c r="Q25" s="181"/>
      <c r="R25" s="81"/>
      <c r="S25" s="103">
        <v>5037</v>
      </c>
      <c r="T25" s="104" t="s">
        <v>25</v>
      </c>
      <c r="U25" s="105">
        <f>U13*12/100</f>
        <v>0</v>
      </c>
      <c r="V25" s="105">
        <f>V13*12/100</f>
        <v>0</v>
      </c>
      <c r="W25" s="105">
        <f t="shared" si="13"/>
        <v>0</v>
      </c>
      <c r="X25" s="105">
        <v>0</v>
      </c>
      <c r="Y25" s="105">
        <f t="shared" si="14"/>
        <v>0</v>
      </c>
      <c r="Z25" s="74"/>
      <c r="AA25" s="118" t="s">
        <v>46</v>
      </c>
      <c r="AB25" s="119">
        <f>W23+W26</f>
        <v>1537.4016000000001</v>
      </c>
      <c r="AC25" s="74"/>
      <c r="AD25" s="78">
        <f>IFERROR(E25/VLOOKUP(F25,#REF!,4,FALSE),0)+IFERROR(H25/VLOOKUP(I25,#REF!,4,FALSE),0)</f>
        <v>0</v>
      </c>
      <c r="AE25" s="78">
        <f>IFERROR(K27/VLOOKUP(L27,#REF!,4,FALSE),0)+IFERROR(N25/VLOOKUP(O25,#REF!,4,FALSE),0)</f>
        <v>0</v>
      </c>
      <c r="AF25" s="90">
        <f t="shared" si="1"/>
        <v>0</v>
      </c>
      <c r="AG25" s="1084"/>
      <c r="AH25" s="81"/>
      <c r="AI25" s="81"/>
      <c r="AJ25" s="74"/>
      <c r="AK25" s="74"/>
      <c r="AL25" s="74"/>
      <c r="AM25" s="74"/>
      <c r="AN25" s="76">
        <v>6842</v>
      </c>
      <c r="AO25" s="76" t="s">
        <v>29</v>
      </c>
      <c r="AP25" s="82">
        <f t="shared" ref="AP25:AV25" si="15">AP16/(1/12/0.62*100)</f>
        <v>0</v>
      </c>
      <c r="AQ25" s="82">
        <f t="shared" si="15"/>
        <v>0</v>
      </c>
      <c r="AR25" s="82">
        <f t="shared" si="15"/>
        <v>0</v>
      </c>
      <c r="AS25" s="82">
        <f t="shared" si="15"/>
        <v>0</v>
      </c>
      <c r="AT25" s="82">
        <f t="shared" si="15"/>
        <v>0</v>
      </c>
      <c r="AU25" s="82">
        <f t="shared" si="15"/>
        <v>0</v>
      </c>
      <c r="AV25" s="82">
        <f t="shared" si="15"/>
        <v>0</v>
      </c>
      <c r="AW25" s="83">
        <f>SUM(AP25:AV25)</f>
        <v>0</v>
      </c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</row>
    <row r="26" spans="1:62" ht="17.25" customHeight="1" x14ac:dyDescent="0.25">
      <c r="A26" s="13"/>
      <c r="B26" s="157" t="s">
        <v>76</v>
      </c>
      <c r="C26" s="171">
        <v>3</v>
      </c>
      <c r="D26" s="211" t="s">
        <v>76</v>
      </c>
      <c r="E26" s="230"/>
      <c r="F26" s="141">
        <v>1564</v>
      </c>
      <c r="G26" s="141" t="s">
        <v>11</v>
      </c>
      <c r="H26" s="237"/>
      <c r="I26" s="141">
        <v>1564</v>
      </c>
      <c r="J26" s="141" t="s">
        <v>11</v>
      </c>
      <c r="K26" s="142"/>
      <c r="L26" s="141">
        <v>1564</v>
      </c>
      <c r="M26" s="141" t="s">
        <v>11</v>
      </c>
      <c r="N26" s="143" t="s">
        <v>76</v>
      </c>
      <c r="O26" s="143" t="s">
        <v>76</v>
      </c>
      <c r="P26" s="143" t="s">
        <v>76</v>
      </c>
      <c r="Q26" s="184"/>
      <c r="R26" s="81"/>
      <c r="S26" s="106">
        <v>6788</v>
      </c>
      <c r="T26" s="107" t="s">
        <v>28</v>
      </c>
      <c r="U26" s="108">
        <f>U14*12/100</f>
        <v>0</v>
      </c>
      <c r="V26" s="108">
        <f>V14*12/100</f>
        <v>0</v>
      </c>
      <c r="W26" s="108">
        <f t="shared" si="13"/>
        <v>0</v>
      </c>
      <c r="X26" s="108">
        <v>0</v>
      </c>
      <c r="Y26" s="108">
        <f t="shared" si="14"/>
        <v>0</v>
      </c>
      <c r="Z26" s="74"/>
      <c r="AA26" s="120" t="s">
        <v>47</v>
      </c>
      <c r="AB26" s="121">
        <f>W24</f>
        <v>0</v>
      </c>
      <c r="AC26" s="74"/>
      <c r="AD26" s="78">
        <f>IFERROR(E26/VLOOKUP(F26,#REF!,4,FALSE),0)+IFERROR(H26/VLOOKUP(I26,#REF!,4,FALSE),0)</f>
        <v>0</v>
      </c>
      <c r="AE26" s="78">
        <f>IFERROR(K28/VLOOKUP(L28,#REF!,4,FALSE),0)+IFERROR(N26/VLOOKUP(O26,#REF!,4,FALSE),0)</f>
        <v>0</v>
      </c>
      <c r="AF26" s="90">
        <f t="shared" si="1"/>
        <v>0</v>
      </c>
      <c r="AG26" s="1085"/>
      <c r="AH26" s="78">
        <f>SUM(AD24:AD26)</f>
        <v>0</v>
      </c>
      <c r="AI26" s="78">
        <f>SUM(AE24:AE26)</f>
        <v>0</v>
      </c>
      <c r="AJ26" s="91">
        <f>+AH26+AI26</f>
        <v>0</v>
      </c>
      <c r="AK26" s="74"/>
      <c r="AL26" s="74"/>
      <c r="AM26" s="74"/>
      <c r="AN26" s="74"/>
      <c r="AO26" s="74"/>
      <c r="AP26" s="82">
        <f t="shared" ref="AP26:AV26" si="16">+SUM(AP19:AP25)</f>
        <v>576.52560000000005</v>
      </c>
      <c r="AQ26" s="82">
        <f t="shared" si="16"/>
        <v>576.52560000000005</v>
      </c>
      <c r="AR26" s="82">
        <f t="shared" si="16"/>
        <v>384.35040000000004</v>
      </c>
      <c r="AS26" s="82">
        <f t="shared" si="16"/>
        <v>0</v>
      </c>
      <c r="AT26" s="82">
        <f t="shared" si="16"/>
        <v>0</v>
      </c>
      <c r="AU26" s="82">
        <f t="shared" si="16"/>
        <v>0</v>
      </c>
      <c r="AV26" s="82">
        <f t="shared" si="16"/>
        <v>0</v>
      </c>
      <c r="AW26" s="83">
        <f>SUM(AW19:AW25)</f>
        <v>1537.4016000000001</v>
      </c>
      <c r="AX26" s="76" t="s">
        <v>33</v>
      </c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</row>
    <row r="27" spans="1:62" ht="17.25" customHeight="1" x14ac:dyDescent="0.25">
      <c r="A27" s="13"/>
      <c r="B27" s="156">
        <v>45921</v>
      </c>
      <c r="C27" s="170">
        <v>1</v>
      </c>
      <c r="D27" s="210" t="s">
        <v>76</v>
      </c>
      <c r="E27" s="134"/>
      <c r="F27" s="136">
        <v>1564</v>
      </c>
      <c r="G27" s="136" t="s">
        <v>11</v>
      </c>
      <c r="H27" s="186"/>
      <c r="I27" s="136">
        <v>1564</v>
      </c>
      <c r="J27" s="136" t="s">
        <v>11</v>
      </c>
      <c r="K27" s="134"/>
      <c r="L27" s="136">
        <v>1564</v>
      </c>
      <c r="M27" s="136" t="s">
        <v>11</v>
      </c>
      <c r="N27" s="160" t="s">
        <v>76</v>
      </c>
      <c r="O27" s="160" t="s">
        <v>76</v>
      </c>
      <c r="P27" s="160" t="s">
        <v>76</v>
      </c>
      <c r="Q27" s="178"/>
      <c r="R27" s="81"/>
      <c r="S27" s="109">
        <v>6841</v>
      </c>
      <c r="T27" s="110" t="s">
        <v>26</v>
      </c>
      <c r="U27" s="111">
        <f>U15*12*0.62/100</f>
        <v>0</v>
      </c>
      <c r="V27" s="111">
        <f t="shared" ref="V27:V28" ca="1" si="17">V15*12*0.62/100</f>
        <v>1527.3576</v>
      </c>
      <c r="W27" s="111">
        <f t="shared" ca="1" si="13"/>
        <v>1527.3576</v>
      </c>
      <c r="X27" s="111">
        <v>0</v>
      </c>
      <c r="Y27" s="111">
        <f t="shared" ca="1" si="14"/>
        <v>1527.3576</v>
      </c>
      <c r="Z27" s="74"/>
      <c r="AA27" s="124" t="s">
        <v>48</v>
      </c>
      <c r="AB27" s="125">
        <f ca="1">W27</f>
        <v>1527.3576</v>
      </c>
      <c r="AC27" s="74"/>
      <c r="AD27" s="78">
        <f>IFERROR(E27/VLOOKUP(F27,#REF!,4,FALSE),0)+IFERROR(H27/VLOOKUP(I27,#REF!,4,FALSE),0)</f>
        <v>0</v>
      </c>
      <c r="AE27" s="78">
        <f>IFERROR(#REF!/VLOOKUP(#REF!,#REF!,4,FALSE),0)+IFERROR(N27/VLOOKUP(O27,#REF!,4,FALSE),0)</f>
        <v>0</v>
      </c>
      <c r="AF27" s="90">
        <f t="shared" si="1"/>
        <v>0</v>
      </c>
      <c r="AG27" s="1083" t="s">
        <v>367</v>
      </c>
      <c r="AH27" s="81"/>
      <c r="AI27" s="81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</row>
    <row r="28" spans="1:62" ht="17.25" customHeight="1" x14ac:dyDescent="0.25">
      <c r="A28" s="13"/>
      <c r="B28" s="155" t="s">
        <v>49</v>
      </c>
      <c r="C28" s="170">
        <v>2</v>
      </c>
      <c r="D28" s="210" t="s">
        <v>76</v>
      </c>
      <c r="E28" s="147"/>
      <c r="F28" s="138">
        <v>1564</v>
      </c>
      <c r="G28" s="138" t="s">
        <v>11</v>
      </c>
      <c r="H28" s="206"/>
      <c r="I28" s="138">
        <v>1564</v>
      </c>
      <c r="J28" s="138" t="s">
        <v>11</v>
      </c>
      <c r="K28" s="134"/>
      <c r="L28" s="138">
        <v>1564</v>
      </c>
      <c r="M28" s="138" t="s">
        <v>11</v>
      </c>
      <c r="N28" s="160" t="s">
        <v>76</v>
      </c>
      <c r="O28" s="160" t="s">
        <v>76</v>
      </c>
      <c r="P28" s="160" t="s">
        <v>76</v>
      </c>
      <c r="Q28" s="181"/>
      <c r="R28" s="81"/>
      <c r="S28" s="112">
        <v>6842</v>
      </c>
      <c r="T28" s="113" t="s">
        <v>29</v>
      </c>
      <c r="U28" s="114">
        <f t="shared" ref="U28" si="18">U16*12*0.62/100</f>
        <v>0</v>
      </c>
      <c r="V28" s="114">
        <f t="shared" si="17"/>
        <v>0</v>
      </c>
      <c r="W28" s="114">
        <f t="shared" si="13"/>
        <v>0</v>
      </c>
      <c r="X28" s="114">
        <v>0</v>
      </c>
      <c r="Y28" s="114">
        <f t="shared" si="14"/>
        <v>0</v>
      </c>
      <c r="Z28" s="74"/>
      <c r="AA28" s="122" t="s">
        <v>50</v>
      </c>
      <c r="AB28" s="123">
        <f>W28</f>
        <v>0</v>
      </c>
      <c r="AC28" s="74"/>
      <c r="AD28" s="78">
        <f>IFERROR(E28/VLOOKUP(F28,#REF!,4,FALSE),0)+IFERROR(H28/VLOOKUP(I28,#REF!,4,FALSE),0)</f>
        <v>0</v>
      </c>
      <c r="AE28" s="78">
        <f>IFERROR(#REF!/VLOOKUP(#REF!,#REF!,4,FALSE),0)+IFERROR(N28/VLOOKUP(O28,#REF!,4,FALSE),0)</f>
        <v>0</v>
      </c>
      <c r="AF28" s="90">
        <f t="shared" si="1"/>
        <v>0</v>
      </c>
      <c r="AG28" s="1084"/>
      <c r="AH28" s="81"/>
      <c r="AI28" s="81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</row>
    <row r="29" spans="1:62" ht="17.25" customHeight="1" x14ac:dyDescent="0.25">
      <c r="A29" s="13"/>
      <c r="B29" s="157" t="s">
        <v>76</v>
      </c>
      <c r="C29" s="171">
        <v>3</v>
      </c>
      <c r="D29" s="211" t="s">
        <v>76</v>
      </c>
      <c r="E29" s="148"/>
      <c r="F29" s="141">
        <v>1564</v>
      </c>
      <c r="G29" s="141" t="s">
        <v>11</v>
      </c>
      <c r="H29" s="235"/>
      <c r="I29" s="141">
        <v>1564</v>
      </c>
      <c r="J29" s="141" t="s">
        <v>11</v>
      </c>
      <c r="K29" s="148"/>
      <c r="L29" s="260">
        <v>1564</v>
      </c>
      <c r="M29" s="260" t="s">
        <v>11</v>
      </c>
      <c r="N29" s="143" t="s">
        <v>76</v>
      </c>
      <c r="O29" s="143" t="s">
        <v>76</v>
      </c>
      <c r="P29" s="143" t="s">
        <v>76</v>
      </c>
      <c r="Q29" s="181"/>
      <c r="R29" s="81"/>
      <c r="S29" s="74"/>
      <c r="T29" s="126" t="s">
        <v>39</v>
      </c>
      <c r="U29" s="127">
        <f>SUM(U22:U28)</f>
        <v>1537.4016000000001</v>
      </c>
      <c r="V29" s="127">
        <f ca="1">SUM(V22:V28)</f>
        <v>1527.3576</v>
      </c>
      <c r="W29" s="127">
        <f ca="1">SUM(W22:W28)</f>
        <v>3064.7592000000004</v>
      </c>
      <c r="X29" s="127">
        <f>SUM(X22:X28)</f>
        <v>56707.199999999997</v>
      </c>
      <c r="Y29" s="127">
        <f ca="1">SUM(Y22:Y28)</f>
        <v>-53642.440799999997</v>
      </c>
      <c r="Z29" s="74"/>
      <c r="AA29" s="92" t="s">
        <v>51</v>
      </c>
      <c r="AB29" s="93">
        <f ca="1">SUM(AB24:AB28)</f>
        <v>3064.7592000000004</v>
      </c>
      <c r="AC29" s="74"/>
      <c r="AD29" s="78">
        <f>IFERROR(E29/VLOOKUP(F29,#REF!,4,FALSE),0)+IFERROR(H29/VLOOKUP(I29,#REF!,4,FALSE),0)</f>
        <v>0</v>
      </c>
      <c r="AE29" s="78">
        <f>IFERROR(K29/VLOOKUP(L29,#REF!,4,FALSE),0)+IFERROR(N29/VLOOKUP(O29,#REF!,4,FALSE),0)</f>
        <v>0</v>
      </c>
      <c r="AF29" s="90">
        <f t="shared" si="1"/>
        <v>0</v>
      </c>
      <c r="AG29" s="1085"/>
      <c r="AH29" s="78">
        <f>SUM(AD27:AD29)</f>
        <v>0</v>
      </c>
      <c r="AI29" s="78">
        <f>SUM(AE27:AE29)</f>
        <v>0</v>
      </c>
      <c r="AJ29" s="91">
        <f>+AH29+AI29</f>
        <v>0</v>
      </c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</row>
    <row r="30" spans="1:62" ht="27" customHeight="1" x14ac:dyDescent="0.2">
      <c r="A30" s="19"/>
      <c r="B30" s="67"/>
      <c r="C30" s="67"/>
      <c r="D30" s="67"/>
      <c r="E30" s="67"/>
      <c r="F30" s="67">
        <v>8251</v>
      </c>
      <c r="G30" s="72"/>
      <c r="H30" s="67"/>
      <c r="I30" s="67"/>
      <c r="J30" s="67"/>
      <c r="K30" s="67"/>
      <c r="L30" s="67">
        <v>8251</v>
      </c>
      <c r="M30" s="67"/>
      <c r="N30" s="67"/>
      <c r="O30" s="67"/>
      <c r="P30" s="67"/>
      <c r="Q30" s="67"/>
      <c r="R30" s="81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3">
        <f>SUM(AD9:AD29)</f>
        <v>0</v>
      </c>
      <c r="AE30" s="73">
        <f>SUM(AE9:AE29)</f>
        <v>0</v>
      </c>
      <c r="AF30" s="91">
        <f t="shared" si="1"/>
        <v>0</v>
      </c>
      <c r="AG30" s="131" t="s">
        <v>83</v>
      </c>
      <c r="AH30" s="73">
        <f>SUM(AH11:AH29)</f>
        <v>0</v>
      </c>
      <c r="AI30" s="73">
        <f>SUM(AI11:AI29)</f>
        <v>0</v>
      </c>
      <c r="AJ30" s="91">
        <f>+AH30+AI30</f>
        <v>0</v>
      </c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</row>
    <row r="31" spans="1:62" x14ac:dyDescent="0.2">
      <c r="B31" s="13"/>
      <c r="D31" s="188"/>
      <c r="E31" s="188"/>
      <c r="F31" s="188">
        <v>8251</v>
      </c>
      <c r="G31" s="20" t="s">
        <v>368</v>
      </c>
      <c r="H31" s="21" t="s">
        <v>22</v>
      </c>
      <c r="I31" s="188"/>
      <c r="J31" s="20" t="s">
        <v>369</v>
      </c>
      <c r="K31" s="20" t="s">
        <v>370</v>
      </c>
      <c r="L31" s="188">
        <v>8251</v>
      </c>
      <c r="M31" s="20"/>
      <c r="N31" s="22" t="s">
        <v>23</v>
      </c>
      <c r="P31" s="20" t="s">
        <v>371</v>
      </c>
      <c r="S31" s="23"/>
      <c r="V31" s="15">
        <f ca="1">SUM(V9:V29)</f>
        <v>44112.715200000006</v>
      </c>
      <c r="W31" s="15">
        <f ca="1">SUM(W9:W29)</f>
        <v>88515.518400000001</v>
      </c>
      <c r="X31" s="42"/>
      <c r="Y31" s="42"/>
      <c r="AA31" s="16">
        <f ca="1">+V31+W31</f>
        <v>132628.23360000001</v>
      </c>
    </row>
    <row r="32" spans="1:62" ht="19.5" hidden="1" customHeight="1" x14ac:dyDescent="0.2">
      <c r="D32" s="189"/>
      <c r="E32" s="188">
        <v>17556</v>
      </c>
      <c r="F32" s="188">
        <v>8251</v>
      </c>
      <c r="G32" s="188" t="s">
        <v>372</v>
      </c>
      <c r="H32" s="188"/>
      <c r="I32" s="188"/>
      <c r="J32" s="188"/>
      <c r="K32" s="188">
        <v>31080</v>
      </c>
      <c r="L32" s="188">
        <v>8251</v>
      </c>
      <c r="M32" s="189" t="s">
        <v>372</v>
      </c>
      <c r="N32" s="24"/>
      <c r="O32" s="24"/>
      <c r="P32" s="25"/>
      <c r="Q32" s="26"/>
      <c r="V32" s="17"/>
      <c r="W32" s="17"/>
      <c r="X32" s="17"/>
      <c r="Y32" s="17"/>
    </row>
    <row r="33" spans="4:27" ht="27.75" hidden="1" x14ac:dyDescent="0.2">
      <c r="D33" s="1091"/>
      <c r="E33" s="1091"/>
      <c r="F33" s="1091"/>
      <c r="G33" s="1091"/>
      <c r="H33" s="1091"/>
      <c r="I33" s="133"/>
      <c r="J33" s="133"/>
      <c r="K33" s="188"/>
      <c r="L33" s="188"/>
      <c r="M33" s="189"/>
      <c r="N33" s="24"/>
      <c r="O33" s="24"/>
      <c r="P33" s="25"/>
      <c r="Q33" s="26"/>
      <c r="V33" s="17"/>
      <c r="W33" s="17"/>
      <c r="X33" s="17"/>
      <c r="Y33" s="17"/>
    </row>
    <row r="34" spans="4:27" ht="15" hidden="1" customHeight="1" x14ac:dyDescent="0.2">
      <c r="D34" s="188" t="s">
        <v>373</v>
      </c>
      <c r="E34" s="188" t="s">
        <v>374</v>
      </c>
      <c r="F34" s="27"/>
      <c r="G34" s="27" t="s">
        <v>375</v>
      </c>
      <c r="H34" s="188" t="s">
        <v>376</v>
      </c>
      <c r="I34" s="188"/>
      <c r="J34" s="188"/>
      <c r="K34" s="188"/>
      <c r="L34" s="188"/>
      <c r="M34" s="189"/>
      <c r="N34" s="24"/>
      <c r="O34" s="188"/>
      <c r="P34" s="188"/>
      <c r="Q34" s="26"/>
      <c r="V34" s="17"/>
      <c r="W34" s="17"/>
      <c r="X34" s="17"/>
      <c r="Y34" s="17"/>
    </row>
    <row r="35" spans="4:27" ht="22.5" hidden="1" customHeight="1" x14ac:dyDescent="0.2">
      <c r="D35" s="28" t="s">
        <v>377</v>
      </c>
      <c r="E35" s="28" t="s">
        <v>378</v>
      </c>
      <c r="F35" s="28" t="s">
        <v>379</v>
      </c>
      <c r="G35" s="28" t="s">
        <v>380</v>
      </c>
      <c r="H35" s="29" t="s">
        <v>51</v>
      </c>
      <c r="I35" s="188"/>
      <c r="J35" s="188"/>
      <c r="K35" s="188"/>
      <c r="L35" s="188"/>
      <c r="M35" s="188"/>
      <c r="O35" s="24"/>
      <c r="Q35" s="24"/>
      <c r="V35" s="17"/>
      <c r="W35" s="17"/>
      <c r="X35" s="17"/>
      <c r="Y35" s="17"/>
    </row>
    <row r="36" spans="4:27" ht="20.25" hidden="1" customHeight="1" x14ac:dyDescent="0.2">
      <c r="D36" s="30">
        <v>0</v>
      </c>
      <c r="E36" s="30">
        <v>16000</v>
      </c>
      <c r="F36" s="30"/>
      <c r="G36" s="30">
        <v>0</v>
      </c>
      <c r="H36" s="31">
        <f>+D36+E36+G36</f>
        <v>16000</v>
      </c>
      <c r="I36" s="32"/>
      <c r="J36" s="188"/>
      <c r="K36" s="33"/>
      <c r="L36" s="34"/>
      <c r="M36" s="33"/>
      <c r="N36" s="24"/>
      <c r="O36" s="26"/>
      <c r="P36" s="26"/>
      <c r="Q36" s="26"/>
      <c r="V36" s="17"/>
      <c r="W36" s="17"/>
      <c r="X36" s="17"/>
      <c r="Y36" s="17"/>
    </row>
    <row r="37" spans="4:27" ht="21" hidden="1" customHeight="1" x14ac:dyDescent="0.2">
      <c r="D37" s="30">
        <v>166570</v>
      </c>
      <c r="E37" s="30">
        <v>206850</v>
      </c>
      <c r="F37" s="30"/>
      <c r="G37" s="30">
        <v>98230</v>
      </c>
      <c r="H37" s="31">
        <f>+D37+E37+G37</f>
        <v>471650</v>
      </c>
      <c r="I37" s="32"/>
      <c r="J37" s="188"/>
      <c r="K37" s="33"/>
      <c r="L37" s="34"/>
      <c r="M37" s="33"/>
      <c r="N37" s="24"/>
      <c r="O37" s="26"/>
      <c r="P37" s="26"/>
      <c r="Q37" s="26"/>
      <c r="V37" s="17"/>
      <c r="W37" s="17"/>
      <c r="X37" s="17"/>
      <c r="Y37" s="17"/>
    </row>
    <row r="38" spans="4:27" ht="21" hidden="1" customHeight="1" x14ac:dyDescent="0.2">
      <c r="D38" s="35">
        <v>236100</v>
      </c>
      <c r="E38" s="35">
        <v>0</v>
      </c>
      <c r="F38" s="30"/>
      <c r="G38" s="30">
        <v>15000</v>
      </c>
      <c r="H38" s="31">
        <f>+D38+E38+G38</f>
        <v>251100</v>
      </c>
      <c r="I38" s="32"/>
      <c r="J38" s="188"/>
      <c r="K38" s="34"/>
      <c r="L38" s="34"/>
      <c r="M38" s="34"/>
      <c r="N38" s="24"/>
      <c r="O38" s="26"/>
      <c r="P38" s="26"/>
      <c r="Q38" s="26"/>
      <c r="V38" s="17"/>
      <c r="W38" s="17"/>
      <c r="X38" s="17"/>
      <c r="Y38" s="17"/>
    </row>
    <row r="39" spans="4:27" ht="20.25" hidden="1" customHeight="1" collapsed="1" x14ac:dyDescent="0.2">
      <c r="D39" s="36">
        <f>SUM(D36:D38)</f>
        <v>402670</v>
      </c>
      <c r="E39" s="36">
        <f>SUM(E36:E38)</f>
        <v>222850</v>
      </c>
      <c r="F39" s="36">
        <f>SUM(F36:F38)</f>
        <v>0</v>
      </c>
      <c r="G39" s="36">
        <f>SUM(G36:G38)</f>
        <v>113230</v>
      </c>
      <c r="H39" s="37">
        <f>+D39+E39+G39</f>
        <v>738750</v>
      </c>
      <c r="I39" s="38"/>
      <c r="J39" s="188"/>
      <c r="K39" s="188"/>
      <c r="L39" s="188"/>
      <c r="M39" s="188"/>
      <c r="N39" s="24"/>
      <c r="O39" s="24"/>
      <c r="P39" s="189"/>
      <c r="Q39" s="26"/>
      <c r="V39" s="17"/>
      <c r="W39" s="17"/>
      <c r="X39" s="17"/>
      <c r="Y39" s="17"/>
    </row>
    <row r="40" spans="4:27" ht="20.25" hidden="1" customHeight="1" collapsed="1" x14ac:dyDescent="0.2">
      <c r="D40" s="36">
        <v>435000</v>
      </c>
      <c r="E40" s="36">
        <f>85000+164400</f>
        <v>249400</v>
      </c>
      <c r="F40" s="36"/>
      <c r="G40" s="36">
        <v>122000</v>
      </c>
      <c r="H40" s="31">
        <f>+D40+E40+G40</f>
        <v>806400</v>
      </c>
      <c r="I40" s="38"/>
      <c r="J40" s="188"/>
      <c r="K40" s="188"/>
      <c r="L40" s="188"/>
      <c r="M40" s="190"/>
      <c r="N40" s="190"/>
      <c r="O40" s="190"/>
      <c r="P40" s="189"/>
      <c r="Q40" s="188"/>
      <c r="V40" s="17"/>
      <c r="W40" s="17"/>
      <c r="X40" s="17"/>
      <c r="Y40" s="17"/>
    </row>
    <row r="41" spans="4:27" ht="12.75" customHeight="1" x14ac:dyDescent="0.2">
      <c r="D41" s="189"/>
      <c r="F41" s="188"/>
      <c r="G41" s="20" t="s">
        <v>368</v>
      </c>
      <c r="H41" s="21"/>
      <c r="I41" s="188"/>
      <c r="J41" s="39"/>
      <c r="K41" s="40"/>
      <c r="L41" s="40"/>
      <c r="M41" s="21" t="s">
        <v>381</v>
      </c>
      <c r="N41" s="22"/>
      <c r="O41" s="41"/>
      <c r="V41" s="42">
        <f ca="1">+R45-V31</f>
        <v>-23448.715200000006</v>
      </c>
      <c r="W41" s="42">
        <f ca="1">+R47-W31</f>
        <v>-88515.518400000001</v>
      </c>
      <c r="X41" s="42"/>
      <c r="Y41" s="42"/>
    </row>
    <row r="42" spans="4:27" ht="25.5" customHeight="1" x14ac:dyDescent="0.2">
      <c r="D42" s="133"/>
      <c r="E42" s="1091" t="s">
        <v>382</v>
      </c>
      <c r="F42" s="1091"/>
      <c r="G42" s="1091"/>
      <c r="H42" s="1091"/>
      <c r="I42" s="1091"/>
      <c r="J42" s="1091"/>
      <c r="K42" s="1091"/>
      <c r="L42" s="1091"/>
      <c r="M42" s="1091"/>
      <c r="N42" s="1091"/>
      <c r="O42" s="1091"/>
      <c r="P42" s="1091"/>
      <c r="Q42" s="41"/>
      <c r="AA42" s="18">
        <f ca="1">+AA31-R48</f>
        <v>111964.23360000001</v>
      </c>
    </row>
    <row r="43" spans="4:27" ht="15" x14ac:dyDescent="0.2">
      <c r="F43" s="27"/>
      <c r="G43" s="20" t="s">
        <v>11</v>
      </c>
      <c r="H43" s="20" t="s">
        <v>22</v>
      </c>
      <c r="I43" s="20"/>
      <c r="J43" s="39" t="s">
        <v>29</v>
      </c>
      <c r="K43" s="20" t="s">
        <v>26</v>
      </c>
      <c r="L43" s="20"/>
      <c r="M43" s="20" t="s">
        <v>28</v>
      </c>
      <c r="N43" s="20" t="s">
        <v>383</v>
      </c>
      <c r="O43" s="20"/>
      <c r="P43" s="20" t="s">
        <v>25</v>
      </c>
    </row>
    <row r="44" spans="4:27" ht="48.75" customHeight="1" x14ac:dyDescent="0.2">
      <c r="F44" s="28" t="s">
        <v>379</v>
      </c>
      <c r="G44" s="43" t="s">
        <v>377</v>
      </c>
      <c r="H44" s="44" t="s">
        <v>384</v>
      </c>
      <c r="I44" s="45"/>
      <c r="J44" s="44" t="s">
        <v>385</v>
      </c>
      <c r="K44" s="44" t="s">
        <v>386</v>
      </c>
      <c r="L44" s="191"/>
      <c r="M44" s="44" t="s">
        <v>387</v>
      </c>
      <c r="N44" s="44" t="s">
        <v>388</v>
      </c>
      <c r="O44" s="45"/>
      <c r="P44" s="44" t="s">
        <v>389</v>
      </c>
      <c r="R44" s="43" t="s">
        <v>51</v>
      </c>
      <c r="T44"/>
      <c r="U44"/>
      <c r="W44" s="10">
        <v>6006</v>
      </c>
      <c r="X44" s="10">
        <v>5788</v>
      </c>
      <c r="Y44" s="10">
        <f>W44-X44</f>
        <v>218</v>
      </c>
    </row>
    <row r="45" spans="4:27" ht="21.75" customHeight="1" x14ac:dyDescent="0.2">
      <c r="E45" s="192" t="s">
        <v>4</v>
      </c>
      <c r="F45" s="46"/>
      <c r="G45" s="46">
        <f>SUMIF(G9:G29,G41,E9:E29)+SUMIF(J9:J29,G41,H9:H29)+SUMIF(G9:G29,G43,E9:E29)+SUMIF(J9:J29,G43,H9:H29)</f>
        <v>0</v>
      </c>
      <c r="H45" s="46">
        <f>+SUMIF(G9:G29,H41,E9:E29)+SUMIF(J9:J29,H41,H9:H29)++SUMIF(G9:G29,H31,E9:E29)+SUMIF(J9:J29,H31,H9:H29)</f>
        <v>20664</v>
      </c>
      <c r="I45" s="46">
        <f>+SUMIF(G9:G29,I41,E9:E29)+SUMIF(J9:J29,I41,H9:H29)++SUMIF(G9:G29,I31,E9:E29)+SUMIF(J9:J29,I31,H9:H29)</f>
        <v>0</v>
      </c>
      <c r="J45" s="46">
        <f>+SUMIF(G9:G29,J41,E9:E29)+SUMIF(J9:J29,J41,H9:H29)++SUMIF(G9:G29,J31,E9:E29)+SUMIF(J9:J29,J31,H9:H29)</f>
        <v>0</v>
      </c>
      <c r="K45" s="46">
        <f>SUMIF(G9:G29,K43,E9:E29)+SUMIF(J9:J29,K43,H9:H29)</f>
        <v>0</v>
      </c>
      <c r="L45" s="188"/>
      <c r="M45" s="46">
        <f>SUMIF(G9:G29,M43,E9:E29)+SUMIF(J9:J29,M43,H9:H29)+SUMIF(G9:G29,M41,E9:E29)+SUMIF(J9:J29,M41,H9:H29)</f>
        <v>0</v>
      </c>
      <c r="N45" s="46">
        <f>SUMIF(G9:G29,N43,E9:E29)+SUMIF(J9:J29,N43,H9:H29)</f>
        <v>0</v>
      </c>
      <c r="O45" s="47"/>
      <c r="P45" s="46">
        <f>SUMIF(G9:G29,P43,E9:E29)+SUMIF(J9:J29,P43,H9:H29)</f>
        <v>0</v>
      </c>
      <c r="Q45" s="48"/>
      <c r="R45" s="46">
        <f>+G45+H45+J45+K45+M45+N45+P45</f>
        <v>20664</v>
      </c>
      <c r="T45"/>
      <c r="U45"/>
    </row>
    <row r="46" spans="4:27" ht="21.75" customHeight="1" x14ac:dyDescent="0.2">
      <c r="E46" s="192" t="s">
        <v>390</v>
      </c>
      <c r="F46" s="46"/>
      <c r="G46" s="46"/>
      <c r="H46" s="46"/>
      <c r="I46" s="46"/>
      <c r="J46" s="46"/>
      <c r="K46" s="46"/>
      <c r="L46" s="188"/>
      <c r="M46" s="46"/>
      <c r="N46" s="46"/>
      <c r="O46" s="47"/>
      <c r="P46" s="46"/>
      <c r="Q46" s="48"/>
      <c r="R46" s="46">
        <f>+G46+H46+J46+K46+M46+N46+P46</f>
        <v>0</v>
      </c>
      <c r="T46"/>
      <c r="U46"/>
    </row>
    <row r="47" spans="4:27" ht="21.75" customHeight="1" x14ac:dyDescent="0.2">
      <c r="E47" s="192" t="s">
        <v>5</v>
      </c>
      <c r="F47" s="46"/>
      <c r="G47" s="49">
        <f>SUMIF(M9:M29,G43,K9:K29)+SUMIF(P9:P29,G43,N9:N29)+SUMIF(M9:M29,G31,K9:K29)+SUMIF(P9:P29,G31,N9:N29)</f>
        <v>0</v>
      </c>
      <c r="H47" s="49">
        <f>SUMIF(M9:M29,H43,K9:K29)+SUMIF(P9:P29,H43,N9:N29)+SUMIF(M9:M29,H31,K9:K29)+SUMIF(P9:P29,H31,N9:N29)</f>
        <v>0</v>
      </c>
      <c r="I47" s="49">
        <f>SUMIF(N9:N29,I43,L9:L29)+SUMIF(Q9:Q29,I43,O9:O29)+SUMIF(N9:N29,I31,L9:L29)+SUMIF(Q9:Q29,I31,O9:O29)</f>
        <v>0</v>
      </c>
      <c r="J47" s="49">
        <f>SUMIF(M9:M29,J43,K9:K29)+SUMIF(P9:P29,J43,N9:N29)+SUMIF(M9:M29,J31,K9:K29)+SUMIF(P9:P29,J31,N9:N29)</f>
        <v>0</v>
      </c>
      <c r="K47" s="46">
        <f>SUMIF(M9:M29,K43,K9:K29)+SUMIF(P9:P29,K43,N9:N29)+SUMIF(M9:M29,K31,K9:K29)+SUMIF(P9:P29,K31,N9:N29)</f>
        <v>0</v>
      </c>
      <c r="L47" s="46">
        <f>SUMIF(N9:N29,L43,L9:L29)+SUMIF(Q9:Q29,L43,O9:O29)+SUMIF(N9:N29,L31,L9:L29)+SUMIF(Q9:Q29,L31,O9:O29)</f>
        <v>0</v>
      </c>
      <c r="M47" s="46">
        <f>SUMIF(M9:M29,M43,K9:K29)+SUMIF(P9:P29,M43,N9:N29)+SUMIF(M9:M29,M31,K9:K29)+SUMIF(P9:P29,M31,N9:N29)</f>
        <v>0</v>
      </c>
      <c r="N47" s="46">
        <f>SUMIF(M9:M29,N43,K9:K29)+SUMIF(P9:P29,N43,N9:N29)+SUMIF(M9:M29,N31,K9:K29)+SUMIF(P9:P29,N31,N9:N29)</f>
        <v>0</v>
      </c>
      <c r="O47" s="47"/>
      <c r="P47" s="46">
        <f>SUMIF(M9:M29,P43,K9:K29)+SUMIF(P9:P29,P43,N9:N29)+SUMIF(M9:M29,P31,K9:K29)+SUMIF(P9:P29,P31,N9:N29)</f>
        <v>0</v>
      </c>
      <c r="Q47" s="48"/>
      <c r="R47" s="46">
        <f>+G47+H47+J47+K47+M47+N47+P47</f>
        <v>0</v>
      </c>
      <c r="T47"/>
      <c r="U47"/>
    </row>
    <row r="48" spans="4:27" ht="21.75" customHeight="1" x14ac:dyDescent="0.2">
      <c r="E48" s="50" t="s">
        <v>391</v>
      </c>
      <c r="F48" s="36">
        <f>SUM(F45:F47)</f>
        <v>0</v>
      </c>
      <c r="G48" s="36">
        <f>SUM(G45:G47)</f>
        <v>0</v>
      </c>
      <c r="H48" s="36">
        <f>SUM(H45:H47)</f>
        <v>20664</v>
      </c>
      <c r="I48" s="38"/>
      <c r="J48" s="36">
        <f>SUM(J45:J47)</f>
        <v>0</v>
      </c>
      <c r="K48" s="36">
        <f>SUM(K45:K47)</f>
        <v>0</v>
      </c>
      <c r="L48" s="188"/>
      <c r="M48" s="36">
        <f>SUM(M45:M47)</f>
        <v>0</v>
      </c>
      <c r="N48" s="36">
        <f>SUM(N45:N47)</f>
        <v>0</v>
      </c>
      <c r="P48" s="36">
        <f>SUM(P45:P47)</f>
        <v>0</v>
      </c>
      <c r="R48" s="36">
        <f>+G48+H48+J48+K48+M48+N48+P48</f>
        <v>20664</v>
      </c>
      <c r="T48"/>
      <c r="U48"/>
      <c r="V48" s="18"/>
    </row>
    <row r="49" spans="1:21" ht="24" customHeight="1" x14ac:dyDescent="0.2">
      <c r="E49" s="51" t="s">
        <v>39</v>
      </c>
      <c r="F49" s="52">
        <f>SUM(F46:F48)</f>
        <v>0</v>
      </c>
      <c r="G49" s="52">
        <f>+G48/(1/12/0.65*100)</f>
        <v>0</v>
      </c>
      <c r="H49" s="52">
        <f>+H48/(1/12/0.62*100)</f>
        <v>1537.4016000000001</v>
      </c>
      <c r="I49" s="188"/>
      <c r="J49" s="52">
        <f>+J48/(1/12/0.62*100)</f>
        <v>0</v>
      </c>
      <c r="K49" s="52">
        <f>+K48/(1/12/0.62*100)</f>
        <v>0</v>
      </c>
      <c r="L49" s="188"/>
      <c r="M49" s="52">
        <f>+M48/(1/12/1*100)</f>
        <v>0</v>
      </c>
      <c r="N49" s="52">
        <f>+N48/(1/12/0.63*100)</f>
        <v>0</v>
      </c>
      <c r="P49" s="52">
        <f>+P48/(1/12/1*100)</f>
        <v>0</v>
      </c>
      <c r="R49" s="52">
        <f>+G49+H49+J49+K49+M49+N49+P49</f>
        <v>1537.4016000000001</v>
      </c>
      <c r="T49"/>
      <c r="U49"/>
    </row>
    <row r="50" spans="1:21" ht="7.5" customHeight="1" x14ac:dyDescent="0.2">
      <c r="D50" s="189"/>
      <c r="E50" s="188"/>
      <c r="F50" s="188"/>
      <c r="G50" s="188"/>
      <c r="H50" s="189"/>
      <c r="I50" s="188"/>
      <c r="J50" s="188"/>
      <c r="K50" s="188"/>
      <c r="L50" s="188"/>
      <c r="M50" s="188"/>
      <c r="N50" s="24"/>
      <c r="R50" s="18"/>
    </row>
    <row r="51" spans="1:21" ht="25.5" hidden="1" x14ac:dyDescent="0.2">
      <c r="D51" s="1092">
        <f>+G48-D39</f>
        <v>-402670</v>
      </c>
      <c r="E51" s="1092">
        <f>+H48-E39</f>
        <v>-202186</v>
      </c>
      <c r="F51" s="53"/>
      <c r="G51" s="1092">
        <f>+J48-G39</f>
        <v>-113230</v>
      </c>
      <c r="H51" s="1092"/>
      <c r="I51" s="54"/>
      <c r="J51" s="188"/>
      <c r="K51" s="188"/>
      <c r="L51" s="188"/>
      <c r="M51" s="189"/>
      <c r="N51" s="18"/>
    </row>
    <row r="52" spans="1:21" ht="25.5" hidden="1" x14ac:dyDescent="0.2">
      <c r="D52" s="1093"/>
      <c r="E52" s="1093"/>
      <c r="F52" s="53"/>
      <c r="G52" s="1093"/>
      <c r="H52" s="1093"/>
      <c r="I52" s="54"/>
      <c r="J52" s="188"/>
      <c r="K52" s="188"/>
      <c r="L52" s="188"/>
      <c r="M52" s="193"/>
      <c r="N52" s="55"/>
    </row>
    <row r="53" spans="1:21" hidden="1" x14ac:dyDescent="0.2">
      <c r="D53" s="189"/>
      <c r="E53" s="189"/>
      <c r="F53" s="188"/>
      <c r="G53" s="188"/>
      <c r="H53" s="188"/>
      <c r="I53" s="188"/>
      <c r="J53" s="188"/>
      <c r="K53" s="188"/>
      <c r="L53" s="188"/>
      <c r="M53" s="188"/>
      <c r="N53" s="55"/>
    </row>
    <row r="54" spans="1:21" ht="25.5" hidden="1" x14ac:dyDescent="0.2">
      <c r="D54" s="1089">
        <f>+G48-D40</f>
        <v>-435000</v>
      </c>
      <c r="E54" s="1089">
        <f>+H48-E40</f>
        <v>-228736</v>
      </c>
      <c r="F54" s="54"/>
      <c r="G54" s="1089"/>
      <c r="H54" s="1089"/>
      <c r="I54" s="54"/>
      <c r="J54" s="188"/>
      <c r="K54" s="188"/>
      <c r="L54" s="188"/>
      <c r="M54" s="188"/>
    </row>
    <row r="55" spans="1:21" ht="25.5" hidden="1" x14ac:dyDescent="0.2">
      <c r="D55" s="1090"/>
      <c r="E55" s="1090"/>
      <c r="F55" s="54"/>
      <c r="G55" s="1090"/>
      <c r="H55" s="1090"/>
      <c r="I55" s="54"/>
      <c r="J55" s="188"/>
      <c r="K55" s="188"/>
      <c r="L55" s="188"/>
      <c r="M55" s="188"/>
    </row>
    <row r="56" spans="1:21" ht="27.75" hidden="1" customHeight="1" x14ac:dyDescent="0.2">
      <c r="D56" s="56">
        <f>457600/12.8205</f>
        <v>35692.835692835695</v>
      </c>
      <c r="E56" s="56">
        <f>(84000+155000)/13.44</f>
        <v>17782.738095238095</v>
      </c>
      <c r="F56" s="56">
        <f>SUM(F53:F55)</f>
        <v>0</v>
      </c>
      <c r="G56" s="56"/>
      <c r="H56" s="56"/>
      <c r="I56" s="194"/>
      <c r="J56" s="56">
        <f>+J55/12.8205</f>
        <v>0</v>
      </c>
      <c r="K56" s="56">
        <f>+K55/13.2275</f>
        <v>0</v>
      </c>
      <c r="L56" s="195"/>
      <c r="M56" s="56"/>
    </row>
    <row r="57" spans="1:21" ht="12.75" hidden="1" customHeight="1" x14ac:dyDescent="0.2">
      <c r="D57" s="188"/>
      <c r="E57" s="188"/>
      <c r="F57" s="188"/>
      <c r="G57" s="188"/>
      <c r="H57" s="188"/>
      <c r="I57" s="188"/>
      <c r="J57" s="188"/>
      <c r="K57" s="188"/>
      <c r="L57" s="188"/>
      <c r="M57" s="193"/>
    </row>
    <row r="58" spans="1:21" ht="30.75" hidden="1" customHeight="1" x14ac:dyDescent="0.2">
      <c r="D58" s="57">
        <f>+G49-D56</f>
        <v>-35692.835692835695</v>
      </c>
      <c r="E58" s="57">
        <f>+H49-E56</f>
        <v>-16245.336495238094</v>
      </c>
      <c r="F58" s="57">
        <f>+F49-F56</f>
        <v>0</v>
      </c>
      <c r="G58" s="57"/>
      <c r="H58" s="57"/>
      <c r="I58" s="57">
        <f>+I49-I56</f>
        <v>0</v>
      </c>
      <c r="J58" s="57">
        <f>+M49-J56</f>
        <v>0</v>
      </c>
      <c r="K58" s="57">
        <f>+N49-K56</f>
        <v>0</v>
      </c>
      <c r="L58" s="57">
        <f>+L49-L56</f>
        <v>0</v>
      </c>
      <c r="M58" s="58"/>
    </row>
    <row r="59" spans="1:21" x14ac:dyDescent="0.2">
      <c r="D59" s="188"/>
      <c r="E59" s="188"/>
      <c r="F59" s="188"/>
      <c r="G59" s="189"/>
      <c r="H59" s="189"/>
      <c r="I59" s="188"/>
      <c r="J59" s="188"/>
      <c r="K59" s="188"/>
      <c r="L59" s="188"/>
      <c r="M59" s="189"/>
    </row>
    <row r="60" spans="1:21" s="60" customFormat="1" ht="15" x14ac:dyDescent="0.2">
      <c r="A60" s="59"/>
      <c r="B60" s="59"/>
      <c r="C60" s="59"/>
      <c r="E60" s="61" t="s">
        <v>392</v>
      </c>
      <c r="F60" s="61"/>
      <c r="G60" s="62">
        <v>388710</v>
      </c>
      <c r="H60" s="62">
        <v>57000</v>
      </c>
      <c r="I60" s="196"/>
      <c r="J60" s="62">
        <v>0</v>
      </c>
      <c r="K60" s="62">
        <v>0</v>
      </c>
      <c r="L60" s="61"/>
      <c r="M60" s="62">
        <v>0</v>
      </c>
      <c r="N60" s="62">
        <v>0</v>
      </c>
      <c r="O60" s="61"/>
      <c r="P60" s="62">
        <v>0</v>
      </c>
      <c r="Q60" s="61"/>
      <c r="R60" s="62">
        <v>40237.800000000003</v>
      </c>
      <c r="S60" s="63"/>
    </row>
    <row r="61" spans="1:21" s="60" customFormat="1" ht="15" x14ac:dyDescent="0.2">
      <c r="A61" s="59"/>
      <c r="B61" s="59"/>
      <c r="C61" s="59"/>
      <c r="E61" s="61" t="s">
        <v>393</v>
      </c>
      <c r="F61" s="61"/>
      <c r="G61" s="62">
        <f>G48-G60</f>
        <v>-388710</v>
      </c>
      <c r="H61" s="62">
        <f>H48-H60</f>
        <v>-36336</v>
      </c>
      <c r="I61" s="61"/>
      <c r="J61" s="62"/>
      <c r="K61" s="62"/>
      <c r="L61" s="61"/>
      <c r="M61" s="62"/>
      <c r="N61" s="62">
        <f>N48-N60</f>
        <v>0</v>
      </c>
      <c r="O61" s="61"/>
      <c r="P61" s="62"/>
      <c r="Q61" s="61"/>
      <c r="R61" s="62">
        <f>R49-R60</f>
        <v>-38700.398400000005</v>
      </c>
    </row>
    <row r="62" spans="1:21" s="60" customFormat="1" x14ac:dyDescent="0.2">
      <c r="A62" s="59"/>
      <c r="B62" s="59"/>
      <c r="C62" s="59"/>
      <c r="H62" s="63"/>
    </row>
    <row r="63" spans="1:21" s="60" customFormat="1" x14ac:dyDescent="0.2">
      <c r="A63" s="59"/>
      <c r="B63" s="59"/>
      <c r="C63" s="59"/>
      <c r="G63" s="63"/>
      <c r="H63" s="63"/>
      <c r="P63" s="63"/>
      <c r="R63" s="197"/>
    </row>
    <row r="64" spans="1:21" s="60" customFormat="1" x14ac:dyDescent="0.2">
      <c r="A64" s="59"/>
      <c r="B64" s="59"/>
      <c r="C64" s="59"/>
      <c r="G64" s="63"/>
      <c r="J64" s="63"/>
      <c r="K64" s="63"/>
    </row>
    <row r="65" spans="1:18" s="60" customFormat="1" x14ac:dyDescent="0.2">
      <c r="A65" s="59"/>
      <c r="B65" s="59"/>
      <c r="C65" s="59"/>
      <c r="G65" s="63"/>
      <c r="R65" s="63"/>
    </row>
    <row r="66" spans="1:18" s="60" customFormat="1" x14ac:dyDescent="0.2">
      <c r="A66" s="59"/>
      <c r="B66" s="59"/>
      <c r="C66" s="59"/>
      <c r="G66" s="63"/>
      <c r="H66" s="63"/>
      <c r="R66" s="63"/>
    </row>
    <row r="67" spans="1:18" s="60" customFormat="1" x14ac:dyDescent="0.2">
      <c r="A67" s="59"/>
      <c r="B67" s="59"/>
      <c r="C67" s="59"/>
      <c r="G67" s="63"/>
      <c r="H67" s="63"/>
      <c r="R67" s="197"/>
    </row>
    <row r="68" spans="1:18" s="60" customFormat="1" x14ac:dyDescent="0.2">
      <c r="A68" s="59"/>
      <c r="B68" s="59"/>
      <c r="C68" s="59"/>
      <c r="G68" s="63"/>
    </row>
    <row r="70" spans="1:18" x14ac:dyDescent="0.2">
      <c r="E70" s="188"/>
      <c r="G70" s="18"/>
    </row>
    <row r="96" spans="5:5" x14ac:dyDescent="0.2">
      <c r="E96" s="188" t="s">
        <v>75</v>
      </c>
    </row>
    <row r="97" spans="5:18" x14ac:dyDescent="0.2">
      <c r="E97" s="188" t="s">
        <v>9</v>
      </c>
      <c r="G97" s="10">
        <f t="shared" ref="G97:P97" si="19">+G45*12</f>
        <v>0</v>
      </c>
      <c r="H97" s="10">
        <f t="shared" si="19"/>
        <v>247968</v>
      </c>
      <c r="I97" s="10">
        <f t="shared" si="19"/>
        <v>0</v>
      </c>
      <c r="J97" s="10">
        <f t="shared" si="19"/>
        <v>0</v>
      </c>
      <c r="K97" s="10">
        <f t="shared" si="19"/>
        <v>0</v>
      </c>
      <c r="L97" s="10">
        <f t="shared" si="19"/>
        <v>0</v>
      </c>
      <c r="M97" s="10">
        <f t="shared" si="19"/>
        <v>0</v>
      </c>
      <c r="N97" s="10">
        <f t="shared" si="19"/>
        <v>0</v>
      </c>
      <c r="O97" s="10">
        <f t="shared" si="19"/>
        <v>0</v>
      </c>
      <c r="P97" s="10">
        <f t="shared" si="19"/>
        <v>0</v>
      </c>
      <c r="R97" s="10">
        <f>SUM(G97:P97)</f>
        <v>247968</v>
      </c>
    </row>
    <row r="98" spans="5:18" x14ac:dyDescent="0.2">
      <c r="E98" s="188" t="s">
        <v>27</v>
      </c>
      <c r="G98" s="10">
        <f t="shared" ref="G98:P98" si="20">+G47*12</f>
        <v>0</v>
      </c>
      <c r="H98" s="10">
        <f t="shared" si="20"/>
        <v>0</v>
      </c>
      <c r="I98" s="10">
        <f t="shared" si="20"/>
        <v>0</v>
      </c>
      <c r="J98" s="10">
        <f t="shared" si="20"/>
        <v>0</v>
      </c>
      <c r="K98" s="10">
        <f t="shared" si="20"/>
        <v>0</v>
      </c>
      <c r="L98" s="10">
        <f t="shared" si="20"/>
        <v>0</v>
      </c>
      <c r="M98" s="10">
        <f t="shared" si="20"/>
        <v>0</v>
      </c>
      <c r="N98" s="10">
        <f t="shared" si="20"/>
        <v>0</v>
      </c>
      <c r="O98" s="10">
        <f t="shared" si="20"/>
        <v>0</v>
      </c>
      <c r="P98" s="10">
        <f t="shared" si="20"/>
        <v>0</v>
      </c>
      <c r="R98" s="10">
        <f>SUM(G98:P98)</f>
        <v>0</v>
      </c>
    </row>
    <row r="99" spans="5:18" x14ac:dyDescent="0.2">
      <c r="R99" s="10">
        <f>+R97+R98</f>
        <v>247968</v>
      </c>
    </row>
    <row r="100" spans="5:18" x14ac:dyDescent="0.2">
      <c r="R100" s="18">
        <v>-6276000</v>
      </c>
    </row>
  </sheetData>
  <mergeCells count="22">
    <mergeCell ref="D54:D55"/>
    <mergeCell ref="E54:E55"/>
    <mergeCell ref="G54:G55"/>
    <mergeCell ref="H54:H55"/>
    <mergeCell ref="D33:H33"/>
    <mergeCell ref="E42:P42"/>
    <mergeCell ref="D51:D52"/>
    <mergeCell ref="E51:E52"/>
    <mergeCell ref="G51:G52"/>
    <mergeCell ref="H51:H52"/>
    <mergeCell ref="AG27:AG29"/>
    <mergeCell ref="B1:P1"/>
    <mergeCell ref="B7:B8"/>
    <mergeCell ref="C7:C8"/>
    <mergeCell ref="E7:J7"/>
    <mergeCell ref="K7:P7"/>
    <mergeCell ref="AG9:AG11"/>
    <mergeCell ref="AG12:AG14"/>
    <mergeCell ref="AG15:AG17"/>
    <mergeCell ref="AG18:AG20"/>
    <mergeCell ref="AG21:AG23"/>
    <mergeCell ref="AG24:AG26"/>
  </mergeCells>
  <dataValidations count="2">
    <dataValidation type="list" allowBlank="1" showInputMessage="1" showErrorMessage="1" sqref="Q9 Q17 Q20" xr:uid="{97E98D16-1774-4AD3-93B2-914498A376F3}">
      <formula1>$AL$9:$AL$19</formula1>
    </dataValidation>
    <dataValidation type="list" allowBlank="1" showInputMessage="1" showErrorMessage="1" sqref="Q21:Q29 Q10:Q16 Q18:Q19" xr:uid="{AD11074F-4254-40B9-ADDF-3EF2D06C0889}">
      <formula1>$AL$9:$AL$16</formula1>
    </dataValidation>
  </dataValidations>
  <hyperlinks>
    <hyperlink ref="H39" r:id="rId1" display="JORGEMEDINA24@HOTMAIL.COM" xr:uid="{EC46AB7F-2412-4B5A-A5F2-240EBE00CA25}"/>
  </hyperlinks>
  <pageMargins left="0.7" right="0.7" top="0.75" bottom="0.75" header="0.3" footer="0.3"/>
  <pageSetup orientation="portrait"/>
  <drawing r:id="rId2"/>
  <legacyDrawing r:id="rId3"/>
  <tableParts count="1"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7008-B7C7-4F1B-9C56-67D7E25ADA6E}">
  <sheetPr>
    <tabColor rgb="FF66FF66"/>
  </sheetPr>
  <dimension ref="A1:BV201"/>
  <sheetViews>
    <sheetView showGridLines="0" topLeftCell="C1" zoomScale="50" zoomScaleNormal="50" workbookViewId="0">
      <pane ySplit="5" topLeftCell="A138" activePane="bottomLeft" state="frozen"/>
      <selection activeCell="D1" sqref="D1"/>
      <selection pane="bottomLeft" activeCell="D1" sqref="D1"/>
    </sheetView>
  </sheetViews>
  <sheetFormatPr baseColWidth="10" defaultColWidth="11.42578125" defaultRowHeight="12.75" customHeight="1" x14ac:dyDescent="0.2"/>
  <cols>
    <col min="1" max="1" width="1.5703125" style="9" customWidth="1"/>
    <col min="2" max="2" width="14.28515625" style="9" bestFit="1" customWidth="1"/>
    <col min="3" max="3" width="2.5703125" style="9" bestFit="1" customWidth="1"/>
    <col min="4" max="4" width="20.28515625" style="10" customWidth="1"/>
    <col min="5" max="5" width="11.42578125" style="10" customWidth="1"/>
    <col min="6" max="6" width="7" style="10" bestFit="1" customWidth="1"/>
    <col min="7" max="8" width="15.5703125" style="10" customWidth="1"/>
    <col min="9" max="9" width="17.7109375" style="10" bestFit="1" customWidth="1"/>
    <col min="10" max="10" width="69.28515625" style="10" customWidth="1"/>
    <col min="11" max="11" width="72.7109375" style="10" customWidth="1"/>
    <col min="12" max="12" width="33.140625" style="10" customWidth="1"/>
    <col min="13" max="13" width="2.5703125" style="10" bestFit="1" customWidth="1"/>
    <col min="14" max="14" width="18.140625" style="10" customWidth="1"/>
    <col min="15" max="15" width="9.140625" style="10" bestFit="1" customWidth="1"/>
    <col min="16" max="16" width="7.7109375" style="10" bestFit="1" customWidth="1"/>
    <col min="17" max="17" width="18.28515625" style="10" customWidth="1"/>
    <col min="18" max="18" width="16.42578125" style="10" bestFit="1" customWidth="1"/>
    <col min="19" max="19" width="17.7109375" style="10" bestFit="1" customWidth="1"/>
    <col min="20" max="20" width="63.28515625" style="10" customWidth="1"/>
    <col min="21" max="21" width="68.140625" style="10" customWidth="1"/>
    <col min="22" max="22" width="51.7109375" style="10" customWidth="1"/>
    <col min="23" max="23" width="5.42578125" style="10" customWidth="1"/>
    <col min="24" max="24" width="13.5703125" style="10" customWidth="1"/>
    <col min="25" max="25" width="7.5703125" style="10" bestFit="1" customWidth="1"/>
    <col min="26" max="26" width="19.7109375" style="10" bestFit="1" customWidth="1"/>
    <col min="27" max="28" width="9.140625" style="10" bestFit="1" customWidth="1"/>
    <col min="29" max="29" width="22.140625" style="10" bestFit="1" customWidth="1"/>
    <col min="30" max="30" width="20.28515625" style="10" bestFit="1" customWidth="1"/>
    <col min="31" max="31" width="37.140625" style="10" bestFit="1" customWidth="1"/>
    <col min="32" max="32" width="5.7109375" style="10" customWidth="1" collapsed="1"/>
    <col min="33" max="33" width="11.5703125" style="10" bestFit="1" customWidth="1"/>
    <col min="34" max="34" width="7.7109375" style="10" bestFit="1" customWidth="1"/>
    <col min="35" max="35" width="9.140625" style="10" bestFit="1" customWidth="1"/>
    <col min="36" max="36" width="7.5703125" style="10" bestFit="1" customWidth="1"/>
    <col min="37" max="37" width="13.140625" style="10" bestFit="1" customWidth="1"/>
    <col min="38" max="38" width="14.28515625" style="10" bestFit="1" customWidth="1"/>
    <col min="39" max="44" width="9.5703125" style="10" bestFit="1" customWidth="1"/>
    <col min="45" max="45" width="12.28515625" style="10" bestFit="1" customWidth="1"/>
    <col min="46" max="46" width="9.140625" style="10" bestFit="1" customWidth="1"/>
    <col min="47" max="47" width="7" style="10" bestFit="1" customWidth="1"/>
    <col min="48" max="48" width="13.140625" style="10" bestFit="1" customWidth="1"/>
    <col min="49" max="49" width="14.28515625" style="10" bestFit="1" customWidth="1"/>
    <col min="50" max="55" width="9.5703125" style="10" bestFit="1" customWidth="1"/>
    <col min="56" max="56" width="12.28515625" style="10" bestFit="1" customWidth="1"/>
    <col min="57" max="74" width="11.42578125" style="10"/>
  </cols>
  <sheetData>
    <row r="1" spans="1:74" ht="19.5" hidden="1" customHeight="1" x14ac:dyDescent="0.2">
      <c r="A1" s="1"/>
      <c r="B1" s="996" t="s">
        <v>0</v>
      </c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996"/>
      <c r="R1" s="996"/>
      <c r="S1" s="996"/>
      <c r="T1" s="996"/>
      <c r="U1" s="132"/>
      <c r="V1" s="132"/>
      <c r="W1" s="2"/>
      <c r="X1" s="3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 spans="1:74" ht="21.75" hidden="1" customHeight="1" x14ac:dyDescent="0.2">
      <c r="A2" s="1"/>
      <c r="B2" s="7"/>
      <c r="C2" s="7"/>
      <c r="D2" s="7"/>
      <c r="E2" s="7"/>
      <c r="F2" s="7"/>
      <c r="G2" s="7"/>
      <c r="H2" s="132" t="s">
        <v>1</v>
      </c>
      <c r="I2" s="7" t="s">
        <v>284</v>
      </c>
      <c r="J2" s="8"/>
      <c r="K2" s="8"/>
      <c r="L2" s="8"/>
      <c r="M2" s="8"/>
      <c r="N2" s="8"/>
      <c r="O2" s="4"/>
      <c r="P2" s="7"/>
      <c r="Q2" s="7"/>
      <c r="R2" s="7"/>
      <c r="S2" s="7"/>
      <c r="T2" s="7"/>
      <c r="U2" s="7"/>
      <c r="V2" s="7"/>
      <c r="W2" s="2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</row>
    <row r="3" spans="1:74" hidden="1" x14ac:dyDescent="0.2">
      <c r="B3" s="352" t="s">
        <v>2</v>
      </c>
      <c r="C3" s="353" t="s">
        <v>3</v>
      </c>
      <c r="D3" s="353">
        <v>2</v>
      </c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  <c r="S3" s="353">
        <v>3</v>
      </c>
      <c r="T3" s="354">
        <v>3</v>
      </c>
      <c r="U3" s="672"/>
      <c r="V3" s="672"/>
    </row>
    <row r="4" spans="1:74" s="474" customFormat="1" ht="15" customHeight="1" x14ac:dyDescent="0.3">
      <c r="A4" s="434"/>
      <c r="B4" s="1071" t="s">
        <v>2</v>
      </c>
      <c r="C4" s="1073" t="s">
        <v>3</v>
      </c>
      <c r="D4" s="381"/>
      <c r="E4" s="1006" t="s">
        <v>4</v>
      </c>
      <c r="F4" s="1006"/>
      <c r="G4" s="1006"/>
      <c r="H4" s="1006"/>
      <c r="I4" s="1006"/>
      <c r="J4" s="1006"/>
      <c r="K4" s="809"/>
      <c r="L4" s="809"/>
      <c r="M4" s="1075" t="s">
        <v>3</v>
      </c>
      <c r="N4" s="382"/>
      <c r="O4" s="1006" t="s">
        <v>5</v>
      </c>
      <c r="P4" s="1006"/>
      <c r="Q4" s="1006"/>
      <c r="R4" s="1006"/>
      <c r="S4" s="1006"/>
      <c r="T4" s="1077"/>
      <c r="U4" s="853"/>
      <c r="V4" s="854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  <c r="BT4" s="435"/>
      <c r="BU4" s="435"/>
      <c r="BV4" s="435"/>
    </row>
    <row r="5" spans="1:74" s="474" customFormat="1" ht="18.75" x14ac:dyDescent="0.3">
      <c r="A5" s="434"/>
      <c r="B5" s="1072"/>
      <c r="C5" s="1074"/>
      <c r="D5" s="379" t="s">
        <v>89</v>
      </c>
      <c r="E5" s="378" t="s">
        <v>6</v>
      </c>
      <c r="F5" s="380" t="s">
        <v>7</v>
      </c>
      <c r="G5" s="378" t="s">
        <v>8</v>
      </c>
      <c r="H5" s="378" t="s">
        <v>6</v>
      </c>
      <c r="I5" s="378" t="s">
        <v>90</v>
      </c>
      <c r="J5" s="862" t="s">
        <v>8</v>
      </c>
      <c r="K5" s="862" t="s">
        <v>285</v>
      </c>
      <c r="L5" s="862" t="s">
        <v>200</v>
      </c>
      <c r="M5" s="1076"/>
      <c r="N5" s="378" t="s">
        <v>89</v>
      </c>
      <c r="O5" s="378" t="s">
        <v>6</v>
      </c>
      <c r="P5" s="378" t="s">
        <v>7</v>
      </c>
      <c r="Q5" s="378" t="s">
        <v>8</v>
      </c>
      <c r="R5" s="378" t="s">
        <v>6</v>
      </c>
      <c r="S5" s="378" t="s">
        <v>90</v>
      </c>
      <c r="T5" s="855" t="s">
        <v>8</v>
      </c>
      <c r="U5" s="856" t="s">
        <v>285</v>
      </c>
      <c r="V5" s="857" t="s">
        <v>200</v>
      </c>
      <c r="W5" s="858"/>
      <c r="X5" s="858"/>
      <c r="Y5" s="115" t="s">
        <v>6</v>
      </c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859" t="s">
        <v>6</v>
      </c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859" t="s">
        <v>9</v>
      </c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435"/>
      <c r="BJ5" s="435"/>
      <c r="BK5" s="435"/>
      <c r="BL5" s="435"/>
      <c r="BM5" s="435"/>
      <c r="BN5" s="435"/>
      <c r="BO5" s="435"/>
      <c r="BP5" s="435"/>
      <c r="BQ5" s="435"/>
      <c r="BR5" s="435"/>
      <c r="BS5" s="435"/>
      <c r="BT5" s="435"/>
      <c r="BU5" s="435"/>
      <c r="BV5" s="435"/>
    </row>
    <row r="6" spans="1:74" s="439" customFormat="1" ht="36" x14ac:dyDescent="0.25">
      <c r="A6" s="770"/>
      <c r="B6" s="1044">
        <v>46090</v>
      </c>
      <c r="C6" s="1047">
        <v>1</v>
      </c>
      <c r="D6" s="433" t="s">
        <v>91</v>
      </c>
      <c r="E6" s="1009">
        <v>8000</v>
      </c>
      <c r="F6" s="389">
        <v>2395</v>
      </c>
      <c r="G6" s="389" t="s">
        <v>22</v>
      </c>
      <c r="H6" s="390"/>
      <c r="I6" s="401">
        <f t="shared" ref="I6:I13" si="0">IF(F6=2395, H6*12*0.62/100, IF(F6=1564, H6*12*0.65/100, ""))</f>
        <v>0</v>
      </c>
      <c r="J6" s="700"/>
      <c r="K6" s="441"/>
      <c r="L6" s="385"/>
      <c r="M6" s="1047">
        <f>+C6</f>
        <v>1</v>
      </c>
      <c r="N6" s="433" t="s">
        <v>91</v>
      </c>
      <c r="O6" s="1009">
        <v>25000</v>
      </c>
      <c r="P6" s="734">
        <v>6843</v>
      </c>
      <c r="Q6" s="734" t="s">
        <v>21</v>
      </c>
      <c r="R6" s="865">
        <v>1685.75</v>
      </c>
      <c r="S6" s="484">
        <f t="shared" ref="S6:S13" si="1">IF(P6=6843, R6*12*0.62/100,IF(P6=2821, R6*12*0.63/100,IF(P6=6842, R6*12*0.63/100,IF(P6=1564, R6*12*0.65/100, ""))))</f>
        <v>125.4198</v>
      </c>
      <c r="T6" s="677" t="s">
        <v>395</v>
      </c>
      <c r="U6" s="677" t="s">
        <v>396</v>
      </c>
      <c r="V6" s="386"/>
      <c r="W6" s="771"/>
      <c r="X6" s="771"/>
      <c r="Y6" s="772" t="s">
        <v>7</v>
      </c>
      <c r="Z6" s="772" t="s">
        <v>8</v>
      </c>
      <c r="AA6" s="772" t="s">
        <v>12</v>
      </c>
      <c r="AB6" s="772" t="s">
        <v>13</v>
      </c>
      <c r="AC6" s="772" t="s">
        <v>14</v>
      </c>
      <c r="AD6" s="772" t="s">
        <v>15</v>
      </c>
      <c r="AE6" s="772" t="s">
        <v>16</v>
      </c>
      <c r="AF6" s="773"/>
      <c r="AG6" s="773"/>
      <c r="AH6" s="773"/>
      <c r="AI6" s="773"/>
      <c r="AJ6" s="771" t="s">
        <v>7</v>
      </c>
      <c r="AK6" s="771" t="s">
        <v>8</v>
      </c>
      <c r="AL6" s="774">
        <f>B6</f>
        <v>46090</v>
      </c>
      <c r="AM6" s="774" t="e">
        <f>#REF!</f>
        <v>#REF!</v>
      </c>
      <c r="AN6" s="774" t="e">
        <f>#REF!</f>
        <v>#REF!</v>
      </c>
      <c r="AO6" s="774" t="e">
        <f>#REF!</f>
        <v>#REF!</v>
      </c>
      <c r="AP6" s="774" t="e">
        <f>#REF!</f>
        <v>#REF!</v>
      </c>
      <c r="AQ6" s="774" t="e">
        <f>#REF!</f>
        <v>#REF!</v>
      </c>
      <c r="AR6" s="774" t="e">
        <f>#REF!</f>
        <v>#REF!</v>
      </c>
      <c r="AS6" s="771" t="s">
        <v>17</v>
      </c>
      <c r="AT6" s="773"/>
      <c r="AU6" s="771" t="s">
        <v>7</v>
      </c>
      <c r="AV6" s="771" t="s">
        <v>8</v>
      </c>
      <c r="AW6" s="774">
        <f t="shared" ref="AW6:BC6" si="2">AL6</f>
        <v>46090</v>
      </c>
      <c r="AX6" s="774" t="e">
        <f t="shared" si="2"/>
        <v>#REF!</v>
      </c>
      <c r="AY6" s="774" t="e">
        <f t="shared" si="2"/>
        <v>#REF!</v>
      </c>
      <c r="AZ6" s="774" t="e">
        <f t="shared" si="2"/>
        <v>#REF!</v>
      </c>
      <c r="BA6" s="774" t="e">
        <f t="shared" si="2"/>
        <v>#REF!</v>
      </c>
      <c r="BB6" s="774" t="e">
        <f t="shared" si="2"/>
        <v>#REF!</v>
      </c>
      <c r="BC6" s="774" t="e">
        <f t="shared" si="2"/>
        <v>#REF!</v>
      </c>
      <c r="BD6" s="771" t="s">
        <v>17</v>
      </c>
      <c r="BE6" s="773"/>
      <c r="BF6" s="773"/>
      <c r="BG6" s="773"/>
      <c r="BH6" s="773"/>
      <c r="BI6" s="773"/>
      <c r="BJ6" s="773"/>
      <c r="BK6" s="773"/>
      <c r="BL6" s="773"/>
      <c r="BM6" s="773"/>
      <c r="BN6" s="773"/>
      <c r="BO6" s="773"/>
      <c r="BP6" s="773"/>
      <c r="BQ6" s="773"/>
      <c r="BR6" s="773"/>
      <c r="BS6" s="773"/>
      <c r="BT6" s="773"/>
      <c r="BU6" s="773"/>
      <c r="BV6" s="773"/>
    </row>
    <row r="7" spans="1:74" s="439" customFormat="1" ht="18" x14ac:dyDescent="0.25">
      <c r="A7" s="770"/>
      <c r="B7" s="1045"/>
      <c r="C7" s="1047"/>
      <c r="D7" s="433" t="s">
        <v>92</v>
      </c>
      <c r="E7" s="1009"/>
      <c r="F7" s="389">
        <v>2395</v>
      </c>
      <c r="G7" s="389" t="s">
        <v>22</v>
      </c>
      <c r="H7" s="391"/>
      <c r="I7" s="401">
        <f t="shared" si="0"/>
        <v>0</v>
      </c>
      <c r="J7" s="736"/>
      <c r="K7" s="385"/>
      <c r="L7" s="385"/>
      <c r="M7" s="1047"/>
      <c r="N7" s="433" t="s">
        <v>92</v>
      </c>
      <c r="O7" s="1009"/>
      <c r="P7" s="734">
        <v>6843</v>
      </c>
      <c r="Q7" s="734" t="s">
        <v>21</v>
      </c>
      <c r="R7" s="865">
        <v>1832</v>
      </c>
      <c r="S7" s="484">
        <f t="shared" si="1"/>
        <v>136.30080000000001</v>
      </c>
      <c r="T7" s="386" t="s">
        <v>397</v>
      </c>
      <c r="U7" s="677"/>
      <c r="V7" s="386"/>
      <c r="W7" s="771"/>
      <c r="X7" s="771"/>
      <c r="Y7" s="775">
        <v>1564</v>
      </c>
      <c r="Z7" s="776" t="s">
        <v>11</v>
      </c>
      <c r="AA7" s="777">
        <f>SUMIF($F$6:$F$27,Y7,$E$6:$E$27)</f>
        <v>15000</v>
      </c>
      <c r="AB7" s="777">
        <f>SUMIF($Q$6:$Q$27,Z7,$O$6:$O$27)</f>
        <v>28500</v>
      </c>
      <c r="AC7" s="777">
        <f t="shared" ref="AC7:AC13" si="3">SUM(AA7:AB7)</f>
        <v>43500</v>
      </c>
      <c r="AD7" s="777">
        <f>(SUMIF($J$6:$J$27,Z7,$H$6:$H$27))+(SUMIF($T$6:$T$27,Z7,$R$6:$R$27))</f>
        <v>0</v>
      </c>
      <c r="AE7" s="777">
        <f>+AC7-AD7</f>
        <v>43500</v>
      </c>
      <c r="AF7" s="773"/>
      <c r="AG7" s="773"/>
      <c r="AH7" s="773"/>
      <c r="AI7" s="773"/>
      <c r="AJ7" s="771"/>
      <c r="AK7" s="771"/>
      <c r="AL7" s="774"/>
      <c r="AM7" s="774"/>
      <c r="AN7" s="774"/>
      <c r="AO7" s="774"/>
      <c r="AP7" s="774"/>
      <c r="AQ7" s="774"/>
      <c r="AR7" s="774"/>
      <c r="AS7" s="771"/>
      <c r="AT7" s="773"/>
      <c r="AU7" s="771"/>
      <c r="AV7" s="771"/>
      <c r="AW7" s="774"/>
      <c r="AX7" s="774"/>
      <c r="AY7" s="774"/>
      <c r="AZ7" s="774"/>
      <c r="BA7" s="774"/>
      <c r="BB7" s="774"/>
      <c r="BC7" s="774"/>
      <c r="BD7" s="771"/>
      <c r="BE7" s="773"/>
      <c r="BF7" s="773"/>
      <c r="BG7" s="773"/>
      <c r="BH7" s="773"/>
      <c r="BI7" s="773"/>
      <c r="BJ7" s="773"/>
      <c r="BK7" s="773"/>
      <c r="BL7" s="773"/>
      <c r="BM7" s="773"/>
      <c r="BN7" s="773"/>
      <c r="BO7" s="773"/>
      <c r="BP7" s="773"/>
      <c r="BQ7" s="773"/>
      <c r="BR7" s="773"/>
      <c r="BS7" s="773"/>
      <c r="BT7" s="773"/>
      <c r="BU7" s="773"/>
      <c r="BV7" s="773"/>
    </row>
    <row r="8" spans="1:74" s="439" customFormat="1" ht="18" x14ac:dyDescent="0.25">
      <c r="A8" s="770"/>
      <c r="B8" s="1045"/>
      <c r="C8" s="1047"/>
      <c r="D8" s="433" t="s">
        <v>93</v>
      </c>
      <c r="E8" s="1009"/>
      <c r="F8" s="389">
        <v>2395</v>
      </c>
      <c r="G8" s="389" t="s">
        <v>22</v>
      </c>
      <c r="H8" s="391"/>
      <c r="I8" s="401">
        <f t="shared" si="0"/>
        <v>0</v>
      </c>
      <c r="J8" s="713"/>
      <c r="K8" s="385"/>
      <c r="L8" s="385"/>
      <c r="M8" s="1047"/>
      <c r="N8" s="433" t="s">
        <v>93</v>
      </c>
      <c r="O8" s="1009"/>
      <c r="P8" s="734">
        <v>6843</v>
      </c>
      <c r="Q8" s="734" t="s">
        <v>21</v>
      </c>
      <c r="R8" s="865">
        <v>2680.25</v>
      </c>
      <c r="S8" s="484">
        <f t="shared" si="1"/>
        <v>199.41060000000002</v>
      </c>
      <c r="T8" s="386" t="s">
        <v>398</v>
      </c>
      <c r="U8" s="677"/>
      <c r="V8" s="386"/>
      <c r="W8" s="771"/>
      <c r="X8" s="771"/>
      <c r="Y8" s="442">
        <v>2395</v>
      </c>
      <c r="Z8" s="443" t="s">
        <v>22</v>
      </c>
      <c r="AA8" s="444">
        <f>SUMIF($F$6:$F$27,Y8,$E$6:$E$27)</f>
        <v>23000</v>
      </c>
      <c r="AB8" s="444">
        <f>SUMIF($Q$6:$Q$27,Y8,$P$6:$P$27)+SUMIF($T$6:$T$27,Y8,$S$6:$S$27)</f>
        <v>0</v>
      </c>
      <c r="AC8" s="444">
        <f t="shared" si="3"/>
        <v>23000</v>
      </c>
      <c r="AD8" s="444">
        <f>SUMIF($J$6:$J$27,Z8,$H$6:$H$27)</f>
        <v>0</v>
      </c>
      <c r="AE8" s="444">
        <f>+AC8-AD8</f>
        <v>23000</v>
      </c>
      <c r="AF8" s="773"/>
      <c r="AG8" s="773"/>
      <c r="AH8" s="773"/>
      <c r="AI8" s="773"/>
      <c r="AJ8" s="771"/>
      <c r="AK8" s="771"/>
      <c r="AL8" s="774"/>
      <c r="AM8" s="774"/>
      <c r="AN8" s="774"/>
      <c r="AO8" s="774"/>
      <c r="AP8" s="774"/>
      <c r="AQ8" s="774"/>
      <c r="AR8" s="774"/>
      <c r="AS8" s="771"/>
      <c r="AT8" s="773"/>
      <c r="AU8" s="771"/>
      <c r="AV8" s="771"/>
      <c r="AW8" s="774"/>
      <c r="AX8" s="774"/>
      <c r="AY8" s="774"/>
      <c r="AZ8" s="774"/>
      <c r="BA8" s="774"/>
      <c r="BB8" s="774"/>
      <c r="BC8" s="774"/>
      <c r="BD8" s="771"/>
      <c r="BE8" s="773"/>
      <c r="BF8" s="773"/>
      <c r="BG8" s="773"/>
      <c r="BH8" s="773"/>
      <c r="BI8" s="773"/>
      <c r="BJ8" s="773"/>
      <c r="BK8" s="773"/>
      <c r="BL8" s="773"/>
      <c r="BM8" s="773"/>
      <c r="BN8" s="773"/>
      <c r="BO8" s="773"/>
      <c r="BP8" s="773"/>
      <c r="BQ8" s="773"/>
      <c r="BR8" s="773"/>
      <c r="BS8" s="773"/>
      <c r="BT8" s="773"/>
      <c r="BU8" s="773"/>
      <c r="BV8" s="773"/>
    </row>
    <row r="9" spans="1:74" s="439" customFormat="1" ht="18" x14ac:dyDescent="0.25">
      <c r="A9" s="770"/>
      <c r="B9" s="1045"/>
      <c r="C9" s="1047"/>
      <c r="D9" s="433" t="s">
        <v>94</v>
      </c>
      <c r="E9" s="1009"/>
      <c r="F9" s="389">
        <v>2395</v>
      </c>
      <c r="G9" s="389" t="s">
        <v>22</v>
      </c>
      <c r="H9" s="391"/>
      <c r="I9" s="401">
        <f t="shared" si="0"/>
        <v>0</v>
      </c>
      <c r="J9" s="730"/>
      <c r="K9" s="385"/>
      <c r="L9" s="385"/>
      <c r="M9" s="1047"/>
      <c r="N9" s="433" t="s">
        <v>94</v>
      </c>
      <c r="O9" s="1009"/>
      <c r="P9" s="734">
        <v>6843</v>
      </c>
      <c r="Q9" s="734" t="s">
        <v>21</v>
      </c>
      <c r="R9" s="865">
        <v>2145.9166666666665</v>
      </c>
      <c r="S9" s="484">
        <f t="shared" si="1"/>
        <v>159.65619999999998</v>
      </c>
      <c r="T9" s="386" t="s">
        <v>399</v>
      </c>
      <c r="U9" s="677" t="s">
        <v>400</v>
      </c>
      <c r="V9" s="386"/>
      <c r="W9" s="771"/>
      <c r="X9" s="771"/>
      <c r="Y9" s="445">
        <v>2821</v>
      </c>
      <c r="Z9" s="446" t="s">
        <v>23</v>
      </c>
      <c r="AA9" s="447">
        <f>SUMIF($F$6:$F$27,Y9,$E$6:$E$27)+SUMIF($I$6:$I$27,Y9,$H$6:$H$27)</f>
        <v>0</v>
      </c>
      <c r="AB9" s="447">
        <f>SUMIF($Q$6:$Q$27,Z9,$O$6:$O$27)</f>
        <v>0</v>
      </c>
      <c r="AC9" s="447">
        <f t="shared" si="3"/>
        <v>0</v>
      </c>
      <c r="AD9" s="447">
        <f>SUMIF($T$6:$T$27,Z9,$R$6:$R$27)</f>
        <v>0</v>
      </c>
      <c r="AE9" s="447">
        <f>+AC9-AD9</f>
        <v>0</v>
      </c>
      <c r="AF9" s="773"/>
      <c r="AG9" s="773"/>
      <c r="AH9" s="773"/>
      <c r="AI9" s="773"/>
      <c r="AJ9" s="771"/>
      <c r="AK9" s="771"/>
      <c r="AL9" s="774"/>
      <c r="AM9" s="774"/>
      <c r="AN9" s="774"/>
      <c r="AO9" s="774"/>
      <c r="AP9" s="774"/>
      <c r="AQ9" s="774"/>
      <c r="AR9" s="774"/>
      <c r="AS9" s="771"/>
      <c r="AT9" s="773"/>
      <c r="AU9" s="771"/>
      <c r="AV9" s="771"/>
      <c r="AW9" s="774"/>
      <c r="AX9" s="774"/>
      <c r="AY9" s="774"/>
      <c r="AZ9" s="774"/>
      <c r="BA9" s="774"/>
      <c r="BB9" s="774"/>
      <c r="BC9" s="774"/>
      <c r="BD9" s="771"/>
      <c r="BE9" s="773"/>
      <c r="BF9" s="773"/>
      <c r="BG9" s="773"/>
      <c r="BH9" s="773"/>
      <c r="BI9" s="773"/>
      <c r="BJ9" s="773"/>
      <c r="BK9" s="773"/>
      <c r="BL9" s="773"/>
      <c r="BM9" s="773"/>
      <c r="BN9" s="773"/>
      <c r="BO9" s="773"/>
      <c r="BP9" s="773"/>
      <c r="BQ9" s="773"/>
      <c r="BR9" s="773"/>
      <c r="BS9" s="773"/>
      <c r="BT9" s="773"/>
      <c r="BU9" s="773"/>
      <c r="BV9" s="773"/>
    </row>
    <row r="10" spans="1:74" s="439" customFormat="1" ht="28.5" x14ac:dyDescent="0.25">
      <c r="A10" s="770"/>
      <c r="B10" s="1045"/>
      <c r="C10" s="1047"/>
      <c r="D10" s="433" t="s">
        <v>95</v>
      </c>
      <c r="E10" s="1009"/>
      <c r="F10" s="389">
        <v>2395</v>
      </c>
      <c r="G10" s="389" t="s">
        <v>22</v>
      </c>
      <c r="H10" s="390"/>
      <c r="I10" s="401">
        <f t="shared" si="0"/>
        <v>0</v>
      </c>
      <c r="J10" s="713"/>
      <c r="K10" s="385"/>
      <c r="L10" s="385"/>
      <c r="M10" s="1047"/>
      <c r="N10" s="433" t="s">
        <v>95</v>
      </c>
      <c r="O10" s="1009"/>
      <c r="P10" s="734">
        <v>6843</v>
      </c>
      <c r="Q10" s="734" t="s">
        <v>21</v>
      </c>
      <c r="R10" s="865">
        <v>814</v>
      </c>
      <c r="S10" s="484">
        <f t="shared" si="1"/>
        <v>60.561599999999999</v>
      </c>
      <c r="T10" s="386" t="s">
        <v>401</v>
      </c>
      <c r="U10" s="677" t="s">
        <v>402</v>
      </c>
      <c r="V10" s="386"/>
      <c r="W10" s="771"/>
      <c r="X10" s="771"/>
      <c r="Y10" s="778">
        <v>5037</v>
      </c>
      <c r="Z10" s="779" t="s">
        <v>25</v>
      </c>
      <c r="AA10" s="780">
        <f>SUMIF($F$6:$F$27,Y10,$E$6:$E$27)+SUMIF($I$6:$I$27,Y10,$H$6:$H$27)</f>
        <v>0</v>
      </c>
      <c r="AB10" s="780">
        <f>SUMIF($Q$6:$Q$27,Y10,$P$6:$P$27)+SUMIF($T$6:$T$27,Y10,$S$6:$S$27)</f>
        <v>0</v>
      </c>
      <c r="AC10" s="780">
        <f t="shared" si="3"/>
        <v>0</v>
      </c>
      <c r="AD10" s="780">
        <f>SUMIF($J$7:$J$28,Z10,$H$7:$H$28)</f>
        <v>0</v>
      </c>
      <c r="AE10" s="780"/>
      <c r="AF10" s="773"/>
      <c r="AG10" s="773"/>
      <c r="AH10" s="773"/>
      <c r="AI10" s="773"/>
      <c r="AJ10" s="771"/>
      <c r="AK10" s="771"/>
      <c r="AL10" s="774"/>
      <c r="AM10" s="774"/>
      <c r="AN10" s="774"/>
      <c r="AO10" s="774"/>
      <c r="AP10" s="774"/>
      <c r="AQ10" s="774"/>
      <c r="AR10" s="774"/>
      <c r="AS10" s="771"/>
      <c r="AT10" s="773"/>
      <c r="AU10" s="771"/>
      <c r="AV10" s="771"/>
      <c r="AW10" s="774"/>
      <c r="AX10" s="774"/>
      <c r="AY10" s="774"/>
      <c r="AZ10" s="774"/>
      <c r="BA10" s="774"/>
      <c r="BB10" s="774"/>
      <c r="BC10" s="774"/>
      <c r="BD10" s="771"/>
      <c r="BE10" s="773"/>
      <c r="BF10" s="773"/>
      <c r="BG10" s="773"/>
      <c r="BH10" s="773"/>
      <c r="BI10" s="773"/>
      <c r="BJ10" s="773"/>
      <c r="BK10" s="773"/>
      <c r="BL10" s="773"/>
      <c r="BM10" s="773"/>
      <c r="BN10" s="773"/>
      <c r="BO10" s="773"/>
      <c r="BP10" s="773"/>
      <c r="BQ10" s="773"/>
      <c r="BR10" s="773"/>
      <c r="BS10" s="773"/>
      <c r="BT10" s="773"/>
      <c r="BU10" s="773"/>
      <c r="BV10" s="773"/>
    </row>
    <row r="11" spans="1:74" s="439" customFormat="1" ht="36" x14ac:dyDescent="0.25">
      <c r="A11" s="770"/>
      <c r="B11" s="1045"/>
      <c r="C11" s="1047"/>
      <c r="D11" s="433" t="s">
        <v>96</v>
      </c>
      <c r="E11" s="1009"/>
      <c r="F11" s="389">
        <v>2395</v>
      </c>
      <c r="G11" s="389" t="s">
        <v>22</v>
      </c>
      <c r="H11" s="390"/>
      <c r="I11" s="401">
        <f t="shared" si="0"/>
        <v>0</v>
      </c>
      <c r="J11" s="730"/>
      <c r="K11" s="385"/>
      <c r="L11" s="385"/>
      <c r="M11" s="1047"/>
      <c r="N11" s="433" t="s">
        <v>96</v>
      </c>
      <c r="O11" s="1009"/>
      <c r="P11" s="734">
        <v>6843</v>
      </c>
      <c r="Q11" s="734" t="s">
        <v>21</v>
      </c>
      <c r="R11" s="865">
        <v>3202</v>
      </c>
      <c r="S11" s="484">
        <f t="shared" si="1"/>
        <v>238.22880000000001</v>
      </c>
      <c r="T11" s="386" t="s">
        <v>403</v>
      </c>
      <c r="U11" s="677"/>
      <c r="V11" s="386"/>
      <c r="W11" s="771"/>
      <c r="X11" s="771"/>
      <c r="Y11" s="781">
        <v>6788</v>
      </c>
      <c r="Z11" s="782" t="s">
        <v>28</v>
      </c>
      <c r="AA11" s="783">
        <f>SUMIF($F$6:$F$27,Y11,$E$6:$E$27)+SUMIF($I$6:$I$27,Y11,$H$6:$H$27)</f>
        <v>0</v>
      </c>
      <c r="AB11" s="783">
        <f>SUMIF($Q$6:$Q$27,Y11,$P$6:$P$27)+SUMIF($T$6:$T$27,Y11,$S$6:$S$27)</f>
        <v>0</v>
      </c>
      <c r="AC11" s="783">
        <f t="shared" si="3"/>
        <v>0</v>
      </c>
      <c r="AD11" s="783">
        <f>SUMIF($Q$6:$Q$27,AA11,$P$6:$P$27)+SUMIF($T$6:$T$27,AA11,$S$6:$S$27)</f>
        <v>0</v>
      </c>
      <c r="AE11" s="783"/>
      <c r="AF11" s="773"/>
      <c r="AG11" s="773"/>
      <c r="AH11" s="773"/>
      <c r="AI11" s="773"/>
      <c r="AJ11" s="771"/>
      <c r="AK11" s="771"/>
      <c r="AL11" s="774"/>
      <c r="AM11" s="774"/>
      <c r="AN11" s="774"/>
      <c r="AO11" s="774"/>
      <c r="AP11" s="774"/>
      <c r="AQ11" s="774"/>
      <c r="AR11" s="774"/>
      <c r="AS11" s="771"/>
      <c r="AT11" s="773"/>
      <c r="AU11" s="771"/>
      <c r="AV11" s="771"/>
      <c r="AW11" s="774"/>
      <c r="AX11" s="774"/>
      <c r="AY11" s="774"/>
      <c r="AZ11" s="774"/>
      <c r="BA11" s="774"/>
      <c r="BB11" s="774"/>
      <c r="BC11" s="774"/>
      <c r="BD11" s="771"/>
      <c r="BE11" s="773"/>
      <c r="BF11" s="773"/>
      <c r="BG11" s="773"/>
      <c r="BH11" s="773"/>
      <c r="BI11" s="773"/>
      <c r="BJ11" s="773"/>
      <c r="BK11" s="773"/>
      <c r="BL11" s="773"/>
      <c r="BM11" s="773"/>
      <c r="BN11" s="773"/>
      <c r="BO11" s="773"/>
      <c r="BP11" s="773"/>
      <c r="BQ11" s="773"/>
      <c r="BR11" s="773"/>
      <c r="BS11" s="773"/>
      <c r="BT11" s="773"/>
      <c r="BU11" s="773"/>
      <c r="BV11" s="773"/>
    </row>
    <row r="12" spans="1:74" s="439" customFormat="1" ht="36" x14ac:dyDescent="0.25">
      <c r="A12" s="770"/>
      <c r="B12" s="1045"/>
      <c r="C12" s="1047"/>
      <c r="D12" s="433" t="s">
        <v>97</v>
      </c>
      <c r="E12" s="1009"/>
      <c r="F12" s="389">
        <v>2395</v>
      </c>
      <c r="G12" s="389" t="s">
        <v>22</v>
      </c>
      <c r="H12" s="390"/>
      <c r="I12" s="401">
        <f t="shared" si="0"/>
        <v>0</v>
      </c>
      <c r="J12" s="737"/>
      <c r="K12" s="385"/>
      <c r="L12" s="385"/>
      <c r="M12" s="1047"/>
      <c r="N12" s="433" t="s">
        <v>97</v>
      </c>
      <c r="O12" s="1009"/>
      <c r="P12" s="734">
        <v>6843</v>
      </c>
      <c r="Q12" s="734" t="s">
        <v>21</v>
      </c>
      <c r="R12" s="865">
        <v>3606</v>
      </c>
      <c r="S12" s="484">
        <f t="shared" si="1"/>
        <v>268.28640000000001</v>
      </c>
      <c r="T12" s="386" t="s">
        <v>404</v>
      </c>
      <c r="U12" s="677"/>
      <c r="V12" s="386"/>
      <c r="W12" s="771"/>
      <c r="X12" s="771"/>
      <c r="Y12" s="448">
        <v>6843</v>
      </c>
      <c r="Z12" s="449" t="s">
        <v>21</v>
      </c>
      <c r="AA12" s="450">
        <f>SUMIF($F$6:$F$27,Y12,$E$6:$E$27)+SUMIF($I$6:$I$27,Y12,$H$6:$H$27)</f>
        <v>0</v>
      </c>
      <c r="AB12" s="450">
        <f ca="1">SUMIF($P$6:$Q$27,Y12,$P$6:$P$27)</f>
        <v>109488</v>
      </c>
      <c r="AC12" s="450">
        <f t="shared" ca="1" si="3"/>
        <v>109488</v>
      </c>
      <c r="AD12" s="450">
        <f>SUMIF($X$7:$X$28,Z12,$S$7:$S$28)</f>
        <v>0</v>
      </c>
      <c r="AE12" s="450">
        <f ca="1">+AC12-AD12</f>
        <v>109488</v>
      </c>
      <c r="AF12" s="773"/>
      <c r="AG12" s="773"/>
      <c r="AH12" s="773"/>
      <c r="AI12" s="773"/>
      <c r="AJ12" s="771"/>
      <c r="AK12" s="771"/>
      <c r="AL12" s="774"/>
      <c r="AM12" s="774"/>
      <c r="AN12" s="774"/>
      <c r="AO12" s="774"/>
      <c r="AP12" s="774"/>
      <c r="AQ12" s="774"/>
      <c r="AR12" s="774"/>
      <c r="AS12" s="771"/>
      <c r="AT12" s="773"/>
      <c r="AU12" s="771"/>
      <c r="AV12" s="771"/>
      <c r="AW12" s="774"/>
      <c r="AX12" s="774"/>
      <c r="AY12" s="774"/>
      <c r="AZ12" s="774"/>
      <c r="BA12" s="774"/>
      <c r="BB12" s="774"/>
      <c r="BC12" s="774"/>
      <c r="BD12" s="771"/>
      <c r="BE12" s="773"/>
      <c r="BF12" s="773"/>
      <c r="BG12" s="773"/>
      <c r="BH12" s="773"/>
      <c r="BI12" s="773"/>
      <c r="BJ12" s="773"/>
      <c r="BK12" s="773"/>
      <c r="BL12" s="773"/>
      <c r="BM12" s="773"/>
      <c r="BN12" s="773"/>
      <c r="BO12" s="773"/>
      <c r="BP12" s="773"/>
      <c r="BQ12" s="773"/>
      <c r="BR12" s="773"/>
      <c r="BS12" s="773"/>
      <c r="BT12" s="773"/>
      <c r="BU12" s="773"/>
      <c r="BV12" s="773"/>
    </row>
    <row r="13" spans="1:74" s="439" customFormat="1" ht="36" x14ac:dyDescent="0.25">
      <c r="A13" s="770"/>
      <c r="B13" s="1045"/>
      <c r="C13" s="1047"/>
      <c r="D13" s="433" t="s">
        <v>98</v>
      </c>
      <c r="E13" s="1009"/>
      <c r="F13" s="389">
        <v>2395</v>
      </c>
      <c r="G13" s="389" t="s">
        <v>22</v>
      </c>
      <c r="H13" s="390"/>
      <c r="I13" s="401">
        <f t="shared" si="0"/>
        <v>0</v>
      </c>
      <c r="J13" s="730"/>
      <c r="K13" s="385"/>
      <c r="L13" s="385"/>
      <c r="M13" s="1047"/>
      <c r="N13" s="433" t="s">
        <v>98</v>
      </c>
      <c r="O13" s="1009"/>
      <c r="P13" s="734">
        <v>6843</v>
      </c>
      <c r="Q13" s="734" t="s">
        <v>21</v>
      </c>
      <c r="R13" s="865">
        <v>2970</v>
      </c>
      <c r="S13" s="484">
        <f t="shared" si="1"/>
        <v>220.96799999999999</v>
      </c>
      <c r="T13" s="386" t="s">
        <v>287</v>
      </c>
      <c r="U13" s="677" t="s">
        <v>405</v>
      </c>
      <c r="V13" s="386"/>
      <c r="W13" s="771"/>
      <c r="X13" s="771"/>
      <c r="Y13" s="451">
        <v>6842</v>
      </c>
      <c r="Z13" s="452" t="s">
        <v>29</v>
      </c>
      <c r="AA13" s="453">
        <f>SUMIF($F$6:$F$27,Y13,$E$6:$E$27)+SUMIF($I$6:$I$27,Y13,$H$6:$H$27)</f>
        <v>0</v>
      </c>
      <c r="AB13" s="453">
        <f>SUMIF($Q$6:$Q$27,Y13,$P$6:$P$27)+SUMIF($T$6:$T$27,Y13,$S$6:$S$27)</f>
        <v>0</v>
      </c>
      <c r="AC13" s="453">
        <f t="shared" si="3"/>
        <v>0</v>
      </c>
      <c r="AD13" s="453">
        <f>SUM(AB13:AC13)</f>
        <v>0</v>
      </c>
      <c r="AE13" s="453"/>
      <c r="AF13" s="773"/>
      <c r="AG13" s="773"/>
      <c r="AH13" s="773"/>
      <c r="AI13" s="773"/>
      <c r="AJ13" s="771"/>
      <c r="AK13" s="771"/>
      <c r="AL13" s="774"/>
      <c r="AM13" s="774"/>
      <c r="AN13" s="774"/>
      <c r="AO13" s="774"/>
      <c r="AP13" s="774"/>
      <c r="AQ13" s="774"/>
      <c r="AR13" s="774"/>
      <c r="AS13" s="771"/>
      <c r="AT13" s="773"/>
      <c r="AU13" s="771"/>
      <c r="AV13" s="771"/>
      <c r="AW13" s="774"/>
      <c r="AX13" s="774"/>
      <c r="AY13" s="774"/>
      <c r="AZ13" s="774"/>
      <c r="BA13" s="774"/>
      <c r="BB13" s="774"/>
      <c r="BC13" s="774"/>
      <c r="BD13" s="771"/>
      <c r="BE13" s="773"/>
      <c r="BF13" s="773"/>
      <c r="BG13" s="773"/>
      <c r="BH13" s="773"/>
      <c r="BI13" s="773"/>
      <c r="BJ13" s="773"/>
      <c r="BK13" s="773"/>
      <c r="BL13" s="773"/>
      <c r="BM13" s="773"/>
      <c r="BN13" s="773"/>
      <c r="BO13" s="773"/>
      <c r="BP13" s="773"/>
      <c r="BQ13" s="773"/>
      <c r="BR13" s="773"/>
      <c r="BS13" s="773"/>
      <c r="BT13" s="773"/>
      <c r="BU13" s="773"/>
      <c r="BV13" s="773"/>
    </row>
    <row r="14" spans="1:74" s="439" customFormat="1" ht="18" x14ac:dyDescent="0.25">
      <c r="A14" s="770"/>
      <c r="B14" s="1045"/>
      <c r="C14" s="1063" t="s">
        <v>99</v>
      </c>
      <c r="D14" s="1064"/>
      <c r="E14" s="784">
        <f>E6*12*0.62/100</f>
        <v>595.20000000000005</v>
      </c>
      <c r="F14" s="1059" t="s">
        <v>100</v>
      </c>
      <c r="G14" s="1059"/>
      <c r="H14" s="454">
        <f>+SUM(H6:H13)</f>
        <v>0</v>
      </c>
      <c r="I14" s="701">
        <f>+SUM(I6:I13)</f>
        <v>0</v>
      </c>
      <c r="J14" s="658"/>
      <c r="K14" s="658"/>
      <c r="L14" s="658"/>
      <c r="M14" s="1063" t="s">
        <v>99</v>
      </c>
      <c r="N14" s="1064"/>
      <c r="O14" s="784">
        <f>O6*12*0.65/100</f>
        <v>1950</v>
      </c>
      <c r="P14" s="1024" t="s">
        <v>100</v>
      </c>
      <c r="Q14" s="1025"/>
      <c r="R14" s="454">
        <f>SUM(R6:R13)</f>
        <v>18935.916666666664</v>
      </c>
      <c r="S14" s="455">
        <f>+SUM(S6:S13)</f>
        <v>1408.8322000000001</v>
      </c>
      <c r="T14" s="676"/>
      <c r="U14" s="671"/>
      <c r="V14" s="658"/>
      <c r="W14" s="771"/>
      <c r="X14" s="771"/>
      <c r="Y14" s="456"/>
      <c r="Z14" s="452"/>
      <c r="AA14" s="453"/>
      <c r="AB14" s="453"/>
      <c r="AC14" s="453"/>
      <c r="AD14" s="453"/>
      <c r="AE14" s="453"/>
      <c r="AF14" s="773"/>
      <c r="AG14" s="773"/>
      <c r="AH14" s="773"/>
      <c r="AI14" s="773"/>
      <c r="AJ14" s="771"/>
      <c r="AK14" s="771"/>
      <c r="AL14" s="774"/>
      <c r="AM14" s="774"/>
      <c r="AN14" s="774"/>
      <c r="AO14" s="774"/>
      <c r="AP14" s="774"/>
      <c r="AQ14" s="774"/>
      <c r="AR14" s="774"/>
      <c r="AS14" s="771"/>
      <c r="AT14" s="773"/>
      <c r="AU14" s="771"/>
      <c r="AV14" s="771"/>
      <c r="AW14" s="774"/>
      <c r="AX14" s="774"/>
      <c r="AY14" s="774"/>
      <c r="AZ14" s="774"/>
      <c r="BA14" s="774"/>
      <c r="BB14" s="774"/>
      <c r="BC14" s="774"/>
      <c r="BD14" s="771"/>
      <c r="BE14" s="773"/>
      <c r="BF14" s="773"/>
      <c r="BG14" s="773"/>
      <c r="BH14" s="773"/>
      <c r="BI14" s="773"/>
      <c r="BJ14" s="773"/>
      <c r="BK14" s="773"/>
      <c r="BL14" s="773"/>
      <c r="BM14" s="773"/>
      <c r="BN14" s="773"/>
      <c r="BO14" s="773"/>
      <c r="BP14" s="773"/>
      <c r="BQ14" s="773"/>
      <c r="BR14" s="773"/>
      <c r="BS14" s="773"/>
      <c r="BT14" s="773"/>
      <c r="BU14" s="773"/>
      <c r="BV14" s="773"/>
    </row>
    <row r="15" spans="1:74" s="439" customFormat="1" ht="28.5" x14ac:dyDescent="0.25">
      <c r="A15" s="770"/>
      <c r="B15" s="1045"/>
      <c r="C15" s="1036">
        <v>2</v>
      </c>
      <c r="D15" s="457" t="s">
        <v>101</v>
      </c>
      <c r="E15" s="1014">
        <v>15000</v>
      </c>
      <c r="F15" s="406">
        <v>1564</v>
      </c>
      <c r="G15" s="406" t="s">
        <v>11</v>
      </c>
      <c r="H15" s="393">
        <f>7472/12</f>
        <v>622.66666666666663</v>
      </c>
      <c r="I15" s="401">
        <f t="shared" ref="I15:I22" si="4">IF(F15=2395, H15*12*0.62/100, IF(F15=1564, H15*12*0.65/100, ""))</f>
        <v>48.568000000000005</v>
      </c>
      <c r="J15" s="739" t="s">
        <v>406</v>
      </c>
      <c r="K15" s="739"/>
      <c r="L15" s="739"/>
      <c r="M15" s="1036">
        <f>+C15</f>
        <v>2</v>
      </c>
      <c r="N15" s="457" t="s">
        <v>101</v>
      </c>
      <c r="O15" s="1014">
        <v>3973</v>
      </c>
      <c r="P15" s="734">
        <v>6843</v>
      </c>
      <c r="Q15" s="734" t="s">
        <v>21</v>
      </c>
      <c r="R15" s="393"/>
      <c r="S15" s="484">
        <f t="shared" ref="S15:S22" si="5">IF(P15=6843, R15*12*0.62/100,IF(P15=2821, R15*12*0.63/100,IF(P15=6842, R15*12*0.63/100,IF(P15=1564, R15*12*0.65/100, ""))))</f>
        <v>0</v>
      </c>
      <c r="T15" s="677"/>
      <c r="U15" s="677"/>
      <c r="V15" s="386"/>
      <c r="W15" s="771"/>
      <c r="X15" s="771"/>
      <c r="Y15" s="773"/>
      <c r="Z15" s="772" t="s">
        <v>32</v>
      </c>
      <c r="AA15" s="785">
        <f>SUM(AA7:AA13)</f>
        <v>38000</v>
      </c>
      <c r="AB15" s="785">
        <f ca="1">SUM(AB7:AB13)</f>
        <v>137988</v>
      </c>
      <c r="AC15" s="785">
        <f ca="1">SUM(AC7:AC13)</f>
        <v>175988</v>
      </c>
      <c r="AD15" s="785">
        <f>SUM(AD7:AD13)</f>
        <v>0</v>
      </c>
      <c r="AE15" s="785">
        <f ca="1">SUM(AE7:AE13)</f>
        <v>175988</v>
      </c>
      <c r="AF15" s="773"/>
      <c r="AG15" s="773"/>
      <c r="AH15" s="773"/>
      <c r="AI15" s="773"/>
      <c r="AJ15" s="771"/>
      <c r="AK15" s="771"/>
      <c r="AL15" s="774"/>
      <c r="AM15" s="774"/>
      <c r="AN15" s="774"/>
      <c r="AO15" s="774"/>
      <c r="AP15" s="774"/>
      <c r="AQ15" s="774"/>
      <c r="AR15" s="774"/>
      <c r="AS15" s="771"/>
      <c r="AT15" s="773"/>
      <c r="AU15" s="771"/>
      <c r="AV15" s="771"/>
      <c r="AW15" s="774"/>
      <c r="AX15" s="774"/>
      <c r="AY15" s="774"/>
      <c r="AZ15" s="774"/>
      <c r="BA15" s="774"/>
      <c r="BB15" s="774"/>
      <c r="BC15" s="774"/>
      <c r="BD15" s="771"/>
      <c r="BE15" s="773"/>
      <c r="BF15" s="773"/>
      <c r="BG15" s="773"/>
      <c r="BH15" s="773"/>
      <c r="BI15" s="773"/>
      <c r="BJ15" s="773"/>
      <c r="BK15" s="773"/>
      <c r="BL15" s="773"/>
      <c r="BM15" s="773"/>
      <c r="BN15" s="773"/>
      <c r="BO15" s="773"/>
      <c r="BP15" s="773"/>
      <c r="BQ15" s="773"/>
      <c r="BR15" s="773"/>
      <c r="BS15" s="773"/>
      <c r="BT15" s="773"/>
      <c r="BU15" s="773"/>
      <c r="BV15" s="773"/>
    </row>
    <row r="16" spans="1:74" s="439" customFormat="1" ht="18" x14ac:dyDescent="0.25">
      <c r="A16" s="770"/>
      <c r="B16" s="1045"/>
      <c r="C16" s="1017"/>
      <c r="D16" s="458" t="s">
        <v>102</v>
      </c>
      <c r="E16" s="1014"/>
      <c r="F16" s="406">
        <v>1564</v>
      </c>
      <c r="G16" s="406" t="s">
        <v>11</v>
      </c>
      <c r="H16" s="391">
        <v>1663.5</v>
      </c>
      <c r="I16" s="401">
        <f t="shared" si="4"/>
        <v>129.75300000000001</v>
      </c>
      <c r="J16" s="739" t="s">
        <v>407</v>
      </c>
      <c r="K16" s="695" t="s">
        <v>408</v>
      </c>
      <c r="L16" s="695"/>
      <c r="M16" s="1017"/>
      <c r="N16" s="458" t="s">
        <v>102</v>
      </c>
      <c r="O16" s="1014"/>
      <c r="P16" s="734">
        <v>6843</v>
      </c>
      <c r="Q16" s="734" t="s">
        <v>21</v>
      </c>
      <c r="R16" s="391"/>
      <c r="S16" s="484">
        <f t="shared" si="5"/>
        <v>0</v>
      </c>
      <c r="T16" s="386"/>
      <c r="U16" s="677"/>
      <c r="V16" s="386"/>
      <c r="W16" s="771"/>
      <c r="X16" s="771"/>
      <c r="Y16" s="773"/>
      <c r="Z16" s="773"/>
      <c r="AA16" s="773"/>
      <c r="AB16" s="773"/>
      <c r="AC16" s="773"/>
      <c r="AD16" s="773"/>
      <c r="AE16" s="773"/>
      <c r="AF16" s="773"/>
      <c r="AG16" s="773"/>
      <c r="AH16" s="773"/>
      <c r="AI16" s="773"/>
      <c r="AJ16" s="771"/>
      <c r="AK16" s="771"/>
      <c r="AL16" s="774"/>
      <c r="AM16" s="774"/>
      <c r="AN16" s="774"/>
      <c r="AO16" s="774"/>
      <c r="AP16" s="774"/>
      <c r="AQ16" s="774"/>
      <c r="AR16" s="774"/>
      <c r="AS16" s="771"/>
      <c r="AT16" s="773"/>
      <c r="AU16" s="771"/>
      <c r="AV16" s="771"/>
      <c r="AW16" s="774"/>
      <c r="AX16" s="774"/>
      <c r="AY16" s="774"/>
      <c r="AZ16" s="774"/>
      <c r="BA16" s="774"/>
      <c r="BB16" s="774"/>
      <c r="BC16" s="774"/>
      <c r="BD16" s="771"/>
      <c r="BE16" s="773"/>
      <c r="BF16" s="773"/>
      <c r="BG16" s="773"/>
      <c r="BH16" s="773"/>
      <c r="BI16" s="773"/>
      <c r="BJ16" s="773"/>
      <c r="BK16" s="773"/>
      <c r="BL16" s="773"/>
      <c r="BM16" s="773"/>
      <c r="BN16" s="773"/>
      <c r="BO16" s="773"/>
      <c r="BP16" s="773"/>
      <c r="BQ16" s="773"/>
      <c r="BR16" s="773"/>
      <c r="BS16" s="773"/>
      <c r="BT16" s="773"/>
      <c r="BU16" s="773"/>
      <c r="BV16" s="773"/>
    </row>
    <row r="17" spans="1:74" s="439" customFormat="1" ht="18" x14ac:dyDescent="0.25">
      <c r="A17" s="770"/>
      <c r="B17" s="1045"/>
      <c r="C17" s="1017"/>
      <c r="D17" s="458" t="s">
        <v>103</v>
      </c>
      <c r="E17" s="1014"/>
      <c r="F17" s="406">
        <v>1564</v>
      </c>
      <c r="G17" s="406" t="s">
        <v>11</v>
      </c>
      <c r="H17" s="391">
        <v>1656.1666666666667</v>
      </c>
      <c r="I17" s="401">
        <f t="shared" si="4"/>
        <v>129.18100000000001</v>
      </c>
      <c r="J17" s="739" t="s">
        <v>409</v>
      </c>
      <c r="K17" s="695" t="s">
        <v>410</v>
      </c>
      <c r="L17" s="441"/>
      <c r="M17" s="1017"/>
      <c r="N17" s="458" t="s">
        <v>103</v>
      </c>
      <c r="O17" s="1014"/>
      <c r="P17" s="734">
        <v>6843</v>
      </c>
      <c r="Q17" s="734" t="s">
        <v>21</v>
      </c>
      <c r="R17" s="391"/>
      <c r="S17" s="484">
        <f t="shared" si="5"/>
        <v>0</v>
      </c>
      <c r="T17" s="386"/>
      <c r="U17" s="677"/>
      <c r="V17" s="386"/>
      <c r="W17" s="771"/>
      <c r="X17" s="771"/>
      <c r="Y17" s="773"/>
      <c r="Z17" s="773"/>
      <c r="AA17" s="773"/>
      <c r="AB17" s="773"/>
      <c r="AC17" s="773"/>
      <c r="AD17" s="773"/>
      <c r="AE17" s="773"/>
      <c r="AF17" s="773"/>
      <c r="AG17" s="773"/>
      <c r="AH17" s="773"/>
      <c r="AI17" s="773"/>
      <c r="AJ17" s="771"/>
      <c r="AK17" s="771"/>
      <c r="AL17" s="774"/>
      <c r="AM17" s="774"/>
      <c r="AN17" s="774"/>
      <c r="AO17" s="774"/>
      <c r="AP17" s="774"/>
      <c r="AQ17" s="774"/>
      <c r="AR17" s="774"/>
      <c r="AS17" s="771"/>
      <c r="AT17" s="773"/>
      <c r="AU17" s="771"/>
      <c r="AV17" s="771"/>
      <c r="AW17" s="774"/>
      <c r="AX17" s="774"/>
      <c r="AY17" s="774"/>
      <c r="AZ17" s="774"/>
      <c r="BA17" s="774"/>
      <c r="BB17" s="774"/>
      <c r="BC17" s="774"/>
      <c r="BD17" s="771"/>
      <c r="BE17" s="773"/>
      <c r="BF17" s="773"/>
      <c r="BG17" s="773"/>
      <c r="BH17" s="773"/>
      <c r="BI17" s="773"/>
      <c r="BJ17" s="773"/>
      <c r="BK17" s="773"/>
      <c r="BL17" s="773"/>
      <c r="BM17" s="773"/>
      <c r="BN17" s="773"/>
      <c r="BO17" s="773"/>
      <c r="BP17" s="773"/>
      <c r="BQ17" s="773"/>
      <c r="BR17" s="773"/>
      <c r="BS17" s="773"/>
      <c r="BT17" s="773"/>
      <c r="BU17" s="773"/>
      <c r="BV17" s="773"/>
    </row>
    <row r="18" spans="1:74" s="439" customFormat="1" ht="18" x14ac:dyDescent="0.25">
      <c r="A18" s="770"/>
      <c r="B18" s="1045"/>
      <c r="C18" s="1017"/>
      <c r="D18" s="458" t="s">
        <v>104</v>
      </c>
      <c r="E18" s="1014"/>
      <c r="F18" s="406">
        <v>1564</v>
      </c>
      <c r="G18" s="406" t="s">
        <v>11</v>
      </c>
      <c r="H18" s="391">
        <v>1543.5</v>
      </c>
      <c r="I18" s="401">
        <f t="shared" si="4"/>
        <v>120.39300000000001</v>
      </c>
      <c r="J18" s="739" t="s">
        <v>411</v>
      </c>
      <c r="K18" s="695" t="s">
        <v>412</v>
      </c>
      <c r="L18" s="441"/>
      <c r="M18" s="1017"/>
      <c r="N18" s="458" t="s">
        <v>104</v>
      </c>
      <c r="O18" s="1014"/>
      <c r="P18" s="734">
        <v>6843</v>
      </c>
      <c r="Q18" s="734" t="s">
        <v>21</v>
      </c>
      <c r="R18" s="391"/>
      <c r="S18" s="484">
        <f t="shared" si="5"/>
        <v>0</v>
      </c>
      <c r="T18" s="677"/>
      <c r="U18" s="738"/>
      <c r="V18" s="386"/>
      <c r="W18" s="771"/>
      <c r="X18" s="771"/>
      <c r="Y18" s="1060" t="s">
        <v>36</v>
      </c>
      <c r="Z18" s="1060"/>
      <c r="AA18" s="1060"/>
      <c r="AB18" s="1060"/>
      <c r="AC18" s="1060"/>
      <c r="AD18" s="773"/>
      <c r="AE18" s="773"/>
      <c r="AF18" s="773"/>
      <c r="AG18" s="773"/>
      <c r="AH18" s="773"/>
      <c r="AI18" s="773"/>
      <c r="AJ18" s="771"/>
      <c r="AK18" s="771"/>
      <c r="AL18" s="774"/>
      <c r="AM18" s="774"/>
      <c r="AN18" s="774"/>
      <c r="AO18" s="774"/>
      <c r="AP18" s="774"/>
      <c r="AQ18" s="774"/>
      <c r="AR18" s="774"/>
      <c r="AS18" s="771"/>
      <c r="AT18" s="773"/>
      <c r="AU18" s="771"/>
      <c r="AV18" s="771"/>
      <c r="AW18" s="774"/>
      <c r="AX18" s="774"/>
      <c r="AY18" s="774"/>
      <c r="AZ18" s="774"/>
      <c r="BA18" s="774"/>
      <c r="BB18" s="774"/>
      <c r="BC18" s="774"/>
      <c r="BD18" s="771"/>
      <c r="BE18" s="773"/>
      <c r="BF18" s="773"/>
      <c r="BG18" s="773"/>
      <c r="BH18" s="773"/>
      <c r="BI18" s="773"/>
      <c r="BJ18" s="773"/>
      <c r="BK18" s="773"/>
      <c r="BL18" s="773"/>
      <c r="BM18" s="773"/>
      <c r="BN18" s="773"/>
      <c r="BO18" s="773"/>
      <c r="BP18" s="773"/>
      <c r="BQ18" s="773"/>
      <c r="BR18" s="773"/>
      <c r="BS18" s="773"/>
      <c r="BT18" s="773"/>
      <c r="BU18" s="773"/>
      <c r="BV18" s="773"/>
    </row>
    <row r="19" spans="1:74" s="439" customFormat="1" ht="18" x14ac:dyDescent="0.25">
      <c r="A19" s="770"/>
      <c r="B19" s="1045"/>
      <c r="C19" s="1017"/>
      <c r="D19" s="458" t="s">
        <v>105</v>
      </c>
      <c r="E19" s="1014"/>
      <c r="F19" s="389">
        <v>2395</v>
      </c>
      <c r="G19" s="389" t="s">
        <v>22</v>
      </c>
      <c r="H19" s="391">
        <f>7823/12</f>
        <v>651.91666666666663</v>
      </c>
      <c r="I19" s="401">
        <f t="shared" si="4"/>
        <v>48.502600000000001</v>
      </c>
      <c r="J19" s="739" t="s">
        <v>413</v>
      </c>
      <c r="K19" s="695"/>
      <c r="L19" s="441"/>
      <c r="M19" s="1017"/>
      <c r="N19" s="458" t="s">
        <v>105</v>
      </c>
      <c r="O19" s="1014"/>
      <c r="P19" s="734">
        <v>6843</v>
      </c>
      <c r="Q19" s="734" t="s">
        <v>21</v>
      </c>
      <c r="R19" s="391"/>
      <c r="S19" s="484">
        <f t="shared" si="5"/>
        <v>0</v>
      </c>
      <c r="T19" s="386"/>
      <c r="U19" s="786"/>
      <c r="V19" s="386"/>
      <c r="W19" s="771"/>
      <c r="X19" s="771"/>
      <c r="Y19" s="772" t="s">
        <v>7</v>
      </c>
      <c r="Z19" s="772" t="s">
        <v>8</v>
      </c>
      <c r="AA19" s="772" t="s">
        <v>37</v>
      </c>
      <c r="AB19" s="772" t="s">
        <v>38</v>
      </c>
      <c r="AC19" s="772" t="s">
        <v>39</v>
      </c>
      <c r="AD19" s="772" t="s">
        <v>40</v>
      </c>
      <c r="AE19" s="772" t="s">
        <v>41</v>
      </c>
      <c r="AF19" s="773"/>
      <c r="AG19" s="773"/>
      <c r="AH19" s="773"/>
      <c r="AI19" s="773"/>
      <c r="AJ19" s="771"/>
      <c r="AK19" s="771"/>
      <c r="AL19" s="774"/>
      <c r="AM19" s="774"/>
      <c r="AN19" s="774"/>
      <c r="AO19" s="774"/>
      <c r="AP19" s="774"/>
      <c r="AQ19" s="774"/>
      <c r="AR19" s="774"/>
      <c r="AS19" s="771"/>
      <c r="AT19" s="773"/>
      <c r="AU19" s="771"/>
      <c r="AV19" s="771"/>
      <c r="AW19" s="774"/>
      <c r="AX19" s="774"/>
      <c r="AY19" s="774"/>
      <c r="AZ19" s="774"/>
      <c r="BA19" s="774"/>
      <c r="BB19" s="774"/>
      <c r="BC19" s="774"/>
      <c r="BD19" s="771"/>
      <c r="BE19" s="773"/>
      <c r="BF19" s="773"/>
      <c r="BG19" s="773"/>
      <c r="BH19" s="773"/>
      <c r="BI19" s="773"/>
      <c r="BJ19" s="773"/>
      <c r="BK19" s="773"/>
      <c r="BL19" s="773"/>
      <c r="BM19" s="773"/>
      <c r="BN19" s="773"/>
      <c r="BO19" s="773"/>
      <c r="BP19" s="773"/>
      <c r="BQ19" s="773"/>
      <c r="BR19" s="773"/>
      <c r="BS19" s="773"/>
      <c r="BT19" s="773"/>
      <c r="BU19" s="773"/>
      <c r="BV19" s="773"/>
    </row>
    <row r="20" spans="1:74" s="439" customFormat="1" ht="30" x14ac:dyDescent="0.25">
      <c r="A20" s="770"/>
      <c r="B20" s="1045"/>
      <c r="C20" s="1017"/>
      <c r="D20" s="458" t="s">
        <v>106</v>
      </c>
      <c r="E20" s="1014"/>
      <c r="F20" s="389">
        <v>2395</v>
      </c>
      <c r="G20" s="389" t="s">
        <v>22</v>
      </c>
      <c r="H20" s="391">
        <f>15102/12</f>
        <v>1258.5</v>
      </c>
      <c r="I20" s="401">
        <f t="shared" si="4"/>
        <v>93.632400000000004</v>
      </c>
      <c r="J20" s="739" t="s">
        <v>414</v>
      </c>
      <c r="K20" s="695" t="s">
        <v>415</v>
      </c>
      <c r="L20" s="441"/>
      <c r="M20" s="1017"/>
      <c r="N20" s="458" t="s">
        <v>106</v>
      </c>
      <c r="O20" s="1014"/>
      <c r="P20" s="734">
        <v>6843</v>
      </c>
      <c r="Q20" s="734" t="s">
        <v>21</v>
      </c>
      <c r="R20" s="391"/>
      <c r="S20" s="484">
        <f t="shared" si="5"/>
        <v>0</v>
      </c>
      <c r="T20" s="677"/>
      <c r="U20" s="758"/>
      <c r="V20" s="386"/>
      <c r="W20" s="771"/>
      <c r="X20" s="771"/>
      <c r="Y20" s="775">
        <v>1564</v>
      </c>
      <c r="Z20" s="776" t="s">
        <v>11</v>
      </c>
      <c r="AA20" s="777">
        <f>AA7*12*0.65/100</f>
        <v>1170</v>
      </c>
      <c r="AB20" s="777">
        <f>AB7*12*0.65/100</f>
        <v>2223</v>
      </c>
      <c r="AC20" s="777">
        <f t="shared" ref="AC20:AC26" si="6">SUM(AA20:AB20)</f>
        <v>3393</v>
      </c>
      <c r="AD20" s="777">
        <v>28782</v>
      </c>
      <c r="AE20" s="777">
        <f t="shared" ref="AE20:AE26" si="7">AC20-AD20</f>
        <v>-25389</v>
      </c>
      <c r="AF20" s="773"/>
      <c r="AG20" s="773"/>
      <c r="AH20" s="773"/>
      <c r="AI20" s="773"/>
      <c r="AJ20" s="771"/>
      <c r="AK20" s="771"/>
      <c r="AL20" s="774"/>
      <c r="AM20" s="774"/>
      <c r="AN20" s="774"/>
      <c r="AO20" s="774"/>
      <c r="AP20" s="774"/>
      <c r="AQ20" s="774"/>
      <c r="AR20" s="774"/>
      <c r="AS20" s="771"/>
      <c r="AT20" s="773"/>
      <c r="AU20" s="771"/>
      <c r="AV20" s="771"/>
      <c r="AW20" s="774"/>
      <c r="AX20" s="774"/>
      <c r="AY20" s="774"/>
      <c r="AZ20" s="774"/>
      <c r="BA20" s="774"/>
      <c r="BB20" s="774"/>
      <c r="BC20" s="774"/>
      <c r="BD20" s="771"/>
      <c r="BE20" s="773"/>
      <c r="BF20" s="773"/>
      <c r="BG20" s="773"/>
      <c r="BH20" s="773"/>
      <c r="BI20" s="773"/>
      <c r="BJ20" s="773"/>
      <c r="BK20" s="773"/>
      <c r="BL20" s="773"/>
      <c r="BM20" s="773"/>
      <c r="BN20" s="773"/>
      <c r="BO20" s="773"/>
      <c r="BP20" s="773"/>
      <c r="BQ20" s="773"/>
      <c r="BR20" s="773"/>
      <c r="BS20" s="773"/>
      <c r="BT20" s="773"/>
      <c r="BU20" s="773"/>
      <c r="BV20" s="773"/>
    </row>
    <row r="21" spans="1:74" s="439" customFormat="1" ht="42.75" x14ac:dyDescent="0.25">
      <c r="A21" s="770"/>
      <c r="B21" s="1045"/>
      <c r="C21" s="1017"/>
      <c r="D21" s="458" t="s">
        <v>107</v>
      </c>
      <c r="E21" s="1014"/>
      <c r="F21" s="389">
        <v>2395</v>
      </c>
      <c r="G21" s="389" t="s">
        <v>22</v>
      </c>
      <c r="H21" s="391">
        <f>20984/12</f>
        <v>1748.6666666666667</v>
      </c>
      <c r="I21" s="401">
        <f t="shared" si="4"/>
        <v>130.10079999999999</v>
      </c>
      <c r="J21" s="739" t="s">
        <v>416</v>
      </c>
      <c r="K21" s="695" t="s">
        <v>417</v>
      </c>
      <c r="L21" s="441"/>
      <c r="M21" s="1017"/>
      <c r="N21" s="458" t="s">
        <v>107</v>
      </c>
      <c r="O21" s="1014"/>
      <c r="P21" s="734">
        <v>6843</v>
      </c>
      <c r="Q21" s="734" t="s">
        <v>21</v>
      </c>
      <c r="R21" s="391"/>
      <c r="S21" s="484">
        <f t="shared" si="5"/>
        <v>0</v>
      </c>
      <c r="T21" s="386"/>
      <c r="U21" s="677"/>
      <c r="V21" s="386"/>
      <c r="W21" s="771"/>
      <c r="X21" s="771"/>
      <c r="Y21" s="442">
        <v>2395</v>
      </c>
      <c r="Z21" s="443" t="s">
        <v>22</v>
      </c>
      <c r="AA21" s="444">
        <f>AA8*12*0.62/100</f>
        <v>1711.2</v>
      </c>
      <c r="AB21" s="444">
        <f>AB8*12*0.62/100</f>
        <v>0</v>
      </c>
      <c r="AC21" s="444">
        <f t="shared" si="6"/>
        <v>1711.2</v>
      </c>
      <c r="AD21" s="444">
        <v>10416</v>
      </c>
      <c r="AE21" s="444">
        <f t="shared" si="7"/>
        <v>-8704.7999999999993</v>
      </c>
      <c r="AF21" s="787"/>
      <c r="AG21" s="772" t="s">
        <v>43</v>
      </c>
      <c r="AH21" s="772" t="s">
        <v>33</v>
      </c>
      <c r="AI21" s="773"/>
      <c r="AJ21" s="771"/>
      <c r="AK21" s="771"/>
      <c r="AL21" s="774"/>
      <c r="AM21" s="774"/>
      <c r="AN21" s="774"/>
      <c r="AO21" s="774"/>
      <c r="AP21" s="774"/>
      <c r="AQ21" s="774"/>
      <c r="AR21" s="774"/>
      <c r="AS21" s="771"/>
      <c r="AT21" s="773"/>
      <c r="AU21" s="771"/>
      <c r="AV21" s="771"/>
      <c r="AW21" s="774"/>
      <c r="AX21" s="774"/>
      <c r="AY21" s="774"/>
      <c r="AZ21" s="774"/>
      <c r="BA21" s="774"/>
      <c r="BB21" s="774"/>
      <c r="BC21" s="774"/>
      <c r="BD21" s="771"/>
      <c r="BE21" s="773"/>
      <c r="BF21" s="773"/>
      <c r="BG21" s="773"/>
      <c r="BH21" s="773"/>
      <c r="BI21" s="773"/>
      <c r="BJ21" s="773"/>
      <c r="BK21" s="773"/>
      <c r="BL21" s="773"/>
      <c r="BM21" s="773"/>
      <c r="BN21" s="773"/>
      <c r="BO21" s="773"/>
      <c r="BP21" s="773"/>
      <c r="BQ21" s="773"/>
      <c r="BR21" s="773"/>
      <c r="BS21" s="773"/>
      <c r="BT21" s="773"/>
      <c r="BU21" s="773"/>
      <c r="BV21" s="773"/>
    </row>
    <row r="22" spans="1:74" s="439" customFormat="1" ht="30" x14ac:dyDescent="0.25">
      <c r="A22" s="770"/>
      <c r="B22" s="1045"/>
      <c r="C22" s="1018"/>
      <c r="D22" s="458" t="s">
        <v>108</v>
      </c>
      <c r="E22" s="1014"/>
      <c r="F22" s="404">
        <v>2395</v>
      </c>
      <c r="G22" s="404" t="s">
        <v>22</v>
      </c>
      <c r="H22" s="719">
        <f>9683/12</f>
        <v>806.91666666666663</v>
      </c>
      <c r="I22" s="401">
        <f t="shared" si="4"/>
        <v>60.034599999999998</v>
      </c>
      <c r="J22" s="739" t="s">
        <v>418</v>
      </c>
      <c r="K22" s="695" t="s">
        <v>419</v>
      </c>
      <c r="L22" s="441"/>
      <c r="M22" s="1018"/>
      <c r="N22" s="458" t="s">
        <v>108</v>
      </c>
      <c r="O22" s="1014"/>
      <c r="P22" s="734">
        <v>6843</v>
      </c>
      <c r="Q22" s="734" t="s">
        <v>21</v>
      </c>
      <c r="R22" s="719"/>
      <c r="S22" s="484">
        <f t="shared" si="5"/>
        <v>0</v>
      </c>
      <c r="T22" s="386"/>
      <c r="U22" s="677"/>
      <c r="V22" s="386"/>
      <c r="W22" s="771"/>
      <c r="X22" s="771"/>
      <c r="Y22" s="445">
        <v>2821</v>
      </c>
      <c r="Z22" s="446" t="s">
        <v>23</v>
      </c>
      <c r="AA22" s="447">
        <f>AA9*12*0.63/100</f>
        <v>0</v>
      </c>
      <c r="AB22" s="447">
        <f>AB9*12*0.63/100</f>
        <v>0</v>
      </c>
      <c r="AC22" s="447">
        <f t="shared" si="6"/>
        <v>0</v>
      </c>
      <c r="AD22" s="447">
        <v>10962</v>
      </c>
      <c r="AE22" s="447">
        <f t="shared" si="7"/>
        <v>-10962</v>
      </c>
      <c r="AF22" s="773"/>
      <c r="AG22" s="775" t="s">
        <v>44</v>
      </c>
      <c r="AH22" s="777">
        <f>AC20+AC23</f>
        <v>3393</v>
      </c>
      <c r="AI22" s="773"/>
      <c r="AJ22" s="771"/>
      <c r="AK22" s="771"/>
      <c r="AL22" s="774"/>
      <c r="AM22" s="774"/>
      <c r="AN22" s="774"/>
      <c r="AO22" s="774"/>
      <c r="AP22" s="774"/>
      <c r="AQ22" s="774"/>
      <c r="AR22" s="774"/>
      <c r="AS22" s="771"/>
      <c r="AT22" s="773"/>
      <c r="AU22" s="771"/>
      <c r="AV22" s="771"/>
      <c r="AW22" s="774"/>
      <c r="AX22" s="774"/>
      <c r="AY22" s="774"/>
      <c r="AZ22" s="774"/>
      <c r="BA22" s="774"/>
      <c r="BB22" s="774"/>
      <c r="BC22" s="774"/>
      <c r="BD22" s="771"/>
      <c r="BE22" s="773"/>
      <c r="BF22" s="773"/>
      <c r="BG22" s="773"/>
      <c r="BH22" s="773"/>
      <c r="BI22" s="773"/>
      <c r="BJ22" s="773"/>
      <c r="BK22" s="773"/>
      <c r="BL22" s="773"/>
      <c r="BM22" s="773"/>
      <c r="BN22" s="773"/>
      <c r="BO22" s="773"/>
      <c r="BP22" s="773"/>
      <c r="BQ22" s="773"/>
      <c r="BR22" s="773"/>
      <c r="BS22" s="773"/>
      <c r="BT22" s="773"/>
      <c r="BU22" s="773"/>
      <c r="BV22" s="773"/>
    </row>
    <row r="23" spans="1:74" s="439" customFormat="1" ht="42.75" customHeight="1" x14ac:dyDescent="0.25">
      <c r="A23" s="770"/>
      <c r="B23" s="1045"/>
      <c r="C23" s="1065" t="s">
        <v>99</v>
      </c>
      <c r="D23" s="1057"/>
      <c r="E23" s="788">
        <f>E15*12*0.62/100</f>
        <v>1116</v>
      </c>
      <c r="F23" s="1034" t="s">
        <v>100</v>
      </c>
      <c r="G23" s="1035"/>
      <c r="H23" s="421">
        <f>+SUM(H15:H22)</f>
        <v>9951.8333333333321</v>
      </c>
      <c r="I23" s="422">
        <f>+SUM(I15:I22)</f>
        <v>760.16540000000009</v>
      </c>
      <c r="J23" s="658"/>
      <c r="K23" s="658"/>
      <c r="L23" s="658"/>
      <c r="M23" s="1094" t="s">
        <v>99</v>
      </c>
      <c r="N23" s="1020"/>
      <c r="O23" s="430">
        <f>O15*12*0.65/100</f>
        <v>309.89400000000001</v>
      </c>
      <c r="P23" s="1007" t="s">
        <v>100</v>
      </c>
      <c r="Q23" s="1008"/>
      <c r="R23" s="431"/>
      <c r="S23" s="432">
        <f>+SUM(S15:S22)</f>
        <v>0</v>
      </c>
      <c r="T23" s="678"/>
      <c r="U23" s="671"/>
      <c r="V23" s="658"/>
      <c r="W23" s="771"/>
      <c r="X23" s="771"/>
      <c r="Y23" s="778">
        <v>5037</v>
      </c>
      <c r="Z23" s="779" t="s">
        <v>25</v>
      </c>
      <c r="AA23" s="780">
        <f>AA10*12/100</f>
        <v>0</v>
      </c>
      <c r="AB23" s="780">
        <f>AB10*12/100</f>
        <v>0</v>
      </c>
      <c r="AC23" s="780">
        <f t="shared" si="6"/>
        <v>0</v>
      </c>
      <c r="AD23" s="780">
        <v>0</v>
      </c>
      <c r="AE23" s="780">
        <f t="shared" si="7"/>
        <v>0</v>
      </c>
      <c r="AF23" s="773"/>
      <c r="AG23" s="442" t="s">
        <v>46</v>
      </c>
      <c r="AH23" s="444">
        <f>AC21+AC24</f>
        <v>1711.2</v>
      </c>
      <c r="AI23" s="773"/>
      <c r="AJ23" s="771"/>
      <c r="AK23" s="771"/>
      <c r="AL23" s="774"/>
      <c r="AM23" s="774"/>
      <c r="AN23" s="774"/>
      <c r="AO23" s="774"/>
      <c r="AP23" s="774"/>
      <c r="AQ23" s="774"/>
      <c r="AR23" s="774"/>
      <c r="AS23" s="771"/>
      <c r="AT23" s="773"/>
      <c r="AU23" s="771"/>
      <c r="AV23" s="771"/>
      <c r="AW23" s="774"/>
      <c r="AX23" s="774"/>
      <c r="AY23" s="774"/>
      <c r="AZ23" s="774"/>
      <c r="BA23" s="774"/>
      <c r="BB23" s="774"/>
      <c r="BC23" s="774"/>
      <c r="BD23" s="771"/>
      <c r="BE23" s="773"/>
      <c r="BF23" s="773"/>
      <c r="BG23" s="773"/>
      <c r="BH23" s="773"/>
      <c r="BI23" s="773"/>
      <c r="BJ23" s="773"/>
      <c r="BK23" s="773"/>
      <c r="BL23" s="773"/>
      <c r="BM23" s="773"/>
      <c r="BN23" s="773"/>
      <c r="BO23" s="773"/>
      <c r="BP23" s="773"/>
      <c r="BQ23" s="773"/>
      <c r="BR23" s="773"/>
      <c r="BS23" s="773"/>
      <c r="BT23" s="773"/>
      <c r="BU23" s="773"/>
      <c r="BV23" s="773"/>
    </row>
    <row r="24" spans="1:74" s="439" customFormat="1" ht="36" x14ac:dyDescent="0.25">
      <c r="A24" s="770"/>
      <c r="B24" s="1061"/>
      <c r="C24" s="1066">
        <v>3</v>
      </c>
      <c r="D24" s="478" t="s">
        <v>109</v>
      </c>
      <c r="E24" s="1031">
        <v>15000</v>
      </c>
      <c r="F24" s="482">
        <v>2395</v>
      </c>
      <c r="G24" s="482" t="s">
        <v>22</v>
      </c>
      <c r="H24" s="423">
        <v>1462</v>
      </c>
      <c r="I24" s="702">
        <f t="shared" ref="I24:I31" si="8">IF(F24=2395, H24*12*0.62/100, IF(F24=1564, H24*12*0.65/100, ""))</f>
        <v>108.7728</v>
      </c>
      <c r="J24" s="698" t="s">
        <v>420</v>
      </c>
      <c r="K24" s="698"/>
      <c r="L24" s="441"/>
      <c r="M24" s="1016">
        <f>+C24</f>
        <v>3</v>
      </c>
      <c r="N24" s="458" t="s">
        <v>109</v>
      </c>
      <c r="O24" s="1013">
        <v>28500</v>
      </c>
      <c r="P24" s="406">
        <v>1564</v>
      </c>
      <c r="Q24" s="406" t="s">
        <v>11</v>
      </c>
      <c r="R24" s="396">
        <v>3225.8</v>
      </c>
      <c r="S24" s="484">
        <f t="shared" ref="S24:S31" si="9">IF(P24=6843, R24*12*0.62/100,IF(P24=2821, R24*12*0.63/100,IF(P24=6842, R24*12*0.63/100,IF(P24=1564, R24*12*0.65/100, ""))))</f>
        <v>251.61240000000006</v>
      </c>
      <c r="T24" s="675"/>
      <c r="U24" s="675" t="s">
        <v>421</v>
      </c>
      <c r="V24" s="385"/>
      <c r="W24" s="771"/>
      <c r="X24" s="771">
        <v>41668</v>
      </c>
      <c r="Y24" s="781">
        <v>6788</v>
      </c>
      <c r="Z24" s="782" t="s">
        <v>28</v>
      </c>
      <c r="AA24" s="783">
        <f>AA11*12/100</f>
        <v>0</v>
      </c>
      <c r="AB24" s="783">
        <f>AB11*12/100</f>
        <v>0</v>
      </c>
      <c r="AC24" s="783">
        <f t="shared" si="6"/>
        <v>0</v>
      </c>
      <c r="AD24" s="783">
        <v>0</v>
      </c>
      <c r="AE24" s="783">
        <f t="shared" si="7"/>
        <v>0</v>
      </c>
      <c r="AF24" s="773"/>
      <c r="AG24" s="445" t="s">
        <v>47</v>
      </c>
      <c r="AH24" s="447">
        <f>AC22</f>
        <v>0</v>
      </c>
      <c r="AI24" s="773"/>
      <c r="AJ24" s="771"/>
      <c r="AK24" s="771"/>
      <c r="AL24" s="774"/>
      <c r="AM24" s="774"/>
      <c r="AN24" s="774"/>
      <c r="AO24" s="774"/>
      <c r="AP24" s="774"/>
      <c r="AQ24" s="774"/>
      <c r="AR24" s="774"/>
      <c r="AS24" s="771"/>
      <c r="AT24" s="773"/>
      <c r="AU24" s="771"/>
      <c r="AV24" s="771"/>
      <c r="AW24" s="774"/>
      <c r="AX24" s="774"/>
      <c r="AY24" s="774"/>
      <c r="AZ24" s="774"/>
      <c r="BA24" s="774"/>
      <c r="BB24" s="774"/>
      <c r="BC24" s="774"/>
      <c r="BD24" s="771"/>
      <c r="BE24" s="773"/>
      <c r="BF24" s="773"/>
      <c r="BG24" s="773"/>
      <c r="BH24" s="773"/>
      <c r="BI24" s="773"/>
      <c r="BJ24" s="773"/>
      <c r="BK24" s="773"/>
      <c r="BL24" s="773"/>
      <c r="BM24" s="773"/>
      <c r="BN24" s="773"/>
      <c r="BO24" s="773"/>
      <c r="BP24" s="773"/>
      <c r="BQ24" s="773"/>
      <c r="BR24" s="773"/>
      <c r="BS24" s="773"/>
      <c r="BT24" s="773"/>
      <c r="BU24" s="773"/>
      <c r="BV24" s="773"/>
    </row>
    <row r="25" spans="1:74" s="439" customFormat="1" ht="57.75" customHeight="1" x14ac:dyDescent="0.25">
      <c r="A25" s="770"/>
      <c r="B25" s="1061"/>
      <c r="C25" s="1067"/>
      <c r="D25" s="479" t="s">
        <v>110</v>
      </c>
      <c r="E25" s="1032"/>
      <c r="F25" s="480">
        <v>2395</v>
      </c>
      <c r="G25" s="480" t="s">
        <v>22</v>
      </c>
      <c r="H25" s="420">
        <v>2430</v>
      </c>
      <c r="I25" s="429">
        <f t="shared" si="8"/>
        <v>180.792</v>
      </c>
      <c r="J25" s="698" t="s">
        <v>422</v>
      </c>
      <c r="K25" s="698"/>
      <c r="L25" s="441"/>
      <c r="M25" s="1017"/>
      <c r="N25" s="459" t="s">
        <v>110</v>
      </c>
      <c r="O25" s="1014"/>
      <c r="P25" s="406">
        <v>1564</v>
      </c>
      <c r="Q25" s="406" t="s">
        <v>11</v>
      </c>
      <c r="R25" s="396">
        <v>2382</v>
      </c>
      <c r="S25" s="484">
        <f t="shared" si="9"/>
        <v>185.79600000000002</v>
      </c>
      <c r="T25" s="385" t="s">
        <v>423</v>
      </c>
      <c r="U25" s="677" t="s">
        <v>424</v>
      </c>
      <c r="V25" s="386"/>
      <c r="W25" s="771"/>
      <c r="X25" s="771">
        <v>16789</v>
      </c>
      <c r="Y25" s="448">
        <v>6841</v>
      </c>
      <c r="Z25" s="449" t="s">
        <v>26</v>
      </c>
      <c r="AA25" s="450">
        <f>AA12*12*0.62/100</f>
        <v>0</v>
      </c>
      <c r="AB25" s="450">
        <f ca="1">AB12*12*0.62/100</f>
        <v>8145.9071999999996</v>
      </c>
      <c r="AC25" s="450">
        <f t="shared" ca="1" si="6"/>
        <v>8145.9071999999996</v>
      </c>
      <c r="AD25" s="450">
        <v>0</v>
      </c>
      <c r="AE25" s="450">
        <f t="shared" ca="1" si="7"/>
        <v>8145.9071999999996</v>
      </c>
      <c r="AF25" s="773"/>
      <c r="AG25" s="460" t="s">
        <v>48</v>
      </c>
      <c r="AH25" s="461">
        <f ca="1">AC25</f>
        <v>8145.9071999999996</v>
      </c>
      <c r="AI25" s="773"/>
      <c r="AJ25" s="771"/>
      <c r="AK25" s="771"/>
      <c r="AL25" s="774"/>
      <c r="AM25" s="774"/>
      <c r="AN25" s="774"/>
      <c r="AO25" s="774"/>
      <c r="AP25" s="774"/>
      <c r="AQ25" s="774"/>
      <c r="AR25" s="774"/>
      <c r="AS25" s="771"/>
      <c r="AT25" s="773"/>
      <c r="AU25" s="771"/>
      <c r="AV25" s="771"/>
      <c r="AW25" s="774"/>
      <c r="AX25" s="774"/>
      <c r="AY25" s="774"/>
      <c r="AZ25" s="774"/>
      <c r="BA25" s="774"/>
      <c r="BB25" s="774"/>
      <c r="BC25" s="774"/>
      <c r="BD25" s="771"/>
      <c r="BE25" s="773"/>
      <c r="BF25" s="773"/>
      <c r="BG25" s="773"/>
      <c r="BH25" s="773"/>
      <c r="BI25" s="773"/>
      <c r="BJ25" s="773"/>
      <c r="BK25" s="773"/>
      <c r="BL25" s="773"/>
      <c r="BM25" s="773"/>
      <c r="BN25" s="773"/>
      <c r="BO25" s="773"/>
      <c r="BP25" s="773"/>
      <c r="BQ25" s="773"/>
      <c r="BR25" s="773"/>
      <c r="BS25" s="773"/>
      <c r="BT25" s="773"/>
      <c r="BU25" s="773"/>
      <c r="BV25" s="773"/>
    </row>
    <row r="26" spans="1:74" s="439" customFormat="1" ht="36" x14ac:dyDescent="0.25">
      <c r="A26" s="770"/>
      <c r="B26" s="1061"/>
      <c r="C26" s="1067"/>
      <c r="D26" s="479" t="s">
        <v>111</v>
      </c>
      <c r="E26" s="1032"/>
      <c r="F26" s="480">
        <v>2395</v>
      </c>
      <c r="G26" s="480" t="s">
        <v>22</v>
      </c>
      <c r="H26" s="420">
        <v>2582</v>
      </c>
      <c r="I26" s="429">
        <f t="shared" si="8"/>
        <v>192.10079999999999</v>
      </c>
      <c r="J26" s="698" t="s">
        <v>425</v>
      </c>
      <c r="K26" s="698"/>
      <c r="L26" s="441"/>
      <c r="M26" s="1017"/>
      <c r="N26" s="459" t="s">
        <v>111</v>
      </c>
      <c r="O26" s="1014"/>
      <c r="P26" s="406">
        <v>1564</v>
      </c>
      <c r="Q26" s="406" t="s">
        <v>11</v>
      </c>
      <c r="R26" s="396">
        <v>2910</v>
      </c>
      <c r="S26" s="484">
        <f t="shared" si="9"/>
        <v>226.98</v>
      </c>
      <c r="T26" s="386" t="s">
        <v>426</v>
      </c>
      <c r="U26" s="675" t="s">
        <v>427</v>
      </c>
      <c r="V26" s="385"/>
      <c r="W26" s="771"/>
      <c r="X26" s="771">
        <v>30194</v>
      </c>
      <c r="Y26" s="451">
        <v>6842</v>
      </c>
      <c r="Z26" s="452" t="s">
        <v>29</v>
      </c>
      <c r="AA26" s="453">
        <f>AA13*12*0.62/100</f>
        <v>0</v>
      </c>
      <c r="AB26" s="453">
        <f>AB13*12*0.62/100</f>
        <v>0</v>
      </c>
      <c r="AC26" s="453">
        <f t="shared" si="6"/>
        <v>0</v>
      </c>
      <c r="AD26" s="453">
        <v>0</v>
      </c>
      <c r="AE26" s="453">
        <f t="shared" si="7"/>
        <v>0</v>
      </c>
      <c r="AF26" s="773"/>
      <c r="AG26" s="451" t="s">
        <v>50</v>
      </c>
      <c r="AH26" s="453">
        <f>AC26</f>
        <v>0</v>
      </c>
      <c r="AI26" s="773"/>
      <c r="AJ26" s="771"/>
      <c r="AK26" s="771"/>
      <c r="AL26" s="774"/>
      <c r="AM26" s="774"/>
      <c r="AN26" s="774"/>
      <c r="AO26" s="774"/>
      <c r="AP26" s="774"/>
      <c r="AQ26" s="774"/>
      <c r="AR26" s="774"/>
      <c r="AS26" s="771"/>
      <c r="AT26" s="773"/>
      <c r="AU26" s="771"/>
      <c r="AV26" s="771"/>
      <c r="AW26" s="774"/>
      <c r="AX26" s="774"/>
      <c r="AY26" s="774"/>
      <c r="AZ26" s="774"/>
      <c r="BA26" s="774"/>
      <c r="BB26" s="774"/>
      <c r="BC26" s="774"/>
      <c r="BD26" s="771"/>
      <c r="BE26" s="773"/>
      <c r="BF26" s="773"/>
      <c r="BG26" s="773"/>
      <c r="BH26" s="773"/>
      <c r="BI26" s="773"/>
      <c r="BJ26" s="773"/>
      <c r="BK26" s="773"/>
      <c r="BL26" s="773"/>
      <c r="BM26" s="773"/>
      <c r="BN26" s="773"/>
      <c r="BO26" s="773"/>
      <c r="BP26" s="773"/>
      <c r="BQ26" s="773"/>
      <c r="BR26" s="773"/>
      <c r="BS26" s="773"/>
      <c r="BT26" s="773"/>
      <c r="BU26" s="773"/>
      <c r="BV26" s="773"/>
    </row>
    <row r="27" spans="1:74" s="439" customFormat="1" ht="72" customHeight="1" x14ac:dyDescent="0.25">
      <c r="A27" s="770"/>
      <c r="B27" s="1061"/>
      <c r="C27" s="1067"/>
      <c r="D27" s="479" t="s">
        <v>112</v>
      </c>
      <c r="E27" s="1032"/>
      <c r="F27" s="480">
        <v>2395</v>
      </c>
      <c r="G27" s="480" t="s">
        <v>22</v>
      </c>
      <c r="H27" s="420">
        <v>1922</v>
      </c>
      <c r="I27" s="429">
        <f t="shared" si="8"/>
        <v>142.99680000000001</v>
      </c>
      <c r="J27" s="698" t="s">
        <v>428</v>
      </c>
      <c r="K27" s="698"/>
      <c r="L27" s="698"/>
      <c r="M27" s="1017"/>
      <c r="N27" s="459" t="s">
        <v>112</v>
      </c>
      <c r="O27" s="1014"/>
      <c r="P27" s="406">
        <v>1564</v>
      </c>
      <c r="Q27" s="406" t="s">
        <v>11</v>
      </c>
      <c r="R27" s="396">
        <v>2488</v>
      </c>
      <c r="S27" s="484">
        <f t="shared" si="9"/>
        <v>194.06400000000002</v>
      </c>
      <c r="T27" s="385" t="s">
        <v>429</v>
      </c>
      <c r="U27" s="677" t="s">
        <v>430</v>
      </c>
      <c r="V27" s="386"/>
      <c r="W27" s="771"/>
      <c r="X27" s="771">
        <v>41584</v>
      </c>
      <c r="Y27" s="773"/>
      <c r="Z27" s="772" t="s">
        <v>39</v>
      </c>
      <c r="AA27" s="785">
        <f>SUM(AA20:AA26)</f>
        <v>2881.2</v>
      </c>
      <c r="AB27" s="785">
        <f ca="1">SUM(AB20:AB26)</f>
        <v>10368.9072</v>
      </c>
      <c r="AC27" s="785">
        <f ca="1">SUM(AC20:AC26)</f>
        <v>13250.107199999999</v>
      </c>
      <c r="AD27" s="785">
        <f>SUM(AD20:AD26)</f>
        <v>50160</v>
      </c>
      <c r="AE27" s="785">
        <f ca="1">SUM(AE20:AE26)</f>
        <v>-36909.892800000001</v>
      </c>
      <c r="AF27" s="773"/>
      <c r="AG27" s="772" t="s">
        <v>51</v>
      </c>
      <c r="AH27" s="785">
        <f ca="1">SUM(AH22:AH26)</f>
        <v>13250.107199999999</v>
      </c>
      <c r="AI27" s="773"/>
      <c r="AJ27" s="771"/>
      <c r="AK27" s="771"/>
      <c r="AL27" s="774"/>
      <c r="AM27" s="774"/>
      <c r="AN27" s="774"/>
      <c r="AO27" s="774"/>
      <c r="AP27" s="774"/>
      <c r="AQ27" s="774"/>
      <c r="AR27" s="774"/>
      <c r="AS27" s="771"/>
      <c r="AT27" s="773"/>
      <c r="AU27" s="771"/>
      <c r="AV27" s="771"/>
      <c r="AW27" s="774"/>
      <c r="AX27" s="774"/>
      <c r="AY27" s="774"/>
      <c r="AZ27" s="774"/>
      <c r="BA27" s="774"/>
      <c r="BB27" s="774"/>
      <c r="BC27" s="774"/>
      <c r="BD27" s="771"/>
      <c r="BE27" s="773"/>
      <c r="BF27" s="773"/>
      <c r="BG27" s="773"/>
      <c r="BH27" s="773"/>
      <c r="BI27" s="773"/>
      <c r="BJ27" s="773"/>
      <c r="BK27" s="773"/>
      <c r="BL27" s="773"/>
      <c r="BM27" s="773"/>
      <c r="BN27" s="773"/>
      <c r="BO27" s="773"/>
      <c r="BP27" s="773"/>
      <c r="BQ27" s="773"/>
      <c r="BR27" s="773"/>
      <c r="BS27" s="773"/>
      <c r="BT27" s="773"/>
      <c r="BU27" s="773"/>
      <c r="BV27" s="773"/>
    </row>
    <row r="28" spans="1:74" s="439" customFormat="1" ht="57" x14ac:dyDescent="0.25">
      <c r="A28" s="770"/>
      <c r="B28" s="1061"/>
      <c r="C28" s="1067"/>
      <c r="D28" s="479" t="s">
        <v>113</v>
      </c>
      <c r="E28" s="1032"/>
      <c r="F28" s="480">
        <v>2395</v>
      </c>
      <c r="G28" s="480" t="s">
        <v>22</v>
      </c>
      <c r="H28" s="418">
        <v>2244</v>
      </c>
      <c r="I28" s="429">
        <f t="shared" si="8"/>
        <v>166.95359999999999</v>
      </c>
      <c r="J28" s="698" t="s">
        <v>431</v>
      </c>
      <c r="K28" s="698"/>
      <c r="L28" s="441"/>
      <c r="M28" s="1017"/>
      <c r="N28" s="459" t="s">
        <v>113</v>
      </c>
      <c r="O28" s="1014"/>
      <c r="P28" s="406">
        <v>1564</v>
      </c>
      <c r="Q28" s="406" t="s">
        <v>11</v>
      </c>
      <c r="R28" s="396">
        <v>3434</v>
      </c>
      <c r="S28" s="484">
        <f t="shared" si="9"/>
        <v>267.85200000000003</v>
      </c>
      <c r="T28" s="386" t="s">
        <v>432</v>
      </c>
      <c r="U28" s="675" t="s">
        <v>433</v>
      </c>
      <c r="V28" s="385"/>
      <c r="W28" s="771"/>
      <c r="X28" s="771">
        <v>53395</v>
      </c>
      <c r="Y28" s="773"/>
      <c r="Z28" s="773"/>
      <c r="AA28" s="773"/>
      <c r="AB28" s="773"/>
      <c r="AC28" s="773"/>
      <c r="AD28" s="773"/>
      <c r="AE28" s="773"/>
      <c r="AF28" s="773"/>
      <c r="AG28" s="773"/>
      <c r="AH28" s="773"/>
      <c r="AI28" s="773"/>
      <c r="AJ28" s="771"/>
      <c r="AK28" s="771"/>
      <c r="AL28" s="774"/>
      <c r="AM28" s="774"/>
      <c r="AN28" s="774"/>
      <c r="AO28" s="774"/>
      <c r="AP28" s="774"/>
      <c r="AQ28" s="774"/>
      <c r="AR28" s="774"/>
      <c r="AS28" s="771"/>
      <c r="AT28" s="773"/>
      <c r="AU28" s="771"/>
      <c r="AV28" s="771"/>
      <c r="AW28" s="774"/>
      <c r="AX28" s="774"/>
      <c r="AY28" s="774"/>
      <c r="AZ28" s="774"/>
      <c r="BA28" s="774"/>
      <c r="BB28" s="774"/>
      <c r="BC28" s="774"/>
      <c r="BD28" s="771"/>
      <c r="BE28" s="773"/>
      <c r="BF28" s="773"/>
      <c r="BG28" s="773"/>
      <c r="BH28" s="773"/>
      <c r="BI28" s="773"/>
      <c r="BJ28" s="773"/>
      <c r="BK28" s="773"/>
      <c r="BL28" s="773"/>
      <c r="BM28" s="773"/>
      <c r="BN28" s="773"/>
      <c r="BO28" s="773"/>
      <c r="BP28" s="773"/>
      <c r="BQ28" s="773"/>
      <c r="BR28" s="773"/>
      <c r="BS28" s="773"/>
      <c r="BT28" s="773"/>
      <c r="BU28" s="773"/>
      <c r="BV28" s="773"/>
    </row>
    <row r="29" spans="1:74" s="439" customFormat="1" ht="42.75" x14ac:dyDescent="0.25">
      <c r="A29" s="770"/>
      <c r="B29" s="1061"/>
      <c r="C29" s="1067"/>
      <c r="D29" s="479" t="s">
        <v>114</v>
      </c>
      <c r="E29" s="1032"/>
      <c r="F29" s="480">
        <v>2395</v>
      </c>
      <c r="G29" s="480" t="s">
        <v>22</v>
      </c>
      <c r="H29" s="418">
        <v>1694</v>
      </c>
      <c r="I29" s="429">
        <f t="shared" si="8"/>
        <v>126.03360000000001</v>
      </c>
      <c r="J29" s="698" t="s">
        <v>434</v>
      </c>
      <c r="K29" s="698"/>
      <c r="L29" s="441"/>
      <c r="M29" s="1017"/>
      <c r="N29" s="459" t="s">
        <v>114</v>
      </c>
      <c r="O29" s="1014"/>
      <c r="P29" s="406">
        <v>1564</v>
      </c>
      <c r="Q29" s="406" t="s">
        <v>11</v>
      </c>
      <c r="R29" s="396">
        <v>2154</v>
      </c>
      <c r="S29" s="484">
        <f t="shared" si="9"/>
        <v>168.012</v>
      </c>
      <c r="T29" s="386" t="s">
        <v>435</v>
      </c>
      <c r="U29" s="677" t="s">
        <v>436</v>
      </c>
      <c r="V29" s="386"/>
      <c r="W29" s="771"/>
      <c r="X29" s="771">
        <v>36477</v>
      </c>
      <c r="Y29" s="773"/>
      <c r="Z29" s="773"/>
      <c r="AA29" s="773"/>
      <c r="AB29" s="773"/>
      <c r="AC29" s="773"/>
      <c r="AD29" s="773"/>
      <c r="AE29" s="773"/>
      <c r="AF29" s="773"/>
      <c r="AG29" s="773"/>
      <c r="AH29" s="773"/>
      <c r="AI29" s="773"/>
      <c r="AJ29" s="773">
        <v>1564</v>
      </c>
      <c r="AK29" s="773" t="s">
        <v>11</v>
      </c>
      <c r="AL29" s="787">
        <f>SUMIF($F$6:$F$30,$AJ29,$E$6:$E$30)+SUMIF($I$6:$I$30,$AJ29,$H$6:$H$30)+SUMIF($P$6:$P$30,$AJ29,$O$6:$O$30)+SUMIF($S$6:$S$30,$AJ29,$R$6:$R$30)</f>
        <v>43500</v>
      </c>
      <c r="AM29" s="787" t="e">
        <f>SUMIF(#REF!,$AJ29,#REF!)+SUMIF(#REF!,$AJ29,#REF!)+SUMIF(#REF!,$AJ29,#REF!)+SUMIF(#REF!,$AJ29,#REF!)</f>
        <v>#REF!</v>
      </c>
      <c r="AN29" s="787" t="e">
        <f>SUMIF(#REF!,$AJ29,#REF!)+SUMIF(#REF!,$AJ29,#REF!)+SUMIF(#REF!,$AJ29,#REF!)+SUMIF(#REF!,$AJ29,#REF!)</f>
        <v>#REF!</v>
      </c>
      <c r="AO29" s="787" t="e">
        <f>SUMIF(#REF!,$AJ29,#REF!)+SUMIF(#REF!,$AJ29,#REF!)+SUMIF(#REF!,$AJ29,#REF!)+SUMIF(#REF!,$AJ29,#REF!)</f>
        <v>#REF!</v>
      </c>
      <c r="AP29" s="787" t="e">
        <f>SUMIF(#REF!,$AJ29,#REF!)+SUMIF(#REF!,$AJ29,#REF!)+SUMIF(#REF!,$AJ29,#REF!)+SUMIF(#REF!,$AJ29,#REF!)</f>
        <v>#REF!</v>
      </c>
      <c r="AQ29" s="787" t="e">
        <f>SUMIF(#REF!,$AJ29,#REF!)+SUMIF(#REF!,$AJ29,#REF!)+SUMIF(#REF!,$AJ29,#REF!)+SUMIF(#REF!,$AJ29,#REF!)</f>
        <v>#REF!</v>
      </c>
      <c r="AR29" s="787" t="e">
        <f>SUMIF(#REF!,$AJ29,#REF!)+SUMIF(#REF!,$AJ29,#REF!)+SUMIF(#REF!,$AJ29,#REF!)+SUMIF(#REF!,$AJ29,#REF!)</f>
        <v>#REF!</v>
      </c>
      <c r="AS29" s="787" t="e">
        <f>SUM(AL29:AR29)</f>
        <v>#REF!</v>
      </c>
      <c r="AT29" s="773"/>
      <c r="AU29" s="773">
        <v>1564</v>
      </c>
      <c r="AV29" s="773" t="s">
        <v>11</v>
      </c>
      <c r="AW29" s="789">
        <f>SUMIF($I$6:$I$30,$AU29,$H$6:$H$30)+SUMIF($F$6:$F$30,$AU29,$E$6:$E$30)</f>
        <v>15000</v>
      </c>
      <c r="AX29" s="789" t="e">
        <f>SUMIF(#REF!,$AU29,#REF!)+SUMIF(#REF!,$AU29,#REF!)</f>
        <v>#REF!</v>
      </c>
      <c r="AY29" s="789" t="e">
        <f>SUMIF(#REF!,$AU29,#REF!)+SUMIF(#REF!,$AU29,#REF!)</f>
        <v>#REF!</v>
      </c>
      <c r="AZ29" s="789" t="e">
        <f>SUMIF(#REF!,$AU29,#REF!)+SUMIF(#REF!,$AU29,#REF!)</f>
        <v>#REF!</v>
      </c>
      <c r="BA29" s="789" t="e">
        <f>SUMIF(#REF!,$AU29,#REF!)+SUMIF(#REF!,$AU29,#REF!)</f>
        <v>#REF!</v>
      </c>
      <c r="BB29" s="789" t="e">
        <f>SUMIF(#REF!,$AU29,#REF!)+SUMIF(#REF!,$AU29,#REF!)</f>
        <v>#REF!</v>
      </c>
      <c r="BC29" s="789" t="e">
        <f>SUMIF(#REF!,$AU29,#REF!)+SUMIF(#REF!,$AU29,#REF!)</f>
        <v>#REF!</v>
      </c>
      <c r="BD29" s="789" t="e">
        <f>SUM(AW29:BC29)</f>
        <v>#REF!</v>
      </c>
      <c r="BE29" s="773"/>
      <c r="BF29" s="773"/>
      <c r="BG29" s="773"/>
      <c r="BH29" s="773"/>
      <c r="BI29" s="773"/>
      <c r="BJ29" s="773"/>
      <c r="BK29" s="773"/>
      <c r="BL29" s="773"/>
      <c r="BM29" s="773"/>
      <c r="BN29" s="773"/>
      <c r="BO29" s="773"/>
      <c r="BP29" s="773"/>
      <c r="BQ29" s="773"/>
      <c r="BR29" s="773"/>
      <c r="BS29" s="773"/>
      <c r="BT29" s="773"/>
      <c r="BU29" s="773"/>
      <c r="BV29" s="773"/>
    </row>
    <row r="30" spans="1:74" s="439" customFormat="1" ht="42.75" x14ac:dyDescent="0.25">
      <c r="A30" s="770"/>
      <c r="B30" s="1061"/>
      <c r="C30" s="1067"/>
      <c r="D30" s="479" t="s">
        <v>115</v>
      </c>
      <c r="E30" s="1032"/>
      <c r="F30" s="480">
        <v>2395</v>
      </c>
      <c r="G30" s="480" t="s">
        <v>22</v>
      </c>
      <c r="H30" s="418">
        <v>2028</v>
      </c>
      <c r="I30" s="429">
        <f t="shared" si="8"/>
        <v>150.88319999999999</v>
      </c>
      <c r="J30" s="698" t="s">
        <v>437</v>
      </c>
      <c r="K30" s="698"/>
      <c r="L30" s="441"/>
      <c r="M30" s="1017"/>
      <c r="N30" s="459" t="s">
        <v>115</v>
      </c>
      <c r="O30" s="1014"/>
      <c r="P30" s="406">
        <v>1564</v>
      </c>
      <c r="Q30" s="406" t="s">
        <v>11</v>
      </c>
      <c r="R30" s="396">
        <v>1127.9000000000001</v>
      </c>
      <c r="S30" s="484">
        <f t="shared" si="9"/>
        <v>87.976200000000006</v>
      </c>
      <c r="T30" s="729" t="s">
        <v>438</v>
      </c>
      <c r="U30" s="675" t="s">
        <v>439</v>
      </c>
      <c r="V30" s="675"/>
      <c r="W30" s="771"/>
      <c r="X30" s="771">
        <v>28241</v>
      </c>
      <c r="Y30" s="773"/>
      <c r="Z30" s="773"/>
      <c r="AA30" s="773"/>
      <c r="AB30" s="773"/>
      <c r="AC30" s="773"/>
      <c r="AD30" s="773"/>
      <c r="AE30" s="773"/>
      <c r="AF30" s="773"/>
      <c r="AG30" s="773"/>
      <c r="AH30" s="773"/>
      <c r="AI30" s="773"/>
      <c r="AJ30" s="773">
        <v>2395</v>
      </c>
      <c r="AK30" s="773" t="s">
        <v>22</v>
      </c>
      <c r="AL30" s="787">
        <f>SUMIF($F$6:$F$30,$AJ30,$E$6:$E$30)+SUMIF($I$6:$I$30,$AJ30,$H$6:$H$30)+SUMIF($P$6:$P$30,$AJ30,$O$6:$O$30)+SUMIF($S$6:$S$30,$AJ30,$R$6:$R$30)</f>
        <v>23000</v>
      </c>
      <c r="AM30" s="787" t="e">
        <f>SUMIF(#REF!,$AJ30,#REF!)+SUMIF(#REF!,$AJ30,#REF!)+SUMIF(#REF!,$AJ30,#REF!)+SUMIF(#REF!,$AJ30,#REF!)</f>
        <v>#REF!</v>
      </c>
      <c r="AN30" s="787" t="e">
        <f>SUMIF(#REF!,$AJ30,#REF!)+SUMIF(#REF!,$AJ30,#REF!)+SUMIF(#REF!,$AJ30,#REF!)+SUMIF(#REF!,$AJ30,#REF!)</f>
        <v>#REF!</v>
      </c>
      <c r="AO30" s="787" t="e">
        <f>SUMIF(#REF!,$AJ30,#REF!)+SUMIF(#REF!,$AJ30,#REF!)+SUMIF(#REF!,$AJ30,#REF!)+SUMIF(#REF!,$AJ30,#REF!)</f>
        <v>#REF!</v>
      </c>
      <c r="AP30" s="787" t="e">
        <f>SUMIF(#REF!,$AJ30,#REF!)+SUMIF(#REF!,$AJ30,#REF!)+SUMIF(#REF!,$AJ30,#REF!)+SUMIF(#REF!,$AJ30,#REF!)</f>
        <v>#REF!</v>
      </c>
      <c r="AQ30" s="787" t="e">
        <f>SUMIF(#REF!,$AJ30,#REF!)+SUMIF(#REF!,$AJ30,#REF!)+SUMIF(#REF!,$AJ30,#REF!)+SUMIF(#REF!,$AJ30,#REF!)</f>
        <v>#REF!</v>
      </c>
      <c r="AR30" s="787" t="e">
        <f>SUMIF(#REF!,$AJ30,#REF!)+SUMIF(#REF!,$AJ30,#REF!)+SUMIF(#REF!,$AJ30,#REF!)+SUMIF(#REF!,$AJ30,#REF!)</f>
        <v>#REF!</v>
      </c>
      <c r="AS30" s="787" t="e">
        <f>SUM(AL30:AR30)</f>
        <v>#REF!</v>
      </c>
      <c r="AT30" s="773"/>
      <c r="AU30" s="773">
        <v>2395</v>
      </c>
      <c r="AV30" s="773" t="s">
        <v>22</v>
      </c>
      <c r="AW30" s="789">
        <f>SUMIF($I$6:$I$30,$AU30,$H$6:$H$30)+SUMIF($F$6:$F$30,$AU30,$E$6:$E$30)</f>
        <v>23000</v>
      </c>
      <c r="AX30" s="789" t="e">
        <f>SUMIF(#REF!,$AU30,#REF!)+SUMIF(#REF!,$AU30,#REF!)</f>
        <v>#REF!</v>
      </c>
      <c r="AY30" s="789" t="e">
        <f>SUMIF(#REF!,$AU30,#REF!)+SUMIF(#REF!,$AU30,#REF!)</f>
        <v>#REF!</v>
      </c>
      <c r="AZ30" s="789" t="e">
        <f>SUMIF(#REF!,$AU30,#REF!)+SUMIF(#REF!,$AU30,#REF!)</f>
        <v>#REF!</v>
      </c>
      <c r="BA30" s="789" t="e">
        <f>SUMIF(#REF!,$AU30,#REF!)+SUMIF(#REF!,$AU30,#REF!)</f>
        <v>#REF!</v>
      </c>
      <c r="BB30" s="789" t="e">
        <f>SUMIF(#REF!,$AU30,#REF!)+SUMIF(#REF!,$AU30,#REF!)</f>
        <v>#REF!</v>
      </c>
      <c r="BC30" s="789" t="e">
        <f>SUMIF(#REF!,$AU30,#REF!)+SUMIF(#REF!,$AU30,#REF!)</f>
        <v>#REF!</v>
      </c>
      <c r="BD30" s="789" t="e">
        <f>SUM(AW30:BC30)</f>
        <v>#REF!</v>
      </c>
      <c r="BE30" s="773"/>
      <c r="BF30" s="773"/>
      <c r="BG30" s="773"/>
      <c r="BH30" s="773"/>
      <c r="BI30" s="773"/>
      <c r="BJ30" s="773"/>
      <c r="BK30" s="773"/>
      <c r="BL30" s="773"/>
      <c r="BM30" s="773"/>
      <c r="BN30" s="773"/>
      <c r="BO30" s="773"/>
      <c r="BP30" s="773"/>
      <c r="BQ30" s="773"/>
      <c r="BR30" s="773"/>
      <c r="BS30" s="773"/>
      <c r="BT30" s="773"/>
      <c r="BU30" s="773"/>
      <c r="BV30" s="773"/>
    </row>
    <row r="31" spans="1:74" s="439" customFormat="1" ht="28.5" x14ac:dyDescent="0.25">
      <c r="A31" s="770"/>
      <c r="B31" s="1061"/>
      <c r="C31" s="1067"/>
      <c r="D31" s="479" t="s">
        <v>116</v>
      </c>
      <c r="E31" s="1032"/>
      <c r="F31" s="480">
        <v>2395</v>
      </c>
      <c r="G31" s="480" t="s">
        <v>22</v>
      </c>
      <c r="H31" s="418">
        <v>2120</v>
      </c>
      <c r="I31" s="429">
        <f t="shared" si="8"/>
        <v>157.72799999999998</v>
      </c>
      <c r="J31" s="698"/>
      <c r="K31" s="698"/>
      <c r="L31" s="698"/>
      <c r="M31" s="1018"/>
      <c r="N31" s="462" t="s">
        <v>116</v>
      </c>
      <c r="O31" s="1014"/>
      <c r="P31" s="406">
        <v>1564</v>
      </c>
      <c r="Q31" s="406" t="s">
        <v>11</v>
      </c>
      <c r="R31" s="396">
        <v>3388</v>
      </c>
      <c r="S31" s="484">
        <f t="shared" si="9"/>
        <v>264.26400000000001</v>
      </c>
      <c r="T31" s="675" t="s">
        <v>440</v>
      </c>
      <c r="U31" s="677" t="s">
        <v>441</v>
      </c>
      <c r="V31" s="386"/>
      <c r="W31" s="773"/>
      <c r="X31" s="773">
        <v>34202</v>
      </c>
      <c r="Y31" s="773"/>
      <c r="Z31" s="773"/>
      <c r="AA31" s="773"/>
      <c r="AB31" s="773"/>
      <c r="AC31" s="773"/>
      <c r="AD31" s="773"/>
      <c r="AE31" s="773"/>
      <c r="AF31" s="773"/>
      <c r="AG31" s="773"/>
      <c r="AH31" s="773"/>
      <c r="AI31" s="773"/>
      <c r="AJ31" s="773"/>
      <c r="AK31" s="773"/>
      <c r="AL31" s="773"/>
      <c r="AM31" s="773"/>
      <c r="AN31" s="773"/>
      <c r="AO31" s="773"/>
      <c r="AP31" s="773"/>
      <c r="AQ31" s="773"/>
      <c r="AR31" s="773"/>
      <c r="AS31" s="773"/>
      <c r="AT31" s="773"/>
      <c r="AU31" s="773"/>
      <c r="AV31" s="773"/>
      <c r="AW31" s="773"/>
      <c r="AX31" s="773"/>
      <c r="AY31" s="773"/>
      <c r="AZ31" s="773"/>
      <c r="BA31" s="773"/>
      <c r="BB31" s="773"/>
      <c r="BC31" s="773"/>
      <c r="BD31" s="773"/>
      <c r="BE31" s="773"/>
      <c r="BF31" s="773"/>
      <c r="BG31" s="773"/>
      <c r="BH31" s="773"/>
      <c r="BI31" s="773"/>
      <c r="BJ31" s="773"/>
      <c r="BK31" s="773"/>
      <c r="BL31" s="773"/>
      <c r="BM31" s="773"/>
      <c r="BN31" s="773"/>
      <c r="BO31" s="773"/>
      <c r="BP31" s="773"/>
      <c r="BQ31" s="773"/>
      <c r="BR31" s="773"/>
      <c r="BS31" s="773"/>
      <c r="BT31" s="773"/>
      <c r="BU31" s="773"/>
      <c r="BV31" s="773"/>
    </row>
    <row r="32" spans="1:74" s="439" customFormat="1" ht="31.5" customHeight="1" x14ac:dyDescent="0.25">
      <c r="A32" s="770"/>
      <c r="B32" s="1062"/>
      <c r="C32" s="1068" t="s">
        <v>99</v>
      </c>
      <c r="D32" s="1069"/>
      <c r="E32" s="790">
        <f>E24*12*0.62/100</f>
        <v>1116</v>
      </c>
      <c r="F32" s="1070" t="s">
        <v>100</v>
      </c>
      <c r="G32" s="1070"/>
      <c r="H32" s="483">
        <f>+SUM(H24:H31)</f>
        <v>16482</v>
      </c>
      <c r="I32" s="703">
        <f>+SUM(I24:I31)</f>
        <v>1226.2608</v>
      </c>
      <c r="J32" s="658"/>
      <c r="K32" s="658"/>
      <c r="L32" s="658"/>
      <c r="M32" s="1078" t="s">
        <v>99</v>
      </c>
      <c r="N32" s="1079"/>
      <c r="O32" s="475">
        <f>O24*12*0.65/100</f>
        <v>2223</v>
      </c>
      <c r="P32" s="1080" t="s">
        <v>100</v>
      </c>
      <c r="Q32" s="1081"/>
      <c r="R32" s="476">
        <f>+SUM(R24:R31)</f>
        <v>21109.7</v>
      </c>
      <c r="S32" s="477">
        <f>+SUM(S24:S31)</f>
        <v>1646.5566000000003</v>
      </c>
      <c r="T32" s="678"/>
      <c r="U32" s="671"/>
      <c r="V32" s="658"/>
      <c r="W32" s="773"/>
      <c r="X32" s="773"/>
      <c r="Y32" s="773"/>
      <c r="Z32" s="773"/>
      <c r="AA32" s="773"/>
      <c r="AB32" s="773"/>
      <c r="AC32" s="773"/>
      <c r="AD32" s="773"/>
      <c r="AE32" s="773"/>
      <c r="AF32" s="773"/>
      <c r="AG32" s="773"/>
      <c r="AH32" s="773"/>
      <c r="AI32" s="773"/>
      <c r="AJ32" s="773"/>
      <c r="AK32" s="773"/>
      <c r="AL32" s="773"/>
      <c r="AM32" s="773"/>
      <c r="AN32" s="773"/>
      <c r="AO32" s="773"/>
      <c r="AP32" s="773"/>
      <c r="AQ32" s="773"/>
      <c r="AR32" s="773"/>
      <c r="AS32" s="773"/>
      <c r="AT32" s="773"/>
      <c r="AU32" s="773"/>
      <c r="AV32" s="773"/>
      <c r="AW32" s="773"/>
      <c r="AX32" s="773"/>
      <c r="AY32" s="773"/>
      <c r="AZ32" s="773"/>
      <c r="BA32" s="773"/>
      <c r="BB32" s="773"/>
      <c r="BC32" s="773"/>
      <c r="BD32" s="773"/>
      <c r="BE32" s="773"/>
      <c r="BF32" s="773"/>
      <c r="BG32" s="773"/>
      <c r="BH32" s="773"/>
      <c r="BI32" s="773"/>
      <c r="BJ32" s="773"/>
      <c r="BK32" s="773"/>
      <c r="BL32" s="773"/>
      <c r="BM32" s="773"/>
      <c r="BN32" s="773"/>
      <c r="BO32" s="773"/>
      <c r="BP32" s="773"/>
      <c r="BQ32" s="773"/>
      <c r="BR32" s="773"/>
      <c r="BS32" s="773"/>
      <c r="BT32" s="773"/>
      <c r="BU32" s="773"/>
      <c r="BV32" s="773"/>
    </row>
    <row r="33" spans="1:74" s="439" customFormat="1" ht="43.5" x14ac:dyDescent="0.25">
      <c r="A33" s="770"/>
      <c r="B33" s="1044">
        <f>+B6+1</f>
        <v>46091</v>
      </c>
      <c r="C33" s="1082">
        <v>1</v>
      </c>
      <c r="D33" s="481" t="s">
        <v>91</v>
      </c>
      <c r="E33" s="1014">
        <v>15000</v>
      </c>
      <c r="F33" s="482">
        <v>2395</v>
      </c>
      <c r="G33" s="482" t="s">
        <v>22</v>
      </c>
      <c r="H33" s="393">
        <f>24319/12</f>
        <v>2026.5833333333333</v>
      </c>
      <c r="I33" s="429">
        <f t="shared" ref="I33:I36" si="10">IF(F33=2395, H33*12*0.62/100, IF(F33=1564, H33*12*0.65/100, ""))</f>
        <v>150.77780000000001</v>
      </c>
      <c r="J33" s="695"/>
      <c r="K33" s="695"/>
      <c r="L33" s="695"/>
      <c r="M33" s="1047">
        <f>+C33</f>
        <v>1</v>
      </c>
      <c r="N33" s="433" t="s">
        <v>91</v>
      </c>
      <c r="O33" s="1009">
        <v>28500</v>
      </c>
      <c r="P33" s="406">
        <v>1564</v>
      </c>
      <c r="Q33" s="406" t="s">
        <v>11</v>
      </c>
      <c r="R33" s="391">
        <v>1596.0833333333333</v>
      </c>
      <c r="S33" s="484">
        <f t="shared" ref="S33:S40" si="11">IF(P33=6843, R33*12*0.62/100,IF(P33=2821, R33*12*0.63/100,IF(P33=6842, R33*12*0.63/100,IF(P33=1564, R33*12*0.65/100, ""))))</f>
        <v>124.4945</v>
      </c>
      <c r="T33" s="758" t="s">
        <v>442</v>
      </c>
      <c r="U33" s="677"/>
      <c r="V33" s="386"/>
      <c r="W33" s="773"/>
      <c r="X33" s="773"/>
      <c r="Y33" s="773"/>
      <c r="Z33" s="773"/>
      <c r="AA33" s="773"/>
      <c r="AB33" s="773"/>
      <c r="AC33" s="773"/>
      <c r="AD33" s="773"/>
      <c r="AE33" s="773"/>
      <c r="AF33" s="773"/>
      <c r="AG33" s="773"/>
      <c r="AH33" s="773"/>
      <c r="AI33" s="773"/>
      <c r="AJ33" s="773"/>
      <c r="AK33" s="773"/>
      <c r="AL33" s="773"/>
      <c r="AM33" s="773"/>
      <c r="AN33" s="773"/>
      <c r="AO33" s="773"/>
      <c r="AP33" s="773"/>
      <c r="AQ33" s="773"/>
      <c r="AR33" s="773"/>
      <c r="AS33" s="773"/>
      <c r="AT33" s="773"/>
      <c r="AU33" s="773"/>
      <c r="AV33" s="773"/>
      <c r="AW33" s="773"/>
      <c r="AX33" s="773"/>
      <c r="AY33" s="773"/>
      <c r="AZ33" s="773"/>
      <c r="BA33" s="773"/>
      <c r="BB33" s="773"/>
      <c r="BC33" s="773"/>
      <c r="BD33" s="773"/>
      <c r="BE33" s="773"/>
      <c r="BF33" s="773"/>
      <c r="BG33" s="773"/>
      <c r="BH33" s="773"/>
      <c r="BI33" s="773"/>
      <c r="BJ33" s="773"/>
      <c r="BK33" s="773"/>
      <c r="BL33" s="773"/>
      <c r="BM33" s="773"/>
      <c r="BN33" s="773"/>
      <c r="BO33" s="773"/>
      <c r="BP33" s="773"/>
      <c r="BQ33" s="773"/>
      <c r="BR33" s="773"/>
      <c r="BS33" s="773"/>
      <c r="BT33" s="773"/>
      <c r="BU33" s="773"/>
      <c r="BV33" s="773"/>
    </row>
    <row r="34" spans="1:74" s="439" customFormat="1" ht="42.75" x14ac:dyDescent="0.25">
      <c r="A34" s="770"/>
      <c r="B34" s="1045"/>
      <c r="C34" s="1047"/>
      <c r="D34" s="433" t="s">
        <v>92</v>
      </c>
      <c r="E34" s="1014"/>
      <c r="F34" s="480">
        <v>2395</v>
      </c>
      <c r="G34" s="480" t="s">
        <v>22</v>
      </c>
      <c r="H34" s="391">
        <f>15552/12</f>
        <v>1296</v>
      </c>
      <c r="I34" s="429">
        <f t="shared" si="10"/>
        <v>96.422399999999996</v>
      </c>
      <c r="J34" s="808" t="s">
        <v>443</v>
      </c>
      <c r="K34" s="695"/>
      <c r="L34" s="695"/>
      <c r="M34" s="1047"/>
      <c r="N34" s="433" t="s">
        <v>92</v>
      </c>
      <c r="O34" s="1009"/>
      <c r="P34" s="406">
        <v>1564</v>
      </c>
      <c r="Q34" s="406" t="s">
        <v>11</v>
      </c>
      <c r="R34" s="391">
        <v>0</v>
      </c>
      <c r="S34" s="484">
        <f t="shared" si="11"/>
        <v>0</v>
      </c>
      <c r="T34" s="677" t="s">
        <v>442</v>
      </c>
      <c r="U34" s="677" t="s">
        <v>444</v>
      </c>
      <c r="V34" s="386"/>
      <c r="W34" s="773"/>
      <c r="X34" s="773"/>
      <c r="Y34" s="773"/>
      <c r="Z34" s="773"/>
      <c r="AA34" s="773"/>
      <c r="AB34" s="773"/>
      <c r="AC34" s="773"/>
      <c r="AD34" s="773"/>
      <c r="AE34" s="773"/>
      <c r="AF34" s="773"/>
      <c r="AG34" s="773"/>
      <c r="AH34" s="773"/>
      <c r="AI34" s="773"/>
      <c r="AJ34" s="773"/>
      <c r="AK34" s="773"/>
      <c r="AL34" s="773"/>
      <c r="AM34" s="773"/>
      <c r="AN34" s="773"/>
      <c r="AO34" s="773"/>
      <c r="AP34" s="773"/>
      <c r="AQ34" s="773"/>
      <c r="AR34" s="773"/>
      <c r="AS34" s="773"/>
      <c r="AT34" s="773"/>
      <c r="AU34" s="773"/>
      <c r="AV34" s="773"/>
      <c r="AW34" s="773"/>
      <c r="AX34" s="773"/>
      <c r="AY34" s="773"/>
      <c r="AZ34" s="773"/>
      <c r="BA34" s="773"/>
      <c r="BB34" s="773"/>
      <c r="BC34" s="773"/>
      <c r="BD34" s="773"/>
      <c r="BE34" s="773"/>
      <c r="BF34" s="773"/>
      <c r="BG34" s="773"/>
      <c r="BH34" s="773"/>
      <c r="BI34" s="773"/>
      <c r="BJ34" s="773"/>
      <c r="BK34" s="773"/>
      <c r="BL34" s="773"/>
      <c r="BM34" s="773"/>
      <c r="BN34" s="773"/>
      <c r="BO34" s="773"/>
      <c r="BP34" s="773"/>
      <c r="BQ34" s="773"/>
      <c r="BR34" s="773"/>
      <c r="BS34" s="773"/>
      <c r="BT34" s="773"/>
      <c r="BU34" s="773"/>
      <c r="BV34" s="773"/>
    </row>
    <row r="35" spans="1:74" s="439" customFormat="1" ht="71.25" x14ac:dyDescent="0.25">
      <c r="A35" s="770"/>
      <c r="B35" s="1045"/>
      <c r="C35" s="1047"/>
      <c r="D35" s="433" t="s">
        <v>93</v>
      </c>
      <c r="E35" s="1014"/>
      <c r="F35" s="480">
        <v>2395</v>
      </c>
      <c r="G35" s="480" t="s">
        <v>22</v>
      </c>
      <c r="H35" s="391">
        <f>16345/12</f>
        <v>1362.0833333333333</v>
      </c>
      <c r="I35" s="429">
        <f t="shared" si="10"/>
        <v>101.339</v>
      </c>
      <c r="J35" s="808" t="s">
        <v>445</v>
      </c>
      <c r="K35" s="699" t="s">
        <v>446</v>
      </c>
      <c r="L35" s="695"/>
      <c r="M35" s="1047"/>
      <c r="N35" s="433" t="s">
        <v>93</v>
      </c>
      <c r="O35" s="1009"/>
      <c r="P35" s="406">
        <v>1564</v>
      </c>
      <c r="Q35" s="406" t="s">
        <v>11</v>
      </c>
      <c r="R35" s="391">
        <v>721.16666666666663</v>
      </c>
      <c r="S35" s="484">
        <f t="shared" si="11"/>
        <v>56.251000000000005</v>
      </c>
      <c r="T35" s="677" t="s">
        <v>447</v>
      </c>
      <c r="U35" s="677" t="s">
        <v>448</v>
      </c>
      <c r="V35" s="386"/>
      <c r="W35" s="773"/>
      <c r="X35" s="773"/>
      <c r="Y35" s="773"/>
      <c r="Z35" s="773"/>
      <c r="AA35" s="773"/>
      <c r="AB35" s="773"/>
      <c r="AC35" s="773"/>
      <c r="AD35" s="773"/>
      <c r="AE35" s="773"/>
      <c r="AF35" s="773"/>
      <c r="AG35" s="773"/>
      <c r="AH35" s="773"/>
      <c r="AI35" s="773"/>
      <c r="AJ35" s="773"/>
      <c r="AK35" s="773"/>
      <c r="AL35" s="773"/>
      <c r="AM35" s="773"/>
      <c r="AN35" s="773"/>
      <c r="AO35" s="773"/>
      <c r="AP35" s="773"/>
      <c r="AQ35" s="773"/>
      <c r="AR35" s="773"/>
      <c r="AS35" s="773"/>
      <c r="AT35" s="773"/>
      <c r="AU35" s="773"/>
      <c r="AV35" s="773"/>
      <c r="AW35" s="773"/>
      <c r="AX35" s="773"/>
      <c r="AY35" s="773"/>
      <c r="AZ35" s="773"/>
      <c r="BA35" s="773"/>
      <c r="BB35" s="773"/>
      <c r="BC35" s="773"/>
      <c r="BD35" s="773"/>
      <c r="BE35" s="773"/>
      <c r="BF35" s="773"/>
      <c r="BG35" s="773"/>
      <c r="BH35" s="773"/>
      <c r="BI35" s="773"/>
      <c r="BJ35" s="773"/>
      <c r="BK35" s="773"/>
      <c r="BL35" s="773"/>
      <c r="BM35" s="773"/>
      <c r="BN35" s="773"/>
      <c r="BO35" s="773"/>
      <c r="BP35" s="773"/>
      <c r="BQ35" s="773"/>
      <c r="BR35" s="773"/>
      <c r="BS35" s="773"/>
      <c r="BT35" s="773"/>
      <c r="BU35" s="773"/>
      <c r="BV35" s="773"/>
    </row>
    <row r="36" spans="1:74" s="439" customFormat="1" ht="120" x14ac:dyDescent="0.25">
      <c r="A36" s="770"/>
      <c r="B36" s="1045"/>
      <c r="C36" s="1047"/>
      <c r="D36" s="433" t="s">
        <v>94</v>
      </c>
      <c r="E36" s="1014"/>
      <c r="F36" s="480">
        <v>2395</v>
      </c>
      <c r="G36" s="480" t="s">
        <v>22</v>
      </c>
      <c r="H36" s="391">
        <f>20621/12</f>
        <v>1718.4166666666667</v>
      </c>
      <c r="I36" s="429">
        <f t="shared" si="10"/>
        <v>127.8502</v>
      </c>
      <c r="J36" s="808" t="s">
        <v>449</v>
      </c>
      <c r="K36" s="699" t="s">
        <v>450</v>
      </c>
      <c r="L36" s="695"/>
      <c r="M36" s="1047"/>
      <c r="N36" s="433" t="s">
        <v>94</v>
      </c>
      <c r="O36" s="1009"/>
      <c r="P36" s="406">
        <v>1564</v>
      </c>
      <c r="Q36" s="406" t="s">
        <v>11</v>
      </c>
      <c r="R36" s="391">
        <v>1258.25</v>
      </c>
      <c r="S36" s="484">
        <f t="shared" si="11"/>
        <v>98.143500000000003</v>
      </c>
      <c r="T36" s="677" t="s">
        <v>451</v>
      </c>
      <c r="U36" s="677" t="s">
        <v>452</v>
      </c>
      <c r="V36" s="386"/>
      <c r="W36" s="773"/>
      <c r="X36" s="773"/>
      <c r="Y36" s="773"/>
      <c r="Z36" s="773"/>
      <c r="AA36" s="773"/>
      <c r="AB36" s="773"/>
      <c r="AC36" s="773"/>
      <c r="AD36" s="773"/>
      <c r="AE36" s="773"/>
      <c r="AF36" s="773"/>
      <c r="AG36" s="773"/>
      <c r="AH36" s="773"/>
      <c r="AI36" s="773"/>
      <c r="AJ36" s="773"/>
      <c r="AK36" s="773"/>
      <c r="AL36" s="773"/>
      <c r="AM36" s="773"/>
      <c r="AN36" s="773"/>
      <c r="AO36" s="773"/>
      <c r="AP36" s="773"/>
      <c r="AQ36" s="773"/>
      <c r="AR36" s="773"/>
      <c r="AS36" s="773"/>
      <c r="AT36" s="773"/>
      <c r="AU36" s="773"/>
      <c r="AV36" s="773"/>
      <c r="AW36" s="773"/>
      <c r="AX36" s="773"/>
      <c r="AY36" s="773"/>
      <c r="AZ36" s="773"/>
      <c r="BA36" s="773"/>
      <c r="BB36" s="773"/>
      <c r="BC36" s="773"/>
      <c r="BD36" s="773"/>
      <c r="BE36" s="773"/>
      <c r="BF36" s="773"/>
      <c r="BG36" s="773"/>
      <c r="BH36" s="773"/>
      <c r="BI36" s="773"/>
      <c r="BJ36" s="773"/>
      <c r="BK36" s="773"/>
      <c r="BL36" s="773"/>
      <c r="BM36" s="773"/>
      <c r="BN36" s="773"/>
      <c r="BO36" s="773"/>
      <c r="BP36" s="773"/>
      <c r="BQ36" s="773"/>
      <c r="BR36" s="773"/>
      <c r="BS36" s="773"/>
      <c r="BT36" s="773"/>
      <c r="BU36" s="773"/>
      <c r="BV36" s="773"/>
    </row>
    <row r="37" spans="1:74" s="439" customFormat="1" ht="60" x14ac:dyDescent="0.25">
      <c r="A37" s="770"/>
      <c r="B37" s="1045"/>
      <c r="C37" s="1047"/>
      <c r="D37" s="433" t="s">
        <v>95</v>
      </c>
      <c r="E37" s="1014"/>
      <c r="F37" s="480">
        <v>2395</v>
      </c>
      <c r="G37" s="480" t="s">
        <v>22</v>
      </c>
      <c r="H37" s="391">
        <f>19099/12</f>
        <v>1591.5833333333333</v>
      </c>
      <c r="I37" s="429">
        <f>IF(F37=2395, H37*12*0.62/100, IF(F37=1564, H37*12*0.65/100, ""))</f>
        <v>118.41379999999999</v>
      </c>
      <c r="J37" s="808" t="s">
        <v>453</v>
      </c>
      <c r="K37" s="699" t="s">
        <v>454</v>
      </c>
      <c r="L37" s="695"/>
      <c r="M37" s="1047"/>
      <c r="N37" s="433" t="s">
        <v>95</v>
      </c>
      <c r="O37" s="1009"/>
      <c r="P37" s="406">
        <v>1564</v>
      </c>
      <c r="Q37" s="406" t="s">
        <v>11</v>
      </c>
      <c r="R37" s="391">
        <f>44399/12</f>
        <v>3699.9166666666665</v>
      </c>
      <c r="S37" s="484">
        <f t="shared" si="11"/>
        <v>288.59350000000001</v>
      </c>
      <c r="T37" s="677" t="s">
        <v>455</v>
      </c>
      <c r="U37" s="677" t="s">
        <v>456</v>
      </c>
      <c r="V37" s="386" t="s">
        <v>457</v>
      </c>
      <c r="W37" s="773"/>
      <c r="X37" s="773"/>
      <c r="Y37" s="773"/>
      <c r="Z37" s="773"/>
      <c r="AA37" s="773"/>
      <c r="AB37" s="773"/>
      <c r="AC37" s="773"/>
      <c r="AD37" s="773"/>
      <c r="AE37" s="773"/>
      <c r="AF37" s="773"/>
      <c r="AG37" s="773"/>
      <c r="AH37" s="773"/>
      <c r="AI37" s="773"/>
      <c r="AJ37" s="773"/>
      <c r="AK37" s="773"/>
      <c r="AL37" s="773"/>
      <c r="AM37" s="773"/>
      <c r="AN37" s="773"/>
      <c r="AO37" s="773"/>
      <c r="AP37" s="773"/>
      <c r="AQ37" s="773"/>
      <c r="AR37" s="773"/>
      <c r="AS37" s="773"/>
      <c r="AT37" s="773"/>
      <c r="AU37" s="773"/>
      <c r="AV37" s="773"/>
      <c r="AW37" s="773"/>
      <c r="AX37" s="773"/>
      <c r="AY37" s="773"/>
      <c r="AZ37" s="773"/>
      <c r="BA37" s="773"/>
      <c r="BB37" s="773"/>
      <c r="BC37" s="773"/>
      <c r="BD37" s="773"/>
      <c r="BE37" s="773"/>
      <c r="BF37" s="773"/>
      <c r="BG37" s="773"/>
      <c r="BH37" s="773"/>
      <c r="BI37" s="773"/>
      <c r="BJ37" s="773"/>
      <c r="BK37" s="773"/>
      <c r="BL37" s="773"/>
      <c r="BM37" s="773"/>
      <c r="BN37" s="773"/>
      <c r="BO37" s="773"/>
      <c r="BP37" s="773"/>
      <c r="BQ37" s="773"/>
      <c r="BR37" s="773"/>
      <c r="BS37" s="773"/>
      <c r="BT37" s="773"/>
      <c r="BU37" s="773"/>
      <c r="BV37" s="773"/>
    </row>
    <row r="38" spans="1:74" s="439" customFormat="1" ht="60" x14ac:dyDescent="0.25">
      <c r="A38" s="770"/>
      <c r="B38" s="1045"/>
      <c r="C38" s="1047"/>
      <c r="D38" s="433" t="s">
        <v>96</v>
      </c>
      <c r="E38" s="1014"/>
      <c r="F38" s="480">
        <v>2395</v>
      </c>
      <c r="G38" s="480" t="s">
        <v>22</v>
      </c>
      <c r="H38" s="391">
        <f>16197/12</f>
        <v>1349.75</v>
      </c>
      <c r="I38" s="429">
        <f>IF(F38=2395, H38*12*0.62/100, IF(F38=1564, H38*12*0.65/100, ""))</f>
        <v>100.42139999999999</v>
      </c>
      <c r="J38" s="808" t="s">
        <v>458</v>
      </c>
      <c r="K38" s="699" t="s">
        <v>459</v>
      </c>
      <c r="L38" s="695"/>
      <c r="M38" s="1047"/>
      <c r="N38" s="433" t="s">
        <v>96</v>
      </c>
      <c r="O38" s="1009"/>
      <c r="P38" s="406">
        <v>1564</v>
      </c>
      <c r="Q38" s="406" t="s">
        <v>11</v>
      </c>
      <c r="R38" s="391">
        <f>40822/12</f>
        <v>3401.8333333333335</v>
      </c>
      <c r="S38" s="484">
        <f t="shared" si="11"/>
        <v>265.34300000000002</v>
      </c>
      <c r="T38" s="677" t="s">
        <v>460</v>
      </c>
      <c r="U38" s="677" t="s">
        <v>461</v>
      </c>
      <c r="V38" s="386"/>
      <c r="W38" s="773"/>
      <c r="X38" s="773"/>
      <c r="Y38" s="773"/>
      <c r="Z38" s="773"/>
      <c r="AA38" s="773"/>
      <c r="AB38" s="773"/>
      <c r="AC38" s="773"/>
      <c r="AD38" s="773"/>
      <c r="AE38" s="773"/>
      <c r="AF38" s="773"/>
      <c r="AG38" s="773"/>
      <c r="AH38" s="773"/>
      <c r="AI38" s="773"/>
      <c r="AJ38" s="773"/>
      <c r="AK38" s="773"/>
      <c r="AL38" s="773"/>
      <c r="AM38" s="773"/>
      <c r="AN38" s="773"/>
      <c r="AO38" s="773"/>
      <c r="AP38" s="773"/>
      <c r="AQ38" s="773"/>
      <c r="AR38" s="773"/>
      <c r="AS38" s="773"/>
      <c r="AT38" s="773"/>
      <c r="AU38" s="773"/>
      <c r="AV38" s="773"/>
      <c r="AW38" s="773"/>
      <c r="AX38" s="773"/>
      <c r="AY38" s="773"/>
      <c r="AZ38" s="773"/>
      <c r="BA38" s="773"/>
      <c r="BB38" s="773"/>
      <c r="BC38" s="773"/>
      <c r="BD38" s="773"/>
      <c r="BE38" s="773"/>
      <c r="BF38" s="773"/>
      <c r="BG38" s="773"/>
      <c r="BH38" s="773"/>
      <c r="BI38" s="773"/>
      <c r="BJ38" s="773"/>
      <c r="BK38" s="773"/>
      <c r="BL38" s="773"/>
      <c r="BM38" s="773"/>
      <c r="BN38" s="773"/>
      <c r="BO38" s="773"/>
      <c r="BP38" s="773"/>
      <c r="BQ38" s="773"/>
      <c r="BR38" s="773"/>
      <c r="BS38" s="773"/>
      <c r="BT38" s="773"/>
      <c r="BU38" s="773"/>
      <c r="BV38" s="773"/>
    </row>
    <row r="39" spans="1:74" s="439" customFormat="1" ht="45" x14ac:dyDescent="0.25">
      <c r="A39" s="770"/>
      <c r="B39" s="1045"/>
      <c r="C39" s="1047"/>
      <c r="D39" s="433" t="s">
        <v>97</v>
      </c>
      <c r="E39" s="1014"/>
      <c r="F39" s="480">
        <v>2395</v>
      </c>
      <c r="G39" s="480" t="s">
        <v>22</v>
      </c>
      <c r="H39" s="391">
        <f>8018/12</f>
        <v>668.16666666666663</v>
      </c>
      <c r="I39" s="429">
        <f>IF(F39=2395, H39*12*0.62/100, IF(F39=1564, H39*12*0.65/100, ""))</f>
        <v>49.711599999999997</v>
      </c>
      <c r="J39" s="808" t="s">
        <v>462</v>
      </c>
      <c r="K39" s="699" t="s">
        <v>463</v>
      </c>
      <c r="L39" s="695"/>
      <c r="M39" s="1047"/>
      <c r="N39" s="433" t="s">
        <v>97</v>
      </c>
      <c r="O39" s="1009"/>
      <c r="P39" s="406">
        <v>1564</v>
      </c>
      <c r="Q39" s="406" t="s">
        <v>11</v>
      </c>
      <c r="R39" s="391">
        <f>25642/12</f>
        <v>2136.8333333333335</v>
      </c>
      <c r="S39" s="484">
        <f t="shared" si="11"/>
        <v>166.673</v>
      </c>
      <c r="T39" s="677" t="s">
        <v>464</v>
      </c>
      <c r="U39" s="677" t="s">
        <v>465</v>
      </c>
      <c r="V39" s="386"/>
      <c r="W39" s="773"/>
      <c r="X39" s="773"/>
      <c r="Y39" s="773"/>
      <c r="Z39" s="773"/>
      <c r="AA39" s="773"/>
      <c r="AB39" s="773"/>
      <c r="AC39" s="773"/>
      <c r="AD39" s="773"/>
      <c r="AE39" s="773"/>
      <c r="AF39" s="773"/>
      <c r="AG39" s="773"/>
      <c r="AH39" s="773"/>
      <c r="AI39" s="773"/>
      <c r="AJ39" s="773"/>
      <c r="AK39" s="773"/>
      <c r="AL39" s="773"/>
      <c r="AM39" s="773"/>
      <c r="AN39" s="773"/>
      <c r="AO39" s="773"/>
      <c r="AP39" s="773"/>
      <c r="AQ39" s="773"/>
      <c r="AR39" s="773"/>
      <c r="AS39" s="773"/>
      <c r="AT39" s="773"/>
      <c r="AU39" s="773"/>
      <c r="AV39" s="773"/>
      <c r="AW39" s="773"/>
      <c r="AX39" s="773"/>
      <c r="AY39" s="773"/>
      <c r="AZ39" s="773"/>
      <c r="BA39" s="773"/>
      <c r="BB39" s="773"/>
      <c r="BC39" s="773"/>
      <c r="BD39" s="773"/>
      <c r="BE39" s="773"/>
      <c r="BF39" s="773"/>
      <c r="BG39" s="773"/>
      <c r="BH39" s="773"/>
      <c r="BI39" s="773"/>
      <c r="BJ39" s="773"/>
      <c r="BK39" s="773"/>
      <c r="BL39" s="773"/>
      <c r="BM39" s="773"/>
      <c r="BN39" s="773"/>
      <c r="BO39" s="773"/>
      <c r="BP39" s="773"/>
      <c r="BQ39" s="773"/>
      <c r="BR39" s="773"/>
      <c r="BS39" s="773"/>
      <c r="BT39" s="773"/>
      <c r="BU39" s="773"/>
      <c r="BV39" s="773"/>
    </row>
    <row r="40" spans="1:74" s="439" customFormat="1" ht="57" x14ac:dyDescent="0.25">
      <c r="A40" s="770"/>
      <c r="B40" s="1045"/>
      <c r="C40" s="1047"/>
      <c r="D40" s="433" t="s">
        <v>98</v>
      </c>
      <c r="E40" s="1014"/>
      <c r="F40" s="480">
        <v>2395</v>
      </c>
      <c r="G40" s="480" t="s">
        <v>22</v>
      </c>
      <c r="H40" s="391">
        <f>21409/12</f>
        <v>1784.0833333333333</v>
      </c>
      <c r="I40" s="429">
        <f>IF(F40=2395, H40*12*0.62/100, IF(F40=1564, H40*12*0.65/100, ""))</f>
        <v>132.73580000000001</v>
      </c>
      <c r="J40" s="808" t="s">
        <v>466</v>
      </c>
      <c r="K40" s="699" t="s">
        <v>467</v>
      </c>
      <c r="L40" s="695"/>
      <c r="M40" s="1047"/>
      <c r="N40" s="433" t="s">
        <v>98</v>
      </c>
      <c r="O40" s="1009"/>
      <c r="P40" s="406">
        <v>1564</v>
      </c>
      <c r="Q40" s="406" t="s">
        <v>11</v>
      </c>
      <c r="R40" s="391">
        <f>23082/12</f>
        <v>1923.5</v>
      </c>
      <c r="S40" s="484">
        <f t="shared" si="11"/>
        <v>150.03300000000002</v>
      </c>
      <c r="T40" s="677" t="s">
        <v>468</v>
      </c>
      <c r="U40" s="677" t="s">
        <v>469</v>
      </c>
      <c r="V40" s="386" t="s">
        <v>470</v>
      </c>
      <c r="W40" s="773"/>
      <c r="X40" s="773"/>
      <c r="Y40" s="773"/>
      <c r="Z40" s="773"/>
      <c r="AA40" s="773"/>
      <c r="AB40" s="773"/>
      <c r="AC40" s="773"/>
      <c r="AD40" s="773"/>
      <c r="AE40" s="773"/>
      <c r="AF40" s="773"/>
      <c r="AG40" s="773"/>
      <c r="AH40" s="773"/>
      <c r="AI40" s="773"/>
      <c r="AJ40" s="773"/>
      <c r="AK40" s="773"/>
      <c r="AL40" s="773"/>
      <c r="AM40" s="773"/>
      <c r="AN40" s="773"/>
      <c r="AO40" s="773"/>
      <c r="AP40" s="773"/>
      <c r="AQ40" s="773"/>
      <c r="AR40" s="773"/>
      <c r="AS40" s="773"/>
      <c r="AT40" s="773"/>
      <c r="AU40" s="773"/>
      <c r="AV40" s="773"/>
      <c r="AW40" s="773"/>
      <c r="AX40" s="773"/>
      <c r="AY40" s="773"/>
      <c r="AZ40" s="773"/>
      <c r="BA40" s="773"/>
      <c r="BB40" s="773"/>
      <c r="BC40" s="773"/>
      <c r="BD40" s="773"/>
      <c r="BE40" s="773"/>
      <c r="BF40" s="773"/>
      <c r="BG40" s="773"/>
      <c r="BH40" s="773"/>
      <c r="BI40" s="773"/>
      <c r="BJ40" s="773"/>
      <c r="BK40" s="773"/>
      <c r="BL40" s="773"/>
      <c r="BM40" s="773"/>
      <c r="BN40" s="773"/>
      <c r="BO40" s="773"/>
      <c r="BP40" s="773"/>
      <c r="BQ40" s="773"/>
      <c r="BR40" s="773"/>
      <c r="BS40" s="773"/>
      <c r="BT40" s="773"/>
      <c r="BU40" s="773"/>
      <c r="BV40" s="773"/>
    </row>
    <row r="41" spans="1:74" s="439" customFormat="1" ht="42" customHeight="1" x14ac:dyDescent="0.25">
      <c r="A41" s="770"/>
      <c r="B41" s="1045"/>
      <c r="C41" s="1063" t="s">
        <v>99</v>
      </c>
      <c r="D41" s="1064"/>
      <c r="E41" s="784">
        <f>E33*12*0.62/100</f>
        <v>1116</v>
      </c>
      <c r="F41" s="1059" t="s">
        <v>100</v>
      </c>
      <c r="G41" s="1059"/>
      <c r="H41" s="454">
        <f>+SUM(H33:H40)</f>
        <v>11796.666666666666</v>
      </c>
      <c r="I41" s="701">
        <f>+SUM(I33:I40)</f>
        <v>877.67200000000003</v>
      </c>
      <c r="J41" s="658"/>
      <c r="K41" s="658"/>
      <c r="L41" s="658"/>
      <c r="M41" s="1095" t="s">
        <v>99</v>
      </c>
      <c r="N41" s="1096"/>
      <c r="O41" s="792">
        <f>O33*12*0.65/100</f>
        <v>2223</v>
      </c>
      <c r="P41" s="1097" t="s">
        <v>100</v>
      </c>
      <c r="Q41" s="1097"/>
      <c r="R41" s="711">
        <f>+SUM(R33:R40)</f>
        <v>14737.583333333334</v>
      </c>
      <c r="S41" s="712">
        <f>+SUM(S33:S40)</f>
        <v>1149.5315000000001</v>
      </c>
      <c r="T41" s="676"/>
      <c r="U41" s="671"/>
      <c r="V41" s="658"/>
      <c r="W41" s="773"/>
      <c r="X41" s="773"/>
      <c r="Y41" s="773"/>
      <c r="Z41" s="773"/>
      <c r="AA41" s="773"/>
      <c r="AB41" s="773"/>
      <c r="AC41" s="773"/>
      <c r="AD41" s="773"/>
      <c r="AE41" s="773"/>
      <c r="AF41" s="773"/>
      <c r="AG41" s="773"/>
      <c r="AH41" s="773"/>
      <c r="AI41" s="773"/>
      <c r="AJ41" s="773"/>
      <c r="AK41" s="773"/>
      <c r="AL41" s="773"/>
      <c r="AM41" s="773"/>
      <c r="AN41" s="773"/>
      <c r="AO41" s="773"/>
      <c r="AP41" s="773"/>
      <c r="AQ41" s="773"/>
      <c r="AR41" s="773"/>
      <c r="AS41" s="773"/>
      <c r="AT41" s="773"/>
      <c r="AU41" s="773"/>
      <c r="AV41" s="773"/>
      <c r="AW41" s="773"/>
      <c r="AX41" s="773"/>
      <c r="AY41" s="773"/>
      <c r="AZ41" s="773"/>
      <c r="BA41" s="773"/>
      <c r="BB41" s="773"/>
      <c r="BC41" s="773"/>
      <c r="BD41" s="773"/>
      <c r="BE41" s="773"/>
      <c r="BF41" s="773"/>
      <c r="BG41" s="773"/>
      <c r="BH41" s="773"/>
      <c r="BI41" s="773"/>
      <c r="BJ41" s="773"/>
      <c r="BK41" s="773"/>
      <c r="BL41" s="773"/>
      <c r="BM41" s="773"/>
      <c r="BN41" s="773"/>
      <c r="BO41" s="773"/>
      <c r="BP41" s="773"/>
      <c r="BQ41" s="773"/>
      <c r="BR41" s="773"/>
      <c r="BS41" s="773"/>
      <c r="BT41" s="773"/>
      <c r="BU41" s="773"/>
      <c r="BV41" s="773"/>
    </row>
    <row r="42" spans="1:74" s="439" customFormat="1" ht="18" x14ac:dyDescent="0.25">
      <c r="A42" s="770"/>
      <c r="B42" s="1045"/>
      <c r="C42" s="1036">
        <v>2</v>
      </c>
      <c r="D42" s="457" t="s">
        <v>101</v>
      </c>
      <c r="E42" s="1014"/>
      <c r="F42" s="732"/>
      <c r="G42" s="732"/>
      <c r="H42" s="392"/>
      <c r="I42" s="429" t="str">
        <f t="shared" ref="I42:I49" si="12">IF(F42=2395, H42*12*0.62/100, IF(F42=1564, H42*12*0.65/100, ""))</f>
        <v/>
      </c>
      <c r="J42" s="739"/>
      <c r="K42" s="739"/>
      <c r="L42" s="441"/>
      <c r="M42" s="1036">
        <f>+C42</f>
        <v>2</v>
      </c>
      <c r="N42" s="457" t="s">
        <v>101</v>
      </c>
      <c r="O42" s="1009">
        <v>28500</v>
      </c>
      <c r="P42" s="406">
        <v>1564</v>
      </c>
      <c r="Q42" s="406" t="s">
        <v>11</v>
      </c>
      <c r="R42" s="393"/>
      <c r="S42" s="484">
        <f t="shared" ref="S42:S49" si="13">IF(P42=6843, R42*12*0.62/100,IF(P42=2821, R42*12*0.63/100,IF(P42=6842, R42*12*0.63/100,IF(P42=1564, R42*12*0.65/100, ""))))</f>
        <v>0</v>
      </c>
      <c r="T42" s="677"/>
      <c r="U42" s="677"/>
      <c r="V42" s="386"/>
      <c r="W42" s="773"/>
      <c r="X42" s="773"/>
      <c r="Y42" s="773"/>
      <c r="Z42" s="773"/>
      <c r="AA42" s="773"/>
      <c r="AB42" s="773"/>
      <c r="AC42" s="773"/>
      <c r="AD42" s="773"/>
      <c r="AE42" s="773"/>
      <c r="AF42" s="773"/>
      <c r="AG42" s="773"/>
      <c r="AH42" s="773"/>
      <c r="AI42" s="773"/>
      <c r="AJ42" s="773"/>
      <c r="AK42" s="773"/>
      <c r="AL42" s="773"/>
      <c r="AM42" s="773"/>
      <c r="AN42" s="773"/>
      <c r="AO42" s="773"/>
      <c r="AP42" s="773"/>
      <c r="AQ42" s="773"/>
      <c r="AR42" s="773"/>
      <c r="AS42" s="773"/>
      <c r="AT42" s="773"/>
      <c r="AU42" s="773"/>
      <c r="AV42" s="773"/>
      <c r="AW42" s="773"/>
      <c r="AX42" s="773"/>
      <c r="AY42" s="773"/>
      <c r="AZ42" s="773"/>
      <c r="BA42" s="773"/>
      <c r="BB42" s="773"/>
      <c r="BC42" s="773"/>
      <c r="BD42" s="773"/>
      <c r="BE42" s="773"/>
      <c r="BF42" s="773"/>
      <c r="BG42" s="773"/>
      <c r="BH42" s="773"/>
      <c r="BI42" s="773"/>
      <c r="BJ42" s="773"/>
      <c r="BK42" s="773"/>
      <c r="BL42" s="773"/>
      <c r="BM42" s="773"/>
      <c r="BN42" s="773"/>
      <c r="BO42" s="773"/>
      <c r="BP42" s="773"/>
      <c r="BQ42" s="773"/>
      <c r="BR42" s="773"/>
      <c r="BS42" s="773"/>
      <c r="BT42" s="773"/>
      <c r="BU42" s="773"/>
      <c r="BV42" s="773"/>
    </row>
    <row r="43" spans="1:74" s="439" customFormat="1" ht="63" customHeight="1" x14ac:dyDescent="0.25">
      <c r="A43" s="770"/>
      <c r="B43" s="1045"/>
      <c r="C43" s="1017"/>
      <c r="D43" s="458" t="s">
        <v>102</v>
      </c>
      <c r="E43" s="1014"/>
      <c r="F43" s="731"/>
      <c r="G43" s="731"/>
      <c r="H43" s="391"/>
      <c r="I43" s="429" t="str">
        <f t="shared" si="12"/>
        <v/>
      </c>
      <c r="J43" s="739"/>
      <c r="K43" s="739"/>
      <c r="L43" s="441"/>
      <c r="M43" s="1017"/>
      <c r="N43" s="458" t="s">
        <v>102</v>
      </c>
      <c r="O43" s="1009"/>
      <c r="P43" s="406">
        <v>1564</v>
      </c>
      <c r="Q43" s="406" t="s">
        <v>11</v>
      </c>
      <c r="R43" s="391"/>
      <c r="S43" s="484">
        <f t="shared" si="13"/>
        <v>0</v>
      </c>
      <c r="T43" s="386"/>
      <c r="U43" s="677"/>
      <c r="V43" s="386"/>
      <c r="W43" s="773"/>
      <c r="X43" s="773"/>
      <c r="Y43" s="773"/>
      <c r="Z43" s="773"/>
      <c r="AA43" s="773"/>
      <c r="AB43" s="773"/>
      <c r="AC43" s="773"/>
      <c r="AD43" s="773"/>
      <c r="AE43" s="773"/>
      <c r="AF43" s="773"/>
      <c r="AG43" s="773"/>
      <c r="AH43" s="773"/>
      <c r="AI43" s="773"/>
      <c r="AJ43" s="773"/>
      <c r="AK43" s="773"/>
      <c r="AL43" s="773"/>
      <c r="AM43" s="773"/>
      <c r="AN43" s="773"/>
      <c r="AO43" s="773"/>
      <c r="AP43" s="773"/>
      <c r="AQ43" s="773"/>
      <c r="AR43" s="773"/>
      <c r="AS43" s="773"/>
      <c r="AT43" s="773"/>
      <c r="AU43" s="773"/>
      <c r="AV43" s="773"/>
      <c r="AW43" s="773"/>
      <c r="AX43" s="773"/>
      <c r="AY43" s="773"/>
      <c r="AZ43" s="773"/>
      <c r="BA43" s="773"/>
      <c r="BB43" s="773"/>
      <c r="BC43" s="773"/>
      <c r="BD43" s="773"/>
      <c r="BE43" s="773"/>
      <c r="BF43" s="773"/>
      <c r="BG43" s="773"/>
      <c r="BH43" s="773"/>
      <c r="BI43" s="773"/>
      <c r="BJ43" s="773"/>
      <c r="BK43" s="773"/>
      <c r="BL43" s="773"/>
      <c r="BM43" s="773"/>
      <c r="BN43" s="773"/>
      <c r="BO43" s="773"/>
      <c r="BP43" s="773"/>
      <c r="BQ43" s="773"/>
      <c r="BR43" s="773"/>
      <c r="BS43" s="773"/>
      <c r="BT43" s="773"/>
      <c r="BU43" s="773"/>
      <c r="BV43" s="773"/>
    </row>
    <row r="44" spans="1:74" s="439" customFormat="1" ht="18" x14ac:dyDescent="0.25">
      <c r="A44" s="770"/>
      <c r="B44" s="1045"/>
      <c r="C44" s="1017"/>
      <c r="D44" s="458" t="s">
        <v>103</v>
      </c>
      <c r="E44" s="1014"/>
      <c r="F44" s="731"/>
      <c r="G44" s="731"/>
      <c r="H44" s="391"/>
      <c r="I44" s="429" t="str">
        <f t="shared" si="12"/>
        <v/>
      </c>
      <c r="J44" s="739"/>
      <c r="K44" s="739"/>
      <c r="L44" s="441"/>
      <c r="M44" s="1017"/>
      <c r="N44" s="458" t="s">
        <v>103</v>
      </c>
      <c r="O44" s="1009"/>
      <c r="P44" s="406">
        <v>1564</v>
      </c>
      <c r="Q44" s="406" t="s">
        <v>11</v>
      </c>
      <c r="R44" s="391"/>
      <c r="S44" s="484">
        <f t="shared" si="13"/>
        <v>0</v>
      </c>
      <c r="T44" s="386"/>
      <c r="U44" s="677"/>
      <c r="V44" s="386"/>
      <c r="W44" s="773"/>
      <c r="X44" s="773"/>
      <c r="Y44" s="773"/>
      <c r="Z44" s="773"/>
      <c r="AA44" s="773"/>
      <c r="AB44" s="773"/>
      <c r="AC44" s="773"/>
      <c r="AD44" s="773"/>
      <c r="AE44" s="773"/>
      <c r="AF44" s="773"/>
      <c r="AG44" s="773"/>
      <c r="AH44" s="773"/>
      <c r="AI44" s="773"/>
      <c r="AJ44" s="773"/>
      <c r="AK44" s="773"/>
      <c r="AL44" s="773"/>
      <c r="AM44" s="773"/>
      <c r="AN44" s="773"/>
      <c r="AO44" s="773"/>
      <c r="AP44" s="773"/>
      <c r="AQ44" s="773"/>
      <c r="AR44" s="773"/>
      <c r="AS44" s="773"/>
      <c r="AT44" s="773"/>
      <c r="AU44" s="773"/>
      <c r="AV44" s="773"/>
      <c r="AW44" s="773"/>
      <c r="AX44" s="773"/>
      <c r="AY44" s="773"/>
      <c r="AZ44" s="773"/>
      <c r="BA44" s="773"/>
      <c r="BB44" s="773"/>
      <c r="BC44" s="773"/>
      <c r="BD44" s="773"/>
      <c r="BE44" s="773"/>
      <c r="BF44" s="773"/>
      <c r="BG44" s="773"/>
      <c r="BH44" s="773"/>
      <c r="BI44" s="773"/>
      <c r="BJ44" s="773"/>
      <c r="BK44" s="773"/>
      <c r="BL44" s="773"/>
      <c r="BM44" s="773"/>
      <c r="BN44" s="773"/>
      <c r="BO44" s="773"/>
      <c r="BP44" s="773"/>
      <c r="BQ44" s="773"/>
      <c r="BR44" s="773"/>
      <c r="BS44" s="773"/>
      <c r="BT44" s="773"/>
      <c r="BU44" s="773"/>
      <c r="BV44" s="773"/>
    </row>
    <row r="45" spans="1:74" s="439" customFormat="1" ht="18" x14ac:dyDescent="0.25">
      <c r="A45" s="770"/>
      <c r="B45" s="1045"/>
      <c r="C45" s="1017"/>
      <c r="D45" s="458" t="s">
        <v>104</v>
      </c>
      <c r="E45" s="1014"/>
      <c r="F45" s="731"/>
      <c r="G45" s="731"/>
      <c r="H45" s="391"/>
      <c r="I45" s="429" t="str">
        <f t="shared" si="12"/>
        <v/>
      </c>
      <c r="J45" s="739"/>
      <c r="K45" s="739"/>
      <c r="L45" s="441"/>
      <c r="M45" s="1017"/>
      <c r="N45" s="458" t="s">
        <v>104</v>
      </c>
      <c r="O45" s="1009"/>
      <c r="P45" s="406">
        <v>1564</v>
      </c>
      <c r="Q45" s="406" t="s">
        <v>11</v>
      </c>
      <c r="R45" s="391"/>
      <c r="S45" s="484">
        <f t="shared" si="13"/>
        <v>0</v>
      </c>
      <c r="T45" s="386"/>
      <c r="U45" s="677"/>
      <c r="V45" s="386"/>
      <c r="W45" s="773"/>
      <c r="X45" s="773"/>
      <c r="Y45" s="773"/>
      <c r="Z45" s="773"/>
      <c r="AA45" s="773"/>
      <c r="AB45" s="773"/>
      <c r="AC45" s="773"/>
      <c r="AD45" s="773"/>
      <c r="AE45" s="773"/>
      <c r="AF45" s="773"/>
      <c r="AG45" s="773"/>
      <c r="AH45" s="773"/>
      <c r="AI45" s="773"/>
      <c r="AJ45" s="773"/>
      <c r="AK45" s="773"/>
      <c r="AL45" s="773"/>
      <c r="AM45" s="773"/>
      <c r="AN45" s="773"/>
      <c r="AO45" s="773"/>
      <c r="AP45" s="773"/>
      <c r="AQ45" s="773"/>
      <c r="AR45" s="773"/>
      <c r="AS45" s="773"/>
      <c r="AT45" s="773"/>
      <c r="AU45" s="773"/>
      <c r="AV45" s="773"/>
      <c r="AW45" s="773"/>
      <c r="AX45" s="773"/>
      <c r="AY45" s="773"/>
      <c r="AZ45" s="773"/>
      <c r="BA45" s="773"/>
      <c r="BB45" s="773"/>
      <c r="BC45" s="773"/>
      <c r="BD45" s="773"/>
      <c r="BE45" s="773"/>
      <c r="BF45" s="773"/>
      <c r="BG45" s="773"/>
      <c r="BH45" s="773"/>
      <c r="BI45" s="773"/>
      <c r="BJ45" s="773"/>
      <c r="BK45" s="773"/>
      <c r="BL45" s="773"/>
      <c r="BM45" s="773"/>
      <c r="BN45" s="773"/>
      <c r="BO45" s="773"/>
      <c r="BP45" s="773"/>
      <c r="BQ45" s="773"/>
      <c r="BR45" s="773"/>
      <c r="BS45" s="773"/>
      <c r="BT45" s="773"/>
      <c r="BU45" s="773"/>
      <c r="BV45" s="773"/>
    </row>
    <row r="46" spans="1:74" s="439" customFormat="1" ht="18" x14ac:dyDescent="0.25">
      <c r="A46" s="770"/>
      <c r="B46" s="1045"/>
      <c r="C46" s="1017"/>
      <c r="D46" s="458" t="s">
        <v>105</v>
      </c>
      <c r="E46" s="1014"/>
      <c r="F46" s="731"/>
      <c r="G46" s="731"/>
      <c r="H46" s="390"/>
      <c r="I46" s="429" t="str">
        <f t="shared" si="12"/>
        <v/>
      </c>
      <c r="J46" s="739"/>
      <c r="K46" s="739"/>
      <c r="L46" s="441"/>
      <c r="M46" s="1017"/>
      <c r="N46" s="458" t="s">
        <v>105</v>
      </c>
      <c r="O46" s="1009"/>
      <c r="P46" s="406">
        <v>1564</v>
      </c>
      <c r="Q46" s="406" t="s">
        <v>11</v>
      </c>
      <c r="R46" s="391"/>
      <c r="S46" s="484">
        <f t="shared" si="13"/>
        <v>0</v>
      </c>
      <c r="T46" s="386"/>
      <c r="U46" s="386"/>
      <c r="V46" s="386"/>
      <c r="W46" s="773"/>
      <c r="X46" s="773"/>
      <c r="Y46" s="773"/>
      <c r="Z46" s="773"/>
      <c r="AA46" s="773"/>
      <c r="AB46" s="773"/>
      <c r="AC46" s="773"/>
      <c r="AD46" s="773"/>
      <c r="AE46" s="773"/>
      <c r="AF46" s="773"/>
      <c r="AG46" s="773"/>
      <c r="AH46" s="773"/>
      <c r="AI46" s="773"/>
      <c r="AJ46" s="773"/>
      <c r="AK46" s="773"/>
      <c r="AL46" s="773"/>
      <c r="AM46" s="773"/>
      <c r="AN46" s="773"/>
      <c r="AO46" s="773"/>
      <c r="AP46" s="773"/>
      <c r="AQ46" s="773"/>
      <c r="AR46" s="773"/>
      <c r="AS46" s="773"/>
      <c r="AT46" s="773"/>
      <c r="AU46" s="773"/>
      <c r="AV46" s="773"/>
      <c r="AW46" s="773"/>
      <c r="AX46" s="773"/>
      <c r="AY46" s="773"/>
      <c r="AZ46" s="773"/>
      <c r="BA46" s="773"/>
      <c r="BB46" s="773"/>
      <c r="BC46" s="773"/>
      <c r="BD46" s="773"/>
      <c r="BE46" s="773"/>
      <c r="BF46" s="773"/>
      <c r="BG46" s="773"/>
      <c r="BH46" s="773"/>
      <c r="BI46" s="773"/>
      <c r="BJ46" s="773"/>
      <c r="BK46" s="773"/>
      <c r="BL46" s="773"/>
      <c r="BM46" s="773"/>
      <c r="BN46" s="773"/>
      <c r="BO46" s="773"/>
      <c r="BP46" s="773"/>
      <c r="BQ46" s="773"/>
      <c r="BR46" s="773"/>
      <c r="BS46" s="773"/>
      <c r="BT46" s="773"/>
      <c r="BU46" s="773"/>
      <c r="BV46" s="773"/>
    </row>
    <row r="47" spans="1:74" s="439" customFormat="1" ht="18" x14ac:dyDescent="0.25">
      <c r="A47" s="770"/>
      <c r="B47" s="1045"/>
      <c r="C47" s="1017"/>
      <c r="D47" s="458" t="s">
        <v>106</v>
      </c>
      <c r="E47" s="1014"/>
      <c r="F47" s="731"/>
      <c r="G47" s="731"/>
      <c r="H47" s="390"/>
      <c r="I47" s="429" t="str">
        <f t="shared" si="12"/>
        <v/>
      </c>
      <c r="J47" s="739"/>
      <c r="K47" s="739"/>
      <c r="L47" s="441"/>
      <c r="M47" s="1017"/>
      <c r="N47" s="458" t="s">
        <v>106</v>
      </c>
      <c r="O47" s="1009"/>
      <c r="P47" s="406">
        <v>1564</v>
      </c>
      <c r="Q47" s="406" t="s">
        <v>11</v>
      </c>
      <c r="R47" s="391"/>
      <c r="S47" s="484">
        <f t="shared" si="13"/>
        <v>0</v>
      </c>
      <c r="T47" s="386"/>
      <c r="U47" s="677"/>
      <c r="V47" s="386"/>
      <c r="W47" s="773"/>
      <c r="X47" s="773"/>
      <c r="Y47" s="773"/>
      <c r="Z47" s="773"/>
      <c r="AA47" s="773"/>
      <c r="AB47" s="773"/>
      <c r="AC47" s="773"/>
      <c r="AD47" s="773"/>
      <c r="AE47" s="773"/>
      <c r="AF47" s="773"/>
      <c r="AG47" s="773"/>
      <c r="AH47" s="773"/>
      <c r="AI47" s="773"/>
      <c r="AJ47" s="773"/>
      <c r="AK47" s="773"/>
      <c r="AL47" s="773"/>
      <c r="AM47" s="773"/>
      <c r="AN47" s="773"/>
      <c r="AO47" s="773"/>
      <c r="AP47" s="773"/>
      <c r="AQ47" s="773"/>
      <c r="AR47" s="773"/>
      <c r="AS47" s="773"/>
      <c r="AT47" s="773"/>
      <c r="AU47" s="773"/>
      <c r="AV47" s="773"/>
      <c r="AW47" s="773"/>
      <c r="AX47" s="773"/>
      <c r="AY47" s="773"/>
      <c r="AZ47" s="773"/>
      <c r="BA47" s="773"/>
      <c r="BB47" s="773"/>
      <c r="BC47" s="773"/>
      <c r="BD47" s="773"/>
      <c r="BE47" s="773"/>
      <c r="BF47" s="773"/>
      <c r="BG47" s="773"/>
      <c r="BH47" s="773"/>
      <c r="BI47" s="773"/>
      <c r="BJ47" s="773"/>
      <c r="BK47" s="773"/>
      <c r="BL47" s="773"/>
      <c r="BM47" s="773"/>
      <c r="BN47" s="773"/>
      <c r="BO47" s="773"/>
      <c r="BP47" s="773"/>
      <c r="BQ47" s="773"/>
      <c r="BR47" s="773"/>
      <c r="BS47" s="773"/>
      <c r="BT47" s="773"/>
      <c r="BU47" s="773"/>
      <c r="BV47" s="773"/>
    </row>
    <row r="48" spans="1:74" s="439" customFormat="1" ht="18" x14ac:dyDescent="0.25">
      <c r="A48" s="770"/>
      <c r="B48" s="1045"/>
      <c r="C48" s="1017"/>
      <c r="D48" s="458" t="s">
        <v>107</v>
      </c>
      <c r="E48" s="1014"/>
      <c r="F48" s="731"/>
      <c r="G48" s="731"/>
      <c r="H48" s="390"/>
      <c r="I48" s="429" t="str">
        <f t="shared" si="12"/>
        <v/>
      </c>
      <c r="J48" s="739"/>
      <c r="K48" s="739"/>
      <c r="L48" s="441"/>
      <c r="M48" s="1017"/>
      <c r="N48" s="458" t="s">
        <v>107</v>
      </c>
      <c r="O48" s="1009"/>
      <c r="P48" s="406">
        <v>1564</v>
      </c>
      <c r="Q48" s="406" t="s">
        <v>11</v>
      </c>
      <c r="R48" s="391"/>
      <c r="S48" s="484">
        <f t="shared" si="13"/>
        <v>0</v>
      </c>
      <c r="T48" s="386"/>
      <c r="U48" s="677"/>
      <c r="V48" s="386"/>
      <c r="W48" s="773"/>
      <c r="X48" s="773"/>
      <c r="Y48" s="773"/>
      <c r="Z48" s="773"/>
      <c r="AA48" s="773"/>
      <c r="AB48" s="773"/>
      <c r="AC48" s="773"/>
      <c r="AD48" s="773"/>
      <c r="AE48" s="773"/>
      <c r="AF48" s="773"/>
      <c r="AG48" s="773"/>
      <c r="AH48" s="773"/>
      <c r="AI48" s="773"/>
      <c r="AJ48" s="773"/>
      <c r="AK48" s="773"/>
      <c r="AL48" s="773"/>
      <c r="AM48" s="773"/>
      <c r="AN48" s="773"/>
      <c r="AO48" s="773"/>
      <c r="AP48" s="773"/>
      <c r="AQ48" s="773"/>
      <c r="AR48" s="773"/>
      <c r="AS48" s="773"/>
      <c r="AT48" s="773"/>
      <c r="AU48" s="773"/>
      <c r="AV48" s="773"/>
      <c r="AW48" s="773"/>
      <c r="AX48" s="773"/>
      <c r="AY48" s="773"/>
      <c r="AZ48" s="773"/>
      <c r="BA48" s="773"/>
      <c r="BB48" s="773"/>
      <c r="BC48" s="773"/>
      <c r="BD48" s="773"/>
      <c r="BE48" s="773"/>
      <c r="BF48" s="773"/>
      <c r="BG48" s="773"/>
      <c r="BH48" s="773"/>
      <c r="BI48" s="773"/>
      <c r="BJ48" s="773"/>
      <c r="BK48" s="773"/>
      <c r="BL48" s="773"/>
      <c r="BM48" s="773"/>
      <c r="BN48" s="773"/>
      <c r="BO48" s="773"/>
      <c r="BP48" s="773"/>
      <c r="BQ48" s="773"/>
      <c r="BR48" s="773"/>
      <c r="BS48" s="773"/>
      <c r="BT48" s="773"/>
      <c r="BU48" s="773"/>
      <c r="BV48" s="773"/>
    </row>
    <row r="49" spans="1:74" s="439" customFormat="1" ht="18" x14ac:dyDescent="0.25">
      <c r="A49" s="770"/>
      <c r="B49" s="1045"/>
      <c r="C49" s="1018"/>
      <c r="D49" s="458" t="s">
        <v>108</v>
      </c>
      <c r="E49" s="1014"/>
      <c r="F49" s="731"/>
      <c r="G49" s="731"/>
      <c r="H49" s="394"/>
      <c r="I49" s="429" t="str">
        <f t="shared" si="12"/>
        <v/>
      </c>
      <c r="J49" s="739"/>
      <c r="K49" s="739"/>
      <c r="L49" s="441"/>
      <c r="M49" s="1018"/>
      <c r="N49" s="458" t="s">
        <v>108</v>
      </c>
      <c r="O49" s="1009"/>
      <c r="P49" s="406">
        <v>1564</v>
      </c>
      <c r="Q49" s="406" t="s">
        <v>11</v>
      </c>
      <c r="R49" s="719"/>
      <c r="S49" s="484">
        <f t="shared" si="13"/>
        <v>0</v>
      </c>
      <c r="T49" s="386"/>
      <c r="U49" s="677"/>
      <c r="V49" s="386"/>
      <c r="W49" s="773"/>
      <c r="X49" s="773"/>
      <c r="Y49" s="773"/>
      <c r="Z49" s="773"/>
      <c r="AA49" s="773"/>
      <c r="AB49" s="773"/>
      <c r="AC49" s="773"/>
      <c r="AD49" s="773"/>
      <c r="AE49" s="773"/>
      <c r="AF49" s="773"/>
      <c r="AG49" s="773"/>
      <c r="AH49" s="773"/>
      <c r="AI49" s="773"/>
      <c r="AJ49" s="773"/>
      <c r="AK49" s="773"/>
      <c r="AL49" s="773"/>
      <c r="AM49" s="773"/>
      <c r="AN49" s="773"/>
      <c r="AO49" s="773"/>
      <c r="AP49" s="773"/>
      <c r="AQ49" s="773"/>
      <c r="AR49" s="773"/>
      <c r="AS49" s="773"/>
      <c r="AT49" s="773"/>
      <c r="AU49" s="773"/>
      <c r="AV49" s="773"/>
      <c r="AW49" s="773"/>
      <c r="AX49" s="773"/>
      <c r="AY49" s="773"/>
      <c r="AZ49" s="773"/>
      <c r="BA49" s="773"/>
      <c r="BB49" s="773"/>
      <c r="BC49" s="773"/>
      <c r="BD49" s="773"/>
      <c r="BE49" s="773"/>
      <c r="BF49" s="773"/>
      <c r="BG49" s="773"/>
      <c r="BH49" s="773"/>
      <c r="BI49" s="773"/>
      <c r="BJ49" s="773"/>
      <c r="BK49" s="773"/>
      <c r="BL49" s="773"/>
      <c r="BM49" s="773"/>
      <c r="BN49" s="773"/>
      <c r="BO49" s="773"/>
      <c r="BP49" s="773"/>
      <c r="BQ49" s="773"/>
      <c r="BR49" s="773"/>
      <c r="BS49" s="773"/>
      <c r="BT49" s="773"/>
      <c r="BU49" s="773"/>
      <c r="BV49" s="773"/>
    </row>
    <row r="50" spans="1:74" s="439" customFormat="1" ht="34.5" customHeight="1" x14ac:dyDescent="0.25">
      <c r="A50" s="770"/>
      <c r="B50" s="1045"/>
      <c r="C50" s="1063" t="s">
        <v>99</v>
      </c>
      <c r="D50" s="1064"/>
      <c r="E50" s="784">
        <f>E42*12*0.62/100</f>
        <v>0</v>
      </c>
      <c r="F50" s="1059" t="s">
        <v>100</v>
      </c>
      <c r="G50" s="1059"/>
      <c r="H50" s="454">
        <f>+SUM(H42:H49)</f>
        <v>0</v>
      </c>
      <c r="I50" s="701">
        <f>+SUM(I42:I49)</f>
        <v>0</v>
      </c>
      <c r="J50" s="658"/>
      <c r="K50" s="658"/>
      <c r="L50" s="658"/>
      <c r="M50" s="1095" t="s">
        <v>99</v>
      </c>
      <c r="N50" s="1096"/>
      <c r="O50" s="792">
        <f>O42*12*0.65/100</f>
        <v>2223</v>
      </c>
      <c r="P50" s="1097" t="s">
        <v>100</v>
      </c>
      <c r="Q50" s="1097"/>
      <c r="R50" s="711">
        <f>+SUM(R42:R49)</f>
        <v>0</v>
      </c>
      <c r="S50" s="712">
        <f>+SUM(S42:S49)</f>
        <v>0</v>
      </c>
      <c r="T50" s="676"/>
      <c r="U50" s="671"/>
      <c r="V50" s="658"/>
      <c r="W50" s="773"/>
      <c r="X50" s="773"/>
      <c r="Y50" s="773"/>
      <c r="Z50" s="773"/>
      <c r="AA50" s="773"/>
      <c r="AB50" s="773"/>
      <c r="AC50" s="773"/>
      <c r="AD50" s="773"/>
      <c r="AE50" s="773"/>
      <c r="AF50" s="773"/>
      <c r="AG50" s="773"/>
      <c r="AH50" s="773"/>
      <c r="AI50" s="773"/>
      <c r="AJ50" s="773"/>
      <c r="AK50" s="773"/>
      <c r="AL50" s="773"/>
      <c r="AM50" s="773"/>
      <c r="AN50" s="773"/>
      <c r="AO50" s="773"/>
      <c r="AP50" s="773"/>
      <c r="AQ50" s="773"/>
      <c r="AR50" s="773"/>
      <c r="AS50" s="773"/>
      <c r="AT50" s="773"/>
      <c r="AU50" s="773"/>
      <c r="AV50" s="773"/>
      <c r="AW50" s="773"/>
      <c r="AX50" s="773"/>
      <c r="AY50" s="773"/>
      <c r="AZ50" s="773"/>
      <c r="BA50" s="773"/>
      <c r="BB50" s="773"/>
      <c r="BC50" s="773"/>
      <c r="BD50" s="773"/>
      <c r="BE50" s="773"/>
      <c r="BF50" s="773"/>
      <c r="BG50" s="773"/>
      <c r="BH50" s="773"/>
      <c r="BI50" s="773"/>
      <c r="BJ50" s="773"/>
      <c r="BK50" s="773"/>
      <c r="BL50" s="773"/>
      <c r="BM50" s="773"/>
      <c r="BN50" s="773"/>
      <c r="BO50" s="773"/>
      <c r="BP50" s="773"/>
      <c r="BQ50" s="773"/>
      <c r="BR50" s="773"/>
      <c r="BS50" s="773"/>
      <c r="BT50" s="773"/>
      <c r="BU50" s="773"/>
      <c r="BV50" s="773"/>
    </row>
    <row r="51" spans="1:74" s="439" customFormat="1" ht="18" x14ac:dyDescent="0.25">
      <c r="A51" s="770"/>
      <c r="B51" s="1045"/>
      <c r="C51" s="1016">
        <v>3</v>
      </c>
      <c r="D51" s="458" t="s">
        <v>109</v>
      </c>
      <c r="E51" s="1009">
        <v>8000</v>
      </c>
      <c r="F51" s="389">
        <v>2395</v>
      </c>
      <c r="G51" s="389" t="s">
        <v>22</v>
      </c>
      <c r="H51" s="395"/>
      <c r="I51" s="429">
        <f t="shared" ref="I51:I58" si="14">IF(F51=2395, H51*12*0.62/100, IF(F51=1564, H51*12*0.65/100, ""))</f>
        <v>0</v>
      </c>
      <c r="J51" s="441"/>
      <c r="K51" s="441"/>
      <c r="L51" s="441"/>
      <c r="M51" s="1016">
        <f>+C51</f>
        <v>3</v>
      </c>
      <c r="N51" s="458" t="s">
        <v>109</v>
      </c>
      <c r="O51" s="1013">
        <v>28500</v>
      </c>
      <c r="P51" s="406">
        <v>1564</v>
      </c>
      <c r="Q51" s="406" t="s">
        <v>11</v>
      </c>
      <c r="R51" s="694"/>
      <c r="S51" s="484">
        <f t="shared" ref="S51:S58" si="15">IF(P51=6843, R51*12*0.62/100,IF(P51=2821, R51*12*0.63/100,IF(P51=6842, R51*12*0.63/100,IF(P51=1564, R51*12*0.65/100, ""))))</f>
        <v>0</v>
      </c>
      <c r="T51" s="709"/>
      <c r="U51" s="709"/>
      <c r="V51" s="386"/>
      <c r="W51" s="773"/>
      <c r="X51" s="773"/>
      <c r="Y51" s="773"/>
      <c r="Z51" s="773"/>
      <c r="AA51" s="773"/>
      <c r="AB51" s="773"/>
      <c r="AC51" s="773"/>
      <c r="AD51" s="773"/>
      <c r="AE51" s="773"/>
      <c r="AF51" s="773"/>
      <c r="AG51" s="773"/>
      <c r="AH51" s="773"/>
      <c r="AI51" s="773"/>
      <c r="AJ51" s="773"/>
      <c r="AK51" s="773"/>
      <c r="AL51" s="773"/>
      <c r="AM51" s="773"/>
      <c r="AN51" s="773"/>
      <c r="AO51" s="773"/>
      <c r="AP51" s="773"/>
      <c r="AQ51" s="773"/>
      <c r="AR51" s="773"/>
      <c r="AS51" s="773"/>
      <c r="AT51" s="773"/>
      <c r="AU51" s="773"/>
      <c r="AV51" s="773"/>
      <c r="AW51" s="773"/>
      <c r="AX51" s="773"/>
      <c r="AY51" s="773"/>
      <c r="AZ51" s="773"/>
      <c r="BA51" s="773"/>
      <c r="BB51" s="773"/>
      <c r="BC51" s="773"/>
      <c r="BD51" s="773"/>
      <c r="BE51" s="773"/>
      <c r="BF51" s="773"/>
      <c r="BG51" s="773"/>
      <c r="BH51" s="773"/>
      <c r="BI51" s="773"/>
      <c r="BJ51" s="773"/>
      <c r="BK51" s="773"/>
      <c r="BL51" s="773"/>
      <c r="BM51" s="773"/>
      <c r="BN51" s="773"/>
      <c r="BO51" s="773"/>
      <c r="BP51" s="773"/>
      <c r="BQ51" s="773"/>
      <c r="BR51" s="773"/>
      <c r="BS51" s="773"/>
      <c r="BT51" s="773"/>
      <c r="BU51" s="773"/>
      <c r="BV51" s="773"/>
    </row>
    <row r="52" spans="1:74" s="439" customFormat="1" ht="18" x14ac:dyDescent="0.25">
      <c r="A52" s="770"/>
      <c r="B52" s="1045"/>
      <c r="C52" s="1017"/>
      <c r="D52" s="459" t="s">
        <v>110</v>
      </c>
      <c r="E52" s="1009"/>
      <c r="F52" s="389">
        <v>2395</v>
      </c>
      <c r="G52" s="389" t="s">
        <v>22</v>
      </c>
      <c r="H52" s="391"/>
      <c r="I52" s="429">
        <f t="shared" si="14"/>
        <v>0</v>
      </c>
      <c r="J52" s="441"/>
      <c r="K52" s="657"/>
      <c r="L52" s="441"/>
      <c r="M52" s="1017"/>
      <c r="N52" s="459" t="s">
        <v>110</v>
      </c>
      <c r="O52" s="1014"/>
      <c r="P52" s="406">
        <v>1564</v>
      </c>
      <c r="Q52" s="406" t="s">
        <v>11</v>
      </c>
      <c r="R52" s="693"/>
      <c r="S52" s="484">
        <f t="shared" si="15"/>
        <v>0</v>
      </c>
      <c r="T52" s="709"/>
      <c r="U52" s="709"/>
      <c r="V52" s="386"/>
      <c r="W52" s="773"/>
      <c r="X52" s="773"/>
      <c r="Y52" s="773"/>
      <c r="Z52" s="773"/>
      <c r="AA52" s="773"/>
      <c r="AB52" s="773"/>
      <c r="AC52" s="773"/>
      <c r="AD52" s="773"/>
      <c r="AE52" s="773"/>
      <c r="AF52" s="773"/>
      <c r="AG52" s="773"/>
      <c r="AH52" s="773"/>
      <c r="AI52" s="773"/>
      <c r="AJ52" s="773"/>
      <c r="AK52" s="773"/>
      <c r="AL52" s="773"/>
      <c r="AM52" s="773"/>
      <c r="AN52" s="773"/>
      <c r="AO52" s="773"/>
      <c r="AP52" s="773"/>
      <c r="AQ52" s="773"/>
      <c r="AR52" s="773"/>
      <c r="AS52" s="773"/>
      <c r="AT52" s="773"/>
      <c r="AU52" s="773"/>
      <c r="AV52" s="773"/>
      <c r="AW52" s="773"/>
      <c r="AX52" s="773"/>
      <c r="AY52" s="773"/>
      <c r="AZ52" s="773"/>
      <c r="BA52" s="773"/>
      <c r="BB52" s="773"/>
      <c r="BC52" s="773"/>
      <c r="BD52" s="773"/>
      <c r="BE52" s="773"/>
      <c r="BF52" s="773"/>
      <c r="BG52" s="773"/>
      <c r="BH52" s="773"/>
      <c r="BI52" s="773"/>
      <c r="BJ52" s="773"/>
      <c r="BK52" s="773"/>
      <c r="BL52" s="773"/>
      <c r="BM52" s="773"/>
      <c r="BN52" s="773"/>
      <c r="BO52" s="773"/>
      <c r="BP52" s="773"/>
      <c r="BQ52" s="773"/>
      <c r="BR52" s="773"/>
      <c r="BS52" s="773"/>
      <c r="BT52" s="773"/>
      <c r="BU52" s="773"/>
      <c r="BV52" s="773"/>
    </row>
    <row r="53" spans="1:74" s="439" customFormat="1" ht="18" x14ac:dyDescent="0.25">
      <c r="A53" s="770"/>
      <c r="B53" s="1045"/>
      <c r="C53" s="1017"/>
      <c r="D53" s="459" t="s">
        <v>111</v>
      </c>
      <c r="E53" s="1009"/>
      <c r="F53" s="389">
        <v>2395</v>
      </c>
      <c r="G53" s="389" t="s">
        <v>22</v>
      </c>
      <c r="H53" s="730"/>
      <c r="I53" s="429">
        <f t="shared" si="14"/>
        <v>0</v>
      </c>
      <c r="J53" s="657"/>
      <c r="K53" s="657"/>
      <c r="L53" s="441"/>
      <c r="M53" s="1017"/>
      <c r="N53" s="459" t="s">
        <v>111</v>
      </c>
      <c r="O53" s="1014"/>
      <c r="P53" s="406">
        <v>1564</v>
      </c>
      <c r="Q53" s="406" t="s">
        <v>11</v>
      </c>
      <c r="R53" s="694"/>
      <c r="S53" s="484">
        <f t="shared" si="15"/>
        <v>0</v>
      </c>
      <c r="T53" s="708"/>
      <c r="U53" s="675"/>
      <c r="V53" s="385"/>
      <c r="W53" s="773"/>
      <c r="X53" s="773"/>
      <c r="Y53" s="773"/>
      <c r="Z53" s="773"/>
      <c r="AA53" s="773"/>
      <c r="AB53" s="773"/>
      <c r="AC53" s="773"/>
      <c r="AD53" s="773"/>
      <c r="AE53" s="773"/>
      <c r="AF53" s="773"/>
      <c r="AG53" s="773"/>
      <c r="AH53" s="773"/>
      <c r="AI53" s="773"/>
      <c r="AJ53" s="773"/>
      <c r="AK53" s="773"/>
      <c r="AL53" s="773"/>
      <c r="AM53" s="773"/>
      <c r="AN53" s="773"/>
      <c r="AO53" s="773"/>
      <c r="AP53" s="773"/>
      <c r="AQ53" s="773"/>
      <c r="AR53" s="773"/>
      <c r="AS53" s="773"/>
      <c r="AT53" s="773"/>
      <c r="AU53" s="773"/>
      <c r="AV53" s="773"/>
      <c r="AW53" s="773"/>
      <c r="AX53" s="773"/>
      <c r="AY53" s="773"/>
      <c r="AZ53" s="773"/>
      <c r="BA53" s="773"/>
      <c r="BB53" s="773"/>
      <c r="BC53" s="773"/>
      <c r="BD53" s="773"/>
      <c r="BE53" s="773"/>
      <c r="BF53" s="773"/>
      <c r="BG53" s="773"/>
      <c r="BH53" s="773"/>
      <c r="BI53" s="773"/>
      <c r="BJ53" s="773"/>
      <c r="BK53" s="773"/>
      <c r="BL53" s="773"/>
      <c r="BM53" s="773"/>
      <c r="BN53" s="773"/>
      <c r="BO53" s="773"/>
      <c r="BP53" s="773"/>
      <c r="BQ53" s="773"/>
      <c r="BR53" s="773"/>
      <c r="BS53" s="773"/>
      <c r="BT53" s="773"/>
      <c r="BU53" s="773"/>
      <c r="BV53" s="773"/>
    </row>
    <row r="54" spans="1:74" s="439" customFormat="1" ht="18" x14ac:dyDescent="0.25">
      <c r="A54" s="770"/>
      <c r="B54" s="1045"/>
      <c r="C54" s="1017"/>
      <c r="D54" s="459" t="s">
        <v>112</v>
      </c>
      <c r="E54" s="1009"/>
      <c r="F54" s="389">
        <v>2395</v>
      </c>
      <c r="G54" s="389" t="s">
        <v>22</v>
      </c>
      <c r="H54" s="713"/>
      <c r="I54" s="429">
        <f t="shared" si="14"/>
        <v>0</v>
      </c>
      <c r="J54" s="657"/>
      <c r="K54" s="657"/>
      <c r="L54" s="866"/>
      <c r="M54" s="1017"/>
      <c r="N54" s="459" t="s">
        <v>112</v>
      </c>
      <c r="O54" s="1014"/>
      <c r="P54" s="406">
        <v>1564</v>
      </c>
      <c r="Q54" s="406" t="s">
        <v>11</v>
      </c>
      <c r="R54" s="694"/>
      <c r="S54" s="484">
        <f t="shared" si="15"/>
        <v>0</v>
      </c>
      <c r="T54" s="709"/>
      <c r="U54" s="709"/>
      <c r="V54" s="386"/>
      <c r="W54" s="773"/>
      <c r="X54" s="773"/>
      <c r="Y54" s="773"/>
      <c r="Z54" s="773"/>
      <c r="AA54" s="773"/>
      <c r="AB54" s="773"/>
      <c r="AC54" s="773"/>
      <c r="AD54" s="773"/>
      <c r="AE54" s="773"/>
      <c r="AF54" s="773"/>
      <c r="AG54" s="773"/>
      <c r="AH54" s="773"/>
      <c r="AI54" s="773"/>
      <c r="AJ54" s="773"/>
      <c r="AK54" s="773"/>
      <c r="AL54" s="773"/>
      <c r="AM54" s="773"/>
      <c r="AN54" s="773"/>
      <c r="AO54" s="773"/>
      <c r="AP54" s="773"/>
      <c r="AQ54" s="773"/>
      <c r="AR54" s="773"/>
      <c r="AS54" s="773"/>
      <c r="AT54" s="773"/>
      <c r="AU54" s="773"/>
      <c r="AV54" s="773"/>
      <c r="AW54" s="773"/>
      <c r="AX54" s="773"/>
      <c r="AY54" s="773"/>
      <c r="AZ54" s="773"/>
      <c r="BA54" s="773"/>
      <c r="BB54" s="773"/>
      <c r="BC54" s="773"/>
      <c r="BD54" s="773"/>
      <c r="BE54" s="773"/>
      <c r="BF54" s="773"/>
      <c r="BG54" s="773"/>
      <c r="BH54" s="773"/>
      <c r="BI54" s="773"/>
      <c r="BJ54" s="773"/>
      <c r="BK54" s="773"/>
      <c r="BL54" s="773"/>
      <c r="BM54" s="773"/>
      <c r="BN54" s="773"/>
      <c r="BO54" s="773"/>
      <c r="BP54" s="773"/>
      <c r="BQ54" s="773"/>
      <c r="BR54" s="773"/>
      <c r="BS54" s="773"/>
      <c r="BT54" s="773"/>
      <c r="BU54" s="773"/>
      <c r="BV54" s="773"/>
    </row>
    <row r="55" spans="1:74" s="439" customFormat="1" ht="18" x14ac:dyDescent="0.25">
      <c r="A55" s="770"/>
      <c r="B55" s="1045"/>
      <c r="C55" s="1017"/>
      <c r="D55" s="459" t="s">
        <v>113</v>
      </c>
      <c r="E55" s="1009"/>
      <c r="F55" s="389">
        <v>2395</v>
      </c>
      <c r="G55" s="389" t="s">
        <v>22</v>
      </c>
      <c r="H55" s="730"/>
      <c r="I55" s="429">
        <f t="shared" si="14"/>
        <v>0</v>
      </c>
      <c r="J55" s="657"/>
      <c r="K55" s="441"/>
      <c r="L55" s="441"/>
      <c r="M55" s="1017"/>
      <c r="N55" s="459" t="s">
        <v>113</v>
      </c>
      <c r="O55" s="1014"/>
      <c r="P55" s="406">
        <v>1564</v>
      </c>
      <c r="Q55" s="406" t="s">
        <v>11</v>
      </c>
      <c r="R55" s="694"/>
      <c r="S55" s="484">
        <f t="shared" si="15"/>
        <v>0</v>
      </c>
      <c r="T55" s="708"/>
      <c r="U55" s="708"/>
      <c r="V55" s="385"/>
      <c r="W55" s="773"/>
      <c r="X55" s="773"/>
      <c r="Y55" s="773"/>
      <c r="Z55" s="773"/>
      <c r="AA55" s="773"/>
      <c r="AB55" s="773"/>
      <c r="AC55" s="773"/>
      <c r="AD55" s="773"/>
      <c r="AE55" s="773"/>
      <c r="AF55" s="773"/>
      <c r="AG55" s="773"/>
      <c r="AH55" s="773"/>
      <c r="AI55" s="773"/>
      <c r="AJ55" s="773"/>
      <c r="AK55" s="773"/>
      <c r="AL55" s="773"/>
      <c r="AM55" s="773"/>
      <c r="AN55" s="773"/>
      <c r="AO55" s="773"/>
      <c r="AP55" s="773"/>
      <c r="AQ55" s="773"/>
      <c r="AR55" s="773"/>
      <c r="AS55" s="773"/>
      <c r="AT55" s="773"/>
      <c r="AU55" s="773"/>
      <c r="AV55" s="773"/>
      <c r="AW55" s="773"/>
      <c r="AX55" s="773"/>
      <c r="AY55" s="773"/>
      <c r="AZ55" s="773"/>
      <c r="BA55" s="773"/>
      <c r="BB55" s="773"/>
      <c r="BC55" s="773"/>
      <c r="BD55" s="773"/>
      <c r="BE55" s="773"/>
      <c r="BF55" s="773"/>
      <c r="BG55" s="773"/>
      <c r="BH55" s="773"/>
      <c r="BI55" s="773"/>
      <c r="BJ55" s="773"/>
      <c r="BK55" s="773"/>
      <c r="BL55" s="773"/>
      <c r="BM55" s="773"/>
      <c r="BN55" s="773"/>
      <c r="BO55" s="773"/>
      <c r="BP55" s="773"/>
      <c r="BQ55" s="773"/>
      <c r="BR55" s="773"/>
      <c r="BS55" s="773"/>
      <c r="BT55" s="773"/>
      <c r="BU55" s="773"/>
      <c r="BV55" s="773"/>
    </row>
    <row r="56" spans="1:74" s="439" customFormat="1" ht="18" x14ac:dyDescent="0.25">
      <c r="A56" s="770"/>
      <c r="B56" s="1045"/>
      <c r="C56" s="1017"/>
      <c r="D56" s="459" t="s">
        <v>114</v>
      </c>
      <c r="E56" s="1009"/>
      <c r="F56" s="389">
        <v>2395</v>
      </c>
      <c r="G56" s="389" t="s">
        <v>22</v>
      </c>
      <c r="H56" s="730"/>
      <c r="I56" s="429">
        <f t="shared" si="14"/>
        <v>0</v>
      </c>
      <c r="J56" s="384"/>
      <c r="K56" s="657"/>
      <c r="L56" s="441"/>
      <c r="M56" s="1017"/>
      <c r="N56" s="459" t="s">
        <v>114</v>
      </c>
      <c r="O56" s="1014"/>
      <c r="P56" s="406">
        <v>1564</v>
      </c>
      <c r="Q56" s="406" t="s">
        <v>11</v>
      </c>
      <c r="R56" s="694"/>
      <c r="S56" s="484">
        <f t="shared" si="15"/>
        <v>0</v>
      </c>
      <c r="T56" s="677"/>
      <c r="U56" s="677"/>
      <c r="V56" s="386"/>
      <c r="W56" s="773"/>
      <c r="X56" s="773"/>
      <c r="Y56" s="773"/>
      <c r="Z56" s="773"/>
      <c r="AA56" s="773"/>
      <c r="AB56" s="773"/>
      <c r="AC56" s="773"/>
      <c r="AD56" s="773"/>
      <c r="AE56" s="773"/>
      <c r="AF56" s="773"/>
      <c r="AG56" s="773"/>
      <c r="AH56" s="773"/>
      <c r="AI56" s="773"/>
      <c r="AJ56" s="773"/>
      <c r="AK56" s="773"/>
      <c r="AL56" s="773"/>
      <c r="AM56" s="773"/>
      <c r="AN56" s="773"/>
      <c r="AO56" s="773"/>
      <c r="AP56" s="773"/>
      <c r="AQ56" s="773"/>
      <c r="AR56" s="773"/>
      <c r="AS56" s="773"/>
      <c r="AT56" s="773"/>
      <c r="AU56" s="773"/>
      <c r="AV56" s="773"/>
      <c r="AW56" s="773"/>
      <c r="AX56" s="773"/>
      <c r="AY56" s="773"/>
      <c r="AZ56" s="773"/>
      <c r="BA56" s="773"/>
      <c r="BB56" s="773"/>
      <c r="BC56" s="773"/>
      <c r="BD56" s="773"/>
      <c r="BE56" s="773"/>
      <c r="BF56" s="773"/>
      <c r="BG56" s="773"/>
      <c r="BH56" s="773"/>
      <c r="BI56" s="773"/>
      <c r="BJ56" s="773"/>
      <c r="BK56" s="773"/>
      <c r="BL56" s="773"/>
      <c r="BM56" s="773"/>
      <c r="BN56" s="773"/>
      <c r="BO56" s="773"/>
      <c r="BP56" s="773"/>
      <c r="BQ56" s="773"/>
      <c r="BR56" s="773"/>
      <c r="BS56" s="773"/>
      <c r="BT56" s="773"/>
      <c r="BU56" s="773"/>
      <c r="BV56" s="773"/>
    </row>
    <row r="57" spans="1:74" s="439" customFormat="1" ht="18" x14ac:dyDescent="0.25">
      <c r="A57" s="770"/>
      <c r="B57" s="1045"/>
      <c r="C57" s="1017"/>
      <c r="D57" s="459" t="s">
        <v>115</v>
      </c>
      <c r="E57" s="1009"/>
      <c r="F57" s="389">
        <v>2395</v>
      </c>
      <c r="G57" s="389" t="s">
        <v>22</v>
      </c>
      <c r="H57" s="730"/>
      <c r="I57" s="429">
        <f t="shared" si="14"/>
        <v>0</v>
      </c>
      <c r="J57" s="740"/>
      <c r="K57" s="441"/>
      <c r="L57" s="441"/>
      <c r="M57" s="1017"/>
      <c r="N57" s="459" t="s">
        <v>115</v>
      </c>
      <c r="O57" s="1014"/>
      <c r="P57" s="406">
        <v>1564</v>
      </c>
      <c r="Q57" s="406" t="s">
        <v>11</v>
      </c>
      <c r="R57" s="694"/>
      <c r="S57" s="484">
        <f t="shared" si="15"/>
        <v>0</v>
      </c>
      <c r="T57" s="708"/>
      <c r="U57" s="675"/>
      <c r="V57" s="385"/>
      <c r="W57" s="773"/>
      <c r="X57" s="773"/>
      <c r="Y57" s="773"/>
      <c r="Z57" s="773"/>
      <c r="AA57" s="773"/>
      <c r="AB57" s="773"/>
      <c r="AC57" s="773"/>
      <c r="AD57" s="773"/>
      <c r="AE57" s="773"/>
      <c r="AF57" s="773"/>
      <c r="AG57" s="773"/>
      <c r="AH57" s="773"/>
      <c r="AI57" s="773"/>
      <c r="AJ57" s="773"/>
      <c r="AK57" s="773"/>
      <c r="AL57" s="773"/>
      <c r="AM57" s="773"/>
      <c r="AN57" s="773"/>
      <c r="AO57" s="773"/>
      <c r="AP57" s="773"/>
      <c r="AQ57" s="773"/>
      <c r="AR57" s="773"/>
      <c r="AS57" s="773"/>
      <c r="AT57" s="773"/>
      <c r="AU57" s="773"/>
      <c r="AV57" s="773"/>
      <c r="AW57" s="773"/>
      <c r="AX57" s="773"/>
      <c r="AY57" s="773"/>
      <c r="AZ57" s="773"/>
      <c r="BA57" s="773"/>
      <c r="BB57" s="773"/>
      <c r="BC57" s="773"/>
      <c r="BD57" s="773"/>
      <c r="BE57" s="773"/>
      <c r="BF57" s="773"/>
      <c r="BG57" s="773"/>
      <c r="BH57" s="773"/>
      <c r="BI57" s="773"/>
      <c r="BJ57" s="773"/>
      <c r="BK57" s="773"/>
      <c r="BL57" s="773"/>
      <c r="BM57" s="773"/>
      <c r="BN57" s="773"/>
      <c r="BO57" s="773"/>
      <c r="BP57" s="773"/>
      <c r="BQ57" s="773"/>
      <c r="BR57" s="773"/>
      <c r="BS57" s="773"/>
      <c r="BT57" s="773"/>
      <c r="BU57" s="773"/>
      <c r="BV57" s="773"/>
    </row>
    <row r="58" spans="1:74" s="439" customFormat="1" ht="18" x14ac:dyDescent="0.25">
      <c r="A58" s="770"/>
      <c r="B58" s="1045"/>
      <c r="C58" s="1018"/>
      <c r="D58" s="462" t="s">
        <v>116</v>
      </c>
      <c r="E58" s="1009"/>
      <c r="F58" s="389">
        <v>2395</v>
      </c>
      <c r="G58" s="389" t="s">
        <v>22</v>
      </c>
      <c r="H58" s="713"/>
      <c r="I58" s="429">
        <f t="shared" si="14"/>
        <v>0</v>
      </c>
      <c r="J58" s="657"/>
      <c r="K58" s="657"/>
      <c r="L58" s="441"/>
      <c r="M58" s="1098"/>
      <c r="N58" s="462" t="s">
        <v>116</v>
      </c>
      <c r="O58" s="1014"/>
      <c r="P58" s="406">
        <v>1564</v>
      </c>
      <c r="Q58" s="406" t="s">
        <v>11</v>
      </c>
      <c r="R58" s="694"/>
      <c r="S58" s="484">
        <f t="shared" si="15"/>
        <v>0</v>
      </c>
      <c r="T58" s="741"/>
      <c r="U58" s="709"/>
      <c r="V58" s="386"/>
      <c r="W58" s="773"/>
      <c r="X58" s="773"/>
      <c r="Y58" s="773"/>
      <c r="Z58" s="773"/>
      <c r="AA58" s="773"/>
      <c r="AB58" s="773"/>
      <c r="AC58" s="773"/>
      <c r="AD58" s="773"/>
      <c r="AE58" s="773"/>
      <c r="AF58" s="773"/>
      <c r="AG58" s="773"/>
      <c r="AH58" s="773"/>
      <c r="AI58" s="773"/>
      <c r="AJ58" s="773"/>
      <c r="AK58" s="773"/>
      <c r="AL58" s="773"/>
      <c r="AM58" s="773"/>
      <c r="AN58" s="773"/>
      <c r="AO58" s="773"/>
      <c r="AP58" s="773"/>
      <c r="AQ58" s="773"/>
      <c r="AR58" s="773"/>
      <c r="AS58" s="773"/>
      <c r="AT58" s="773"/>
      <c r="AU58" s="773"/>
      <c r="AV58" s="773"/>
      <c r="AW58" s="773"/>
      <c r="AX58" s="773"/>
      <c r="AY58" s="773"/>
      <c r="AZ58" s="773"/>
      <c r="BA58" s="773"/>
      <c r="BB58" s="773"/>
      <c r="BC58" s="773"/>
      <c r="BD58" s="773"/>
      <c r="BE58" s="773"/>
      <c r="BF58" s="773"/>
      <c r="BG58" s="773"/>
      <c r="BH58" s="773"/>
      <c r="BI58" s="773"/>
      <c r="BJ58" s="773"/>
      <c r="BK58" s="773"/>
      <c r="BL58" s="773"/>
      <c r="BM58" s="773"/>
      <c r="BN58" s="773"/>
      <c r="BO58" s="773"/>
      <c r="BP58" s="773"/>
      <c r="BQ58" s="773"/>
      <c r="BR58" s="773"/>
      <c r="BS58" s="773"/>
      <c r="BT58" s="773"/>
      <c r="BU58" s="773"/>
      <c r="BV58" s="773"/>
    </row>
    <row r="59" spans="1:74" s="439" customFormat="1" ht="36.75" customHeight="1" x14ac:dyDescent="0.25">
      <c r="A59" s="770"/>
      <c r="B59" s="1046"/>
      <c r="C59" s="1041" t="s">
        <v>99</v>
      </c>
      <c r="D59" s="1042"/>
      <c r="E59" s="793">
        <f>E51*12*0.62/100</f>
        <v>595.20000000000005</v>
      </c>
      <c r="F59" s="1021" t="s">
        <v>100</v>
      </c>
      <c r="G59" s="1022"/>
      <c r="H59" s="397">
        <f>+SUM(H51:H58)</f>
        <v>0</v>
      </c>
      <c r="I59" s="422">
        <f>+SUM(I51:I58)</f>
        <v>0</v>
      </c>
      <c r="J59" s="658"/>
      <c r="K59" s="658"/>
      <c r="L59" s="658"/>
      <c r="M59" s="1020" t="s">
        <v>99</v>
      </c>
      <c r="N59" s="1023"/>
      <c r="O59" s="430">
        <f>O51*12*0.65/100</f>
        <v>2223</v>
      </c>
      <c r="P59" s="1007" t="s">
        <v>100</v>
      </c>
      <c r="Q59" s="1008"/>
      <c r="R59" s="431">
        <f>+SUM(R51:R58)</f>
        <v>0</v>
      </c>
      <c r="S59" s="432">
        <f>+SUM(S51:S58)</f>
        <v>0</v>
      </c>
      <c r="T59" s="680"/>
      <c r="U59" s="671"/>
      <c r="V59" s="658"/>
      <c r="W59" s="773"/>
      <c r="X59" s="773"/>
      <c r="Y59" s="773"/>
      <c r="Z59" s="773"/>
      <c r="AA59" s="773"/>
      <c r="AB59" s="773"/>
      <c r="AC59" s="773"/>
      <c r="AD59" s="773"/>
      <c r="AE59" s="773"/>
      <c r="AF59" s="773"/>
      <c r="AG59" s="773"/>
      <c r="AH59" s="773"/>
      <c r="AI59" s="773"/>
      <c r="AJ59" s="773"/>
      <c r="AK59" s="773"/>
      <c r="AL59" s="773"/>
      <c r="AM59" s="773"/>
      <c r="AN59" s="773"/>
      <c r="AO59" s="773"/>
      <c r="AP59" s="773"/>
      <c r="AQ59" s="773"/>
      <c r="AR59" s="773"/>
      <c r="AS59" s="773"/>
      <c r="AT59" s="773"/>
      <c r="AU59" s="773"/>
      <c r="AV59" s="773"/>
      <c r="AW59" s="773"/>
      <c r="AX59" s="773"/>
      <c r="AY59" s="773"/>
      <c r="AZ59" s="773"/>
      <c r="BA59" s="773"/>
      <c r="BB59" s="773"/>
      <c r="BC59" s="773"/>
      <c r="BD59" s="773"/>
      <c r="BE59" s="773"/>
      <c r="BF59" s="773"/>
      <c r="BG59" s="773"/>
      <c r="BH59" s="773"/>
      <c r="BI59" s="773"/>
      <c r="BJ59" s="773"/>
      <c r="BK59" s="773"/>
      <c r="BL59" s="773"/>
      <c r="BM59" s="773"/>
      <c r="BN59" s="773"/>
      <c r="BO59" s="773"/>
      <c r="BP59" s="773"/>
      <c r="BQ59" s="773"/>
      <c r="BR59" s="773"/>
      <c r="BS59" s="773"/>
      <c r="BT59" s="773"/>
      <c r="BU59" s="773"/>
      <c r="BV59" s="773"/>
    </row>
    <row r="60" spans="1:74" s="439" customFormat="1" ht="18" x14ac:dyDescent="0.25">
      <c r="A60" s="770"/>
      <c r="B60" s="1044">
        <f>+B33+1</f>
        <v>46092</v>
      </c>
      <c r="C60" s="1047">
        <v>1</v>
      </c>
      <c r="D60" s="433" t="s">
        <v>91</v>
      </c>
      <c r="E60" s="1009">
        <v>15000</v>
      </c>
      <c r="F60" s="389">
        <v>2395</v>
      </c>
      <c r="G60" s="389" t="s">
        <v>22</v>
      </c>
      <c r="H60" s="417"/>
      <c r="I60" s="429">
        <f t="shared" ref="I60:I67" si="16">IF(F60=2395, H60*12*0.62/100, IF(F60=1564, H60*12*0.65/100, ""))</f>
        <v>0</v>
      </c>
      <c r="J60" s="441"/>
      <c r="K60" s="441"/>
      <c r="L60" s="441"/>
      <c r="M60" s="1047">
        <f>+C60</f>
        <v>1</v>
      </c>
      <c r="N60" s="433" t="s">
        <v>91</v>
      </c>
      <c r="O60" s="1009">
        <v>15000</v>
      </c>
      <c r="P60" s="408">
        <v>2821</v>
      </c>
      <c r="Q60" s="408" t="s">
        <v>23</v>
      </c>
      <c r="R60" s="391"/>
      <c r="S60" s="484">
        <f t="shared" ref="S60:S67" si="17">IF(P60=6843, R60*12*0.62/100,IF(P60=2821, R60*12*0.63/100,IF(P60=6842, R60*12*0.63/100,IF(P60=1564, R60*12*0.65/100, ""))))</f>
        <v>0</v>
      </c>
      <c r="T60" s="677"/>
      <c r="U60" s="679"/>
      <c r="V60" s="438"/>
      <c r="W60" s="773"/>
      <c r="X60" s="773"/>
      <c r="Y60" s="773"/>
      <c r="Z60" s="773"/>
      <c r="AA60" s="773"/>
      <c r="AB60" s="773"/>
      <c r="AC60" s="773"/>
      <c r="AD60" s="773"/>
      <c r="AE60" s="773"/>
      <c r="AF60" s="773"/>
      <c r="AG60" s="773"/>
      <c r="AH60" s="773"/>
      <c r="AI60" s="773"/>
      <c r="AJ60" s="773"/>
      <c r="AK60" s="773"/>
      <c r="AL60" s="773"/>
      <c r="AM60" s="773"/>
      <c r="AN60" s="773"/>
      <c r="AO60" s="773"/>
      <c r="AP60" s="773"/>
      <c r="AQ60" s="773"/>
      <c r="AR60" s="773"/>
      <c r="AS60" s="773"/>
      <c r="AT60" s="773"/>
      <c r="AU60" s="773"/>
      <c r="AV60" s="773"/>
      <c r="AW60" s="773"/>
      <c r="AX60" s="773"/>
      <c r="AY60" s="773"/>
      <c r="AZ60" s="773"/>
      <c r="BA60" s="773"/>
      <c r="BB60" s="773"/>
      <c r="BC60" s="773"/>
      <c r="BD60" s="773"/>
      <c r="BE60" s="773"/>
      <c r="BF60" s="773"/>
      <c r="BG60" s="773"/>
      <c r="BH60" s="773"/>
      <c r="BI60" s="773"/>
      <c r="BJ60" s="773"/>
      <c r="BK60" s="773"/>
      <c r="BL60" s="773"/>
      <c r="BM60" s="773"/>
      <c r="BN60" s="773"/>
      <c r="BO60" s="773"/>
      <c r="BP60" s="773"/>
      <c r="BQ60" s="773"/>
      <c r="BR60" s="773"/>
      <c r="BS60" s="773"/>
      <c r="BT60" s="773"/>
      <c r="BU60" s="773"/>
      <c r="BV60" s="773"/>
    </row>
    <row r="61" spans="1:74" s="439" customFormat="1" ht="18" x14ac:dyDescent="0.25">
      <c r="A61" s="770"/>
      <c r="B61" s="1045"/>
      <c r="C61" s="1047"/>
      <c r="D61" s="433" t="s">
        <v>92</v>
      </c>
      <c r="E61" s="1009"/>
      <c r="F61" s="389">
        <v>2395</v>
      </c>
      <c r="G61" s="389" t="s">
        <v>22</v>
      </c>
      <c r="H61" s="417"/>
      <c r="I61" s="429">
        <f t="shared" si="16"/>
        <v>0</v>
      </c>
      <c r="J61" s="441"/>
      <c r="K61" s="441"/>
      <c r="L61" s="441"/>
      <c r="M61" s="1047"/>
      <c r="N61" s="433" t="s">
        <v>92</v>
      </c>
      <c r="O61" s="1009"/>
      <c r="P61" s="409">
        <v>2821</v>
      </c>
      <c r="Q61" s="410" t="s">
        <v>23</v>
      </c>
      <c r="R61" s="391"/>
      <c r="S61" s="484">
        <f t="shared" si="17"/>
        <v>0</v>
      </c>
      <c r="T61" s="677"/>
      <c r="U61" s="677"/>
      <c r="V61" s="438"/>
      <c r="W61" s="773"/>
      <c r="X61" s="773"/>
      <c r="Y61" s="773"/>
      <c r="Z61" s="773"/>
      <c r="AA61" s="773"/>
      <c r="AB61" s="773"/>
      <c r="AC61" s="773"/>
      <c r="AD61" s="773"/>
      <c r="AE61" s="773"/>
      <c r="AF61" s="773"/>
      <c r="AG61" s="773"/>
      <c r="AH61" s="773"/>
      <c r="AI61" s="773"/>
      <c r="AJ61" s="773"/>
      <c r="AK61" s="773"/>
      <c r="AL61" s="773"/>
      <c r="AM61" s="773"/>
      <c r="AN61" s="773"/>
      <c r="AO61" s="773"/>
      <c r="AP61" s="773"/>
      <c r="AQ61" s="773"/>
      <c r="AR61" s="773"/>
      <c r="AS61" s="773"/>
      <c r="AT61" s="773"/>
      <c r="AU61" s="773"/>
      <c r="AV61" s="773"/>
      <c r="AW61" s="773"/>
      <c r="AX61" s="773"/>
      <c r="AY61" s="773"/>
      <c r="AZ61" s="773"/>
      <c r="BA61" s="773"/>
      <c r="BB61" s="773"/>
      <c r="BC61" s="773"/>
      <c r="BD61" s="773"/>
      <c r="BE61" s="773"/>
      <c r="BF61" s="773"/>
      <c r="BG61" s="773"/>
      <c r="BH61" s="773"/>
      <c r="BI61" s="773"/>
      <c r="BJ61" s="773"/>
      <c r="BK61" s="773"/>
      <c r="BL61" s="773"/>
      <c r="BM61" s="773"/>
      <c r="BN61" s="773"/>
      <c r="BO61" s="773"/>
      <c r="BP61" s="773"/>
      <c r="BQ61" s="773"/>
      <c r="BR61" s="773"/>
      <c r="BS61" s="773"/>
      <c r="BT61" s="773"/>
      <c r="BU61" s="773"/>
      <c r="BV61" s="773"/>
    </row>
    <row r="62" spans="1:74" s="439" customFormat="1" ht="18" x14ac:dyDescent="0.25">
      <c r="A62" s="770"/>
      <c r="B62" s="1045"/>
      <c r="C62" s="1047"/>
      <c r="D62" s="433" t="s">
        <v>93</v>
      </c>
      <c r="E62" s="1009"/>
      <c r="F62" s="389">
        <v>2395</v>
      </c>
      <c r="G62" s="389" t="s">
        <v>22</v>
      </c>
      <c r="H62" s="417"/>
      <c r="I62" s="429">
        <f t="shared" si="16"/>
        <v>0</v>
      </c>
      <c r="J62" s="387"/>
      <c r="K62" s="441"/>
      <c r="L62" s="441"/>
      <c r="M62" s="1047"/>
      <c r="N62" s="433" t="s">
        <v>93</v>
      </c>
      <c r="O62" s="1009"/>
      <c r="P62" s="409">
        <v>2821</v>
      </c>
      <c r="Q62" s="410" t="s">
        <v>23</v>
      </c>
      <c r="R62" s="391"/>
      <c r="S62" s="484">
        <f t="shared" si="17"/>
        <v>0</v>
      </c>
      <c r="T62" s="677"/>
      <c r="U62" s="677"/>
      <c r="V62" s="438"/>
      <c r="W62" s="773"/>
      <c r="X62" s="773"/>
      <c r="Y62" s="773"/>
      <c r="Z62" s="773"/>
      <c r="AA62" s="773"/>
      <c r="AB62" s="773"/>
      <c r="AC62" s="773"/>
      <c r="AD62" s="773"/>
      <c r="AE62" s="773"/>
      <c r="AF62" s="773"/>
      <c r="AG62" s="773"/>
      <c r="AH62" s="773"/>
      <c r="AI62" s="773"/>
      <c r="AJ62" s="773"/>
      <c r="AK62" s="773"/>
      <c r="AL62" s="773"/>
      <c r="AM62" s="773"/>
      <c r="AN62" s="773"/>
      <c r="AO62" s="773"/>
      <c r="AP62" s="773"/>
      <c r="AQ62" s="773"/>
      <c r="AR62" s="773"/>
      <c r="AS62" s="773"/>
      <c r="AT62" s="773"/>
      <c r="AU62" s="773"/>
      <c r="AV62" s="773"/>
      <c r="AW62" s="773"/>
      <c r="AX62" s="773"/>
      <c r="AY62" s="773"/>
      <c r="AZ62" s="773"/>
      <c r="BA62" s="773"/>
      <c r="BB62" s="773"/>
      <c r="BC62" s="773"/>
      <c r="BD62" s="773"/>
      <c r="BE62" s="773"/>
      <c r="BF62" s="773"/>
      <c r="BG62" s="773"/>
      <c r="BH62" s="773"/>
      <c r="BI62" s="773"/>
      <c r="BJ62" s="773"/>
      <c r="BK62" s="773"/>
      <c r="BL62" s="773"/>
      <c r="BM62" s="773"/>
      <c r="BN62" s="773"/>
      <c r="BO62" s="773"/>
      <c r="BP62" s="773"/>
      <c r="BQ62" s="773"/>
      <c r="BR62" s="773"/>
      <c r="BS62" s="773"/>
      <c r="BT62" s="773"/>
      <c r="BU62" s="773"/>
      <c r="BV62" s="773"/>
    </row>
    <row r="63" spans="1:74" s="439" customFormat="1" ht="18" x14ac:dyDescent="0.25">
      <c r="A63" s="770"/>
      <c r="B63" s="1045"/>
      <c r="C63" s="1047"/>
      <c r="D63" s="433" t="s">
        <v>94</v>
      </c>
      <c r="E63" s="1009"/>
      <c r="F63" s="389">
        <v>2395</v>
      </c>
      <c r="G63" s="389" t="s">
        <v>22</v>
      </c>
      <c r="H63" s="417"/>
      <c r="I63" s="429">
        <f t="shared" si="16"/>
        <v>0</v>
      </c>
      <c r="J63" s="388"/>
      <c r="K63" s="441"/>
      <c r="L63" s="441"/>
      <c r="M63" s="1047"/>
      <c r="N63" s="433" t="s">
        <v>94</v>
      </c>
      <c r="O63" s="1009"/>
      <c r="P63" s="409">
        <v>2821</v>
      </c>
      <c r="Q63" s="410" t="s">
        <v>23</v>
      </c>
      <c r="R63" s="391"/>
      <c r="S63" s="484">
        <f t="shared" si="17"/>
        <v>0</v>
      </c>
      <c r="T63" s="677"/>
      <c r="U63" s="679"/>
      <c r="V63" s="438"/>
      <c r="W63" s="773"/>
      <c r="X63" s="773"/>
      <c r="Y63" s="773"/>
      <c r="Z63" s="773"/>
      <c r="AA63" s="773"/>
      <c r="AB63" s="773"/>
      <c r="AC63" s="773"/>
      <c r="AD63" s="773"/>
      <c r="AE63" s="773"/>
      <c r="AF63" s="773"/>
      <c r="AG63" s="773"/>
      <c r="AH63" s="773"/>
      <c r="AI63" s="773"/>
      <c r="AJ63" s="773"/>
      <c r="AK63" s="773"/>
      <c r="AL63" s="773"/>
      <c r="AM63" s="773"/>
      <c r="AN63" s="773"/>
      <c r="AO63" s="773"/>
      <c r="AP63" s="773"/>
      <c r="AQ63" s="773"/>
      <c r="AR63" s="773"/>
      <c r="AS63" s="773"/>
      <c r="AT63" s="773"/>
      <c r="AU63" s="773"/>
      <c r="AV63" s="773"/>
      <c r="AW63" s="773"/>
      <c r="AX63" s="773"/>
      <c r="AY63" s="773"/>
      <c r="AZ63" s="773"/>
      <c r="BA63" s="773"/>
      <c r="BB63" s="773"/>
      <c r="BC63" s="773"/>
      <c r="BD63" s="773"/>
      <c r="BE63" s="773"/>
      <c r="BF63" s="773"/>
      <c r="BG63" s="773"/>
      <c r="BH63" s="773"/>
      <c r="BI63" s="773"/>
      <c r="BJ63" s="773"/>
      <c r="BK63" s="773"/>
      <c r="BL63" s="773"/>
      <c r="BM63" s="773"/>
      <c r="BN63" s="773"/>
      <c r="BO63" s="773"/>
      <c r="BP63" s="773"/>
      <c r="BQ63" s="773"/>
      <c r="BR63" s="773"/>
      <c r="BS63" s="773"/>
      <c r="BT63" s="773"/>
      <c r="BU63" s="773"/>
      <c r="BV63" s="773"/>
    </row>
    <row r="64" spans="1:74" s="439" customFormat="1" ht="18" x14ac:dyDescent="0.25">
      <c r="A64" s="770"/>
      <c r="B64" s="1045"/>
      <c r="C64" s="1047"/>
      <c r="D64" s="433" t="s">
        <v>95</v>
      </c>
      <c r="E64" s="1009"/>
      <c r="F64" s="389">
        <v>2395</v>
      </c>
      <c r="G64" s="389" t="s">
        <v>22</v>
      </c>
      <c r="H64" s="417"/>
      <c r="I64" s="429">
        <f t="shared" si="16"/>
        <v>0</v>
      </c>
      <c r="J64" s="695"/>
      <c r="K64" s="695"/>
      <c r="L64" s="441"/>
      <c r="M64" s="1047"/>
      <c r="N64" s="433" t="s">
        <v>95</v>
      </c>
      <c r="O64" s="1009"/>
      <c r="P64" s="409">
        <v>2821</v>
      </c>
      <c r="Q64" s="410" t="s">
        <v>23</v>
      </c>
      <c r="R64" s="391"/>
      <c r="S64" s="484">
        <f t="shared" si="17"/>
        <v>0</v>
      </c>
      <c r="T64" s="677"/>
      <c r="U64" s="679"/>
      <c r="V64" s="438"/>
      <c r="W64" s="773"/>
      <c r="X64" s="773"/>
      <c r="Y64" s="773"/>
      <c r="Z64" s="773"/>
      <c r="AA64" s="773"/>
      <c r="AB64" s="773"/>
      <c r="AC64" s="773"/>
      <c r="AD64" s="773"/>
      <c r="AE64" s="773"/>
      <c r="AF64" s="773"/>
      <c r="AG64" s="773"/>
      <c r="AH64" s="773"/>
      <c r="AI64" s="773"/>
      <c r="AJ64" s="773"/>
      <c r="AK64" s="773"/>
      <c r="AL64" s="773"/>
      <c r="AM64" s="773"/>
      <c r="AN64" s="773"/>
      <c r="AO64" s="773"/>
      <c r="AP64" s="773"/>
      <c r="AQ64" s="773"/>
      <c r="AR64" s="773"/>
      <c r="AS64" s="773"/>
      <c r="AT64" s="773"/>
      <c r="AU64" s="773"/>
      <c r="AV64" s="773"/>
      <c r="AW64" s="773"/>
      <c r="AX64" s="773"/>
      <c r="AY64" s="773"/>
      <c r="AZ64" s="773"/>
      <c r="BA64" s="773"/>
      <c r="BB64" s="773"/>
      <c r="BC64" s="773"/>
      <c r="BD64" s="773"/>
      <c r="BE64" s="773"/>
      <c r="BF64" s="773"/>
      <c r="BG64" s="773"/>
      <c r="BH64" s="773"/>
      <c r="BI64" s="773"/>
      <c r="BJ64" s="773"/>
      <c r="BK64" s="773"/>
      <c r="BL64" s="773"/>
      <c r="BM64" s="773"/>
      <c r="BN64" s="773"/>
      <c r="BO64" s="773"/>
      <c r="BP64" s="773"/>
      <c r="BQ64" s="773"/>
      <c r="BR64" s="773"/>
      <c r="BS64" s="773"/>
      <c r="BT64" s="773"/>
      <c r="BU64" s="773"/>
      <c r="BV64" s="773"/>
    </row>
    <row r="65" spans="1:74" s="439" customFormat="1" ht="18" x14ac:dyDescent="0.25">
      <c r="A65" s="770"/>
      <c r="B65" s="1045"/>
      <c r="C65" s="1047"/>
      <c r="D65" s="433" t="s">
        <v>96</v>
      </c>
      <c r="E65" s="1009"/>
      <c r="F65" s="389">
        <v>2395</v>
      </c>
      <c r="G65" s="389" t="s">
        <v>22</v>
      </c>
      <c r="H65" s="391"/>
      <c r="I65" s="429">
        <f t="shared" si="16"/>
        <v>0</v>
      </c>
      <c r="J65" s="695"/>
      <c r="K65" s="695"/>
      <c r="L65" s="441"/>
      <c r="M65" s="1047"/>
      <c r="N65" s="433" t="s">
        <v>96</v>
      </c>
      <c r="O65" s="1009"/>
      <c r="P65" s="409">
        <v>2821</v>
      </c>
      <c r="Q65" s="410" t="s">
        <v>23</v>
      </c>
      <c r="R65" s="391"/>
      <c r="S65" s="484">
        <f t="shared" si="17"/>
        <v>0</v>
      </c>
      <c r="T65" s="677"/>
      <c r="U65" s="679"/>
      <c r="V65" s="438"/>
      <c r="W65" s="773"/>
      <c r="X65" s="773"/>
      <c r="Y65" s="773"/>
      <c r="Z65" s="773"/>
      <c r="AA65" s="773"/>
      <c r="AB65" s="773"/>
      <c r="AC65" s="773"/>
      <c r="AD65" s="773"/>
      <c r="AE65" s="773"/>
      <c r="AF65" s="773"/>
      <c r="AG65" s="773"/>
      <c r="AH65" s="773"/>
      <c r="AI65" s="773"/>
      <c r="AJ65" s="773"/>
      <c r="AK65" s="773"/>
      <c r="AL65" s="773"/>
      <c r="AM65" s="773"/>
      <c r="AN65" s="773"/>
      <c r="AO65" s="773"/>
      <c r="AP65" s="773"/>
      <c r="AQ65" s="773"/>
      <c r="AR65" s="773"/>
      <c r="AS65" s="773"/>
      <c r="AT65" s="773"/>
      <c r="AU65" s="773"/>
      <c r="AV65" s="773"/>
      <c r="AW65" s="773"/>
      <c r="AX65" s="773"/>
      <c r="AY65" s="773"/>
      <c r="AZ65" s="773"/>
      <c r="BA65" s="773"/>
      <c r="BB65" s="773"/>
      <c r="BC65" s="773"/>
      <c r="BD65" s="773"/>
      <c r="BE65" s="773"/>
      <c r="BF65" s="773"/>
      <c r="BG65" s="773"/>
      <c r="BH65" s="773"/>
      <c r="BI65" s="773"/>
      <c r="BJ65" s="773"/>
      <c r="BK65" s="773"/>
      <c r="BL65" s="773"/>
      <c r="BM65" s="773"/>
      <c r="BN65" s="773"/>
      <c r="BO65" s="773"/>
      <c r="BP65" s="773"/>
      <c r="BQ65" s="773"/>
      <c r="BR65" s="773"/>
      <c r="BS65" s="773"/>
      <c r="BT65" s="773"/>
      <c r="BU65" s="773"/>
      <c r="BV65" s="773"/>
    </row>
    <row r="66" spans="1:74" s="439" customFormat="1" ht="56.25" customHeight="1" x14ac:dyDescent="0.25">
      <c r="A66" s="770"/>
      <c r="B66" s="1045"/>
      <c r="C66" s="1047"/>
      <c r="D66" s="433" t="s">
        <v>97</v>
      </c>
      <c r="E66" s="1009"/>
      <c r="F66" s="389">
        <v>2395</v>
      </c>
      <c r="G66" s="389" t="s">
        <v>22</v>
      </c>
      <c r="H66" s="391"/>
      <c r="I66" s="429">
        <f t="shared" si="16"/>
        <v>0</v>
      </c>
      <c r="J66" s="714"/>
      <c r="K66" s="713"/>
      <c r="L66" s="441"/>
      <c r="M66" s="1047"/>
      <c r="N66" s="433" t="s">
        <v>97</v>
      </c>
      <c r="O66" s="1009"/>
      <c r="P66" s="409">
        <v>2821</v>
      </c>
      <c r="Q66" s="410" t="s">
        <v>23</v>
      </c>
      <c r="R66" s="391"/>
      <c r="S66" s="484">
        <f t="shared" si="17"/>
        <v>0</v>
      </c>
      <c r="T66" s="677"/>
      <c r="U66" s="677"/>
      <c r="V66" s="867"/>
      <c r="W66" s="773"/>
      <c r="X66" s="773"/>
      <c r="Y66" s="773"/>
      <c r="Z66" s="773"/>
      <c r="AA66" s="773"/>
      <c r="AB66" s="773"/>
      <c r="AC66" s="773"/>
      <c r="AD66" s="773"/>
      <c r="AE66" s="773"/>
      <c r="AF66" s="773"/>
      <c r="AG66" s="773"/>
      <c r="AH66" s="773"/>
      <c r="AI66" s="773"/>
      <c r="AJ66" s="773"/>
      <c r="AK66" s="773"/>
      <c r="AL66" s="773"/>
      <c r="AM66" s="773"/>
      <c r="AN66" s="773"/>
      <c r="AO66" s="773"/>
      <c r="AP66" s="773"/>
      <c r="AQ66" s="773"/>
      <c r="AR66" s="773"/>
      <c r="AS66" s="773"/>
      <c r="AT66" s="773"/>
      <c r="AU66" s="773"/>
      <c r="AV66" s="773"/>
      <c r="AW66" s="773"/>
      <c r="AX66" s="773"/>
      <c r="AY66" s="773"/>
      <c r="AZ66" s="773"/>
      <c r="BA66" s="773"/>
      <c r="BB66" s="773"/>
      <c r="BC66" s="773"/>
      <c r="BD66" s="773"/>
      <c r="BE66" s="773"/>
      <c r="BF66" s="773"/>
      <c r="BG66" s="773"/>
      <c r="BH66" s="773"/>
      <c r="BI66" s="773"/>
      <c r="BJ66" s="773"/>
      <c r="BK66" s="773"/>
      <c r="BL66" s="773"/>
      <c r="BM66" s="773"/>
      <c r="BN66" s="773"/>
      <c r="BO66" s="773"/>
      <c r="BP66" s="773"/>
      <c r="BQ66" s="773"/>
      <c r="BR66" s="773"/>
      <c r="BS66" s="773"/>
      <c r="BT66" s="773"/>
      <c r="BU66" s="773"/>
      <c r="BV66" s="773"/>
    </row>
    <row r="67" spans="1:74" s="439" customFormat="1" ht="18" x14ac:dyDescent="0.25">
      <c r="A67" s="770"/>
      <c r="B67" s="1045"/>
      <c r="C67" s="1047"/>
      <c r="D67" s="433" t="s">
        <v>98</v>
      </c>
      <c r="E67" s="1009"/>
      <c r="F67" s="389">
        <v>2395</v>
      </c>
      <c r="G67" s="389" t="s">
        <v>22</v>
      </c>
      <c r="H67" s="390"/>
      <c r="I67" s="429">
        <f t="shared" si="16"/>
        <v>0</v>
      </c>
      <c r="J67" s="715"/>
      <c r="K67" s="441"/>
      <c r="L67" s="441"/>
      <c r="M67" s="1099"/>
      <c r="N67" s="437" t="s">
        <v>98</v>
      </c>
      <c r="O67" s="1058"/>
      <c r="P67" s="411">
        <v>2821</v>
      </c>
      <c r="Q67" s="412" t="s">
        <v>23</v>
      </c>
      <c r="R67" s="426"/>
      <c r="S67" s="484">
        <f t="shared" si="17"/>
        <v>0</v>
      </c>
      <c r="T67" s="677"/>
      <c r="U67" s="679"/>
      <c r="V67" s="863"/>
      <c r="W67" s="773"/>
      <c r="X67" s="773"/>
      <c r="Y67" s="773"/>
      <c r="Z67" s="773"/>
      <c r="AA67" s="773"/>
      <c r="AB67" s="773"/>
      <c r="AC67" s="773"/>
      <c r="AD67" s="773"/>
      <c r="AE67" s="773"/>
      <c r="AF67" s="773"/>
      <c r="AG67" s="773"/>
      <c r="AH67" s="773"/>
      <c r="AI67" s="773"/>
      <c r="AJ67" s="773"/>
      <c r="AK67" s="773"/>
      <c r="AL67" s="773"/>
      <c r="AM67" s="773"/>
      <c r="AN67" s="773"/>
      <c r="AO67" s="773"/>
      <c r="AP67" s="773"/>
      <c r="AQ67" s="773"/>
      <c r="AR67" s="773"/>
      <c r="AS67" s="773"/>
      <c r="AT67" s="773"/>
      <c r="AU67" s="773"/>
      <c r="AV67" s="773"/>
      <c r="AW67" s="773"/>
      <c r="AX67" s="773"/>
      <c r="AY67" s="773"/>
      <c r="AZ67" s="773"/>
      <c r="BA67" s="773"/>
      <c r="BB67" s="773"/>
      <c r="BC67" s="773"/>
      <c r="BD67" s="773"/>
      <c r="BE67" s="773"/>
      <c r="BF67" s="773"/>
      <c r="BG67" s="773"/>
      <c r="BH67" s="773"/>
      <c r="BI67" s="773"/>
      <c r="BJ67" s="773"/>
      <c r="BK67" s="773"/>
      <c r="BL67" s="773"/>
      <c r="BM67" s="773"/>
      <c r="BN67" s="773"/>
      <c r="BO67" s="773"/>
      <c r="BP67" s="773"/>
      <c r="BQ67" s="773"/>
      <c r="BR67" s="773"/>
      <c r="BS67" s="773"/>
      <c r="BT67" s="773"/>
      <c r="BU67" s="773"/>
      <c r="BV67" s="773"/>
    </row>
    <row r="68" spans="1:74" s="439" customFormat="1" ht="42.75" customHeight="1" x14ac:dyDescent="0.25">
      <c r="A68" s="770"/>
      <c r="B68" s="1045"/>
      <c r="C68" s="1048" t="s">
        <v>99</v>
      </c>
      <c r="D68" s="1049"/>
      <c r="E68" s="794">
        <f>E60*12*0.62/100</f>
        <v>1116</v>
      </c>
      <c r="F68" s="1040" t="s">
        <v>100</v>
      </c>
      <c r="G68" s="1040"/>
      <c r="H68" s="463">
        <f>+SUM(H60:H67)</f>
        <v>0</v>
      </c>
      <c r="I68" s="705">
        <f>+SUM(I60:I67)</f>
        <v>0</v>
      </c>
      <c r="J68" s="658"/>
      <c r="K68" s="658"/>
      <c r="L68" s="658"/>
      <c r="M68" s="1106" t="s">
        <v>99</v>
      </c>
      <c r="N68" s="1107"/>
      <c r="O68" s="795">
        <f>O60*12*0.65/100</f>
        <v>1170</v>
      </c>
      <c r="P68" s="1108" t="s">
        <v>100</v>
      </c>
      <c r="Q68" s="1109"/>
      <c r="R68" s="742">
        <f>+SUM(R60:R67)</f>
        <v>0</v>
      </c>
      <c r="S68" s="743">
        <f>+SUM(S60:S67)</f>
        <v>0</v>
      </c>
      <c r="T68" s="669"/>
      <c r="U68" s="671"/>
      <c r="V68" s="727"/>
      <c r="W68" s="773"/>
      <c r="X68" s="773"/>
      <c r="Y68" s="773"/>
      <c r="Z68" s="773"/>
      <c r="AA68" s="773"/>
      <c r="AB68" s="773"/>
      <c r="AC68" s="773"/>
      <c r="AD68" s="773"/>
      <c r="AE68" s="773"/>
      <c r="AF68" s="773"/>
      <c r="AG68" s="773"/>
      <c r="AH68" s="773"/>
      <c r="AI68" s="773"/>
      <c r="AJ68" s="773"/>
      <c r="AK68" s="773"/>
      <c r="AL68" s="773"/>
      <c r="AM68" s="773"/>
      <c r="AN68" s="773"/>
      <c r="AO68" s="773"/>
      <c r="AP68" s="773"/>
      <c r="AQ68" s="773"/>
      <c r="AR68" s="773"/>
      <c r="AS68" s="773"/>
      <c r="AT68" s="773"/>
      <c r="AU68" s="773"/>
      <c r="AV68" s="773"/>
      <c r="AW68" s="773"/>
      <c r="AX68" s="773"/>
      <c r="AY68" s="773"/>
      <c r="AZ68" s="773"/>
      <c r="BA68" s="773"/>
      <c r="BB68" s="773"/>
      <c r="BC68" s="773"/>
      <c r="BD68" s="773"/>
      <c r="BE68" s="773"/>
      <c r="BF68" s="773"/>
      <c r="BG68" s="773"/>
      <c r="BH68" s="773"/>
      <c r="BI68" s="773"/>
      <c r="BJ68" s="773"/>
      <c r="BK68" s="773"/>
      <c r="BL68" s="773"/>
      <c r="BM68" s="773"/>
      <c r="BN68" s="773"/>
      <c r="BO68" s="773"/>
      <c r="BP68" s="773"/>
      <c r="BQ68" s="773"/>
      <c r="BR68" s="773"/>
      <c r="BS68" s="773"/>
      <c r="BT68" s="773"/>
      <c r="BU68" s="773"/>
      <c r="BV68" s="773"/>
    </row>
    <row r="69" spans="1:74" s="439" customFormat="1" ht="18" x14ac:dyDescent="0.25">
      <c r="A69" s="770"/>
      <c r="B69" s="1045"/>
      <c r="C69" s="1010">
        <v>2</v>
      </c>
      <c r="D69" s="458" t="s">
        <v>101</v>
      </c>
      <c r="E69" s="1013">
        <v>15000</v>
      </c>
      <c r="F69" s="389">
        <v>2395</v>
      </c>
      <c r="G69" s="389" t="s">
        <v>22</v>
      </c>
      <c r="H69" s="396"/>
      <c r="I69" s="429">
        <f t="shared" ref="I69:I76" si="18">IF(F69=2395, H69*12*0.62/100, IF(F69=1564, H69*12*0.65/100, ""))</f>
        <v>0</v>
      </c>
      <c r="J69" s="387"/>
      <c r="K69" s="713"/>
      <c r="L69" s="659"/>
      <c r="M69" s="1016">
        <f>+C69</f>
        <v>2</v>
      </c>
      <c r="N69" s="458" t="s">
        <v>101</v>
      </c>
      <c r="O69" s="1013">
        <v>28500</v>
      </c>
      <c r="P69" s="408">
        <v>2821</v>
      </c>
      <c r="Q69" s="408" t="s">
        <v>23</v>
      </c>
      <c r="R69" s="396"/>
      <c r="S69" s="484">
        <f t="shared" ref="S69:S76" si="19">IF(P69=6843, R69*12*0.62/100,IF(P69=2821, R69*12*0.63/100,IF(P69=6842, R69*12*0.63/100,IF(P69=1564, R69*12*0.65/100, ""))))</f>
        <v>0</v>
      </c>
      <c r="T69" s="679"/>
      <c r="U69" s="679"/>
      <c r="V69" s="438"/>
      <c r="W69" s="773"/>
      <c r="X69" s="773"/>
      <c r="Y69" s="773"/>
      <c r="Z69" s="773"/>
      <c r="AA69" s="773"/>
      <c r="AB69" s="773"/>
      <c r="AC69" s="773"/>
      <c r="AD69" s="773"/>
      <c r="AE69" s="773"/>
      <c r="AF69" s="773"/>
      <c r="AG69" s="773"/>
      <c r="AH69" s="773"/>
      <c r="AI69" s="773"/>
      <c r="AJ69" s="773"/>
      <c r="AK69" s="773"/>
      <c r="AL69" s="773"/>
      <c r="AM69" s="773"/>
      <c r="AN69" s="773"/>
      <c r="AO69" s="773"/>
      <c r="AP69" s="773"/>
      <c r="AQ69" s="773"/>
      <c r="AR69" s="773"/>
      <c r="AS69" s="773"/>
      <c r="AT69" s="773"/>
      <c r="AU69" s="773"/>
      <c r="AV69" s="773"/>
      <c r="AW69" s="773"/>
      <c r="AX69" s="773"/>
      <c r="AY69" s="773"/>
      <c r="AZ69" s="773"/>
      <c r="BA69" s="773"/>
      <c r="BB69" s="773"/>
      <c r="BC69" s="773"/>
      <c r="BD69" s="773"/>
      <c r="BE69" s="773"/>
      <c r="BF69" s="773"/>
      <c r="BG69" s="773"/>
      <c r="BH69" s="773"/>
      <c r="BI69" s="773"/>
      <c r="BJ69" s="773"/>
      <c r="BK69" s="773"/>
      <c r="BL69" s="773"/>
      <c r="BM69" s="773"/>
      <c r="BN69" s="773"/>
      <c r="BO69" s="773"/>
      <c r="BP69" s="773"/>
      <c r="BQ69" s="773"/>
      <c r="BR69" s="773"/>
      <c r="BS69" s="773"/>
      <c r="BT69" s="773"/>
      <c r="BU69" s="773"/>
      <c r="BV69" s="773"/>
    </row>
    <row r="70" spans="1:74" s="439" customFormat="1" ht="18" x14ac:dyDescent="0.25">
      <c r="A70" s="770"/>
      <c r="B70" s="1045"/>
      <c r="C70" s="1011"/>
      <c r="D70" s="458" t="s">
        <v>102</v>
      </c>
      <c r="E70" s="1014"/>
      <c r="F70" s="389">
        <v>2395</v>
      </c>
      <c r="G70" s="389" t="s">
        <v>22</v>
      </c>
      <c r="H70" s="391"/>
      <c r="I70" s="429">
        <f t="shared" si="18"/>
        <v>0</v>
      </c>
      <c r="J70" s="707"/>
      <c r="K70" s="441"/>
      <c r="L70" s="441"/>
      <c r="M70" s="1017"/>
      <c r="N70" s="458" t="s">
        <v>102</v>
      </c>
      <c r="O70" s="1014"/>
      <c r="P70" s="409">
        <v>2821</v>
      </c>
      <c r="Q70" s="410" t="s">
        <v>23</v>
      </c>
      <c r="R70" s="417"/>
      <c r="S70" s="484">
        <f t="shared" si="19"/>
        <v>0</v>
      </c>
      <c r="T70" s="677"/>
      <c r="U70" s="677"/>
      <c r="V70" s="386"/>
      <c r="W70" s="773"/>
      <c r="X70" s="773"/>
      <c r="Y70" s="773"/>
      <c r="Z70" s="773"/>
      <c r="AA70" s="773"/>
      <c r="AB70" s="773"/>
      <c r="AC70" s="773"/>
      <c r="AD70" s="773"/>
      <c r="AE70" s="773"/>
      <c r="AF70" s="773"/>
      <c r="AG70" s="773"/>
      <c r="AH70" s="773"/>
      <c r="AI70" s="773"/>
      <c r="AJ70" s="773"/>
      <c r="AK70" s="773"/>
      <c r="AL70" s="773"/>
      <c r="AM70" s="773"/>
      <c r="AN70" s="773"/>
      <c r="AO70" s="773"/>
      <c r="AP70" s="773"/>
      <c r="AQ70" s="773"/>
      <c r="AR70" s="773"/>
      <c r="AS70" s="773"/>
      <c r="AT70" s="773"/>
      <c r="AU70" s="773"/>
      <c r="AV70" s="773"/>
      <c r="AW70" s="773"/>
      <c r="AX70" s="773"/>
      <c r="AY70" s="773"/>
      <c r="AZ70" s="773"/>
      <c r="BA70" s="773"/>
      <c r="BB70" s="773"/>
      <c r="BC70" s="773"/>
      <c r="BD70" s="773"/>
      <c r="BE70" s="773"/>
      <c r="BF70" s="773"/>
      <c r="BG70" s="773"/>
      <c r="BH70" s="773"/>
      <c r="BI70" s="773"/>
      <c r="BJ70" s="773"/>
      <c r="BK70" s="773"/>
      <c r="BL70" s="773"/>
      <c r="BM70" s="773"/>
      <c r="BN70" s="773"/>
      <c r="BO70" s="773"/>
      <c r="BP70" s="773"/>
      <c r="BQ70" s="773"/>
      <c r="BR70" s="773"/>
      <c r="BS70" s="773"/>
      <c r="BT70" s="773"/>
      <c r="BU70" s="773"/>
      <c r="BV70" s="773"/>
    </row>
    <row r="71" spans="1:74" s="439" customFormat="1" ht="18" x14ac:dyDescent="0.25">
      <c r="A71" s="770"/>
      <c r="B71" s="1045"/>
      <c r="C71" s="1011"/>
      <c r="D71" s="458" t="s">
        <v>103</v>
      </c>
      <c r="E71" s="1014"/>
      <c r="F71" s="389">
        <v>2395</v>
      </c>
      <c r="G71" s="389" t="s">
        <v>22</v>
      </c>
      <c r="H71" s="391"/>
      <c r="I71" s="429">
        <f t="shared" si="18"/>
        <v>0</v>
      </c>
      <c r="J71" s="718"/>
      <c r="K71" s="441"/>
      <c r="L71" s="441"/>
      <c r="M71" s="1017"/>
      <c r="N71" s="458" t="s">
        <v>103</v>
      </c>
      <c r="O71" s="1014"/>
      <c r="P71" s="409">
        <v>2821</v>
      </c>
      <c r="Q71" s="410" t="s">
        <v>23</v>
      </c>
      <c r="R71" s="417"/>
      <c r="S71" s="484">
        <f t="shared" si="19"/>
        <v>0</v>
      </c>
      <c r="T71" s="677"/>
      <c r="U71" s="677"/>
      <c r="V71" s="386"/>
      <c r="W71" s="773"/>
      <c r="X71" s="773"/>
      <c r="Y71" s="773"/>
      <c r="Z71" s="773"/>
      <c r="AA71" s="773"/>
      <c r="AB71" s="773"/>
      <c r="AC71" s="773"/>
      <c r="AD71" s="773"/>
      <c r="AE71" s="773"/>
      <c r="AF71" s="773"/>
      <c r="AG71" s="773"/>
      <c r="AH71" s="773"/>
      <c r="AI71" s="773"/>
      <c r="AJ71" s="773"/>
      <c r="AK71" s="773"/>
      <c r="AL71" s="773"/>
      <c r="AM71" s="773"/>
      <c r="AN71" s="773"/>
      <c r="AO71" s="773"/>
      <c r="AP71" s="773"/>
      <c r="AQ71" s="773"/>
      <c r="AR71" s="773"/>
      <c r="AS71" s="773"/>
      <c r="AT71" s="773"/>
      <c r="AU71" s="773"/>
      <c r="AV71" s="773"/>
      <c r="AW71" s="773"/>
      <c r="AX71" s="773"/>
      <c r="AY71" s="773"/>
      <c r="AZ71" s="773"/>
      <c r="BA71" s="773"/>
      <c r="BB71" s="773"/>
      <c r="BC71" s="773"/>
      <c r="BD71" s="773"/>
      <c r="BE71" s="773"/>
      <c r="BF71" s="773"/>
      <c r="BG71" s="773"/>
      <c r="BH71" s="773"/>
      <c r="BI71" s="773"/>
      <c r="BJ71" s="773"/>
      <c r="BK71" s="773"/>
      <c r="BL71" s="773"/>
      <c r="BM71" s="773"/>
      <c r="BN71" s="773"/>
      <c r="BO71" s="773"/>
      <c r="BP71" s="773"/>
      <c r="BQ71" s="773"/>
      <c r="BR71" s="773"/>
      <c r="BS71" s="773"/>
      <c r="BT71" s="773"/>
      <c r="BU71" s="773"/>
      <c r="BV71" s="773"/>
    </row>
    <row r="72" spans="1:74" s="439" customFormat="1" ht="18" x14ac:dyDescent="0.25">
      <c r="A72" s="770"/>
      <c r="B72" s="1045"/>
      <c r="C72" s="1011"/>
      <c r="D72" s="458" t="s">
        <v>104</v>
      </c>
      <c r="E72" s="1014"/>
      <c r="F72" s="389">
        <v>2395</v>
      </c>
      <c r="G72" s="389" t="s">
        <v>22</v>
      </c>
      <c r="H72" s="391"/>
      <c r="I72" s="429">
        <f t="shared" si="18"/>
        <v>0</v>
      </c>
      <c r="J72" s="707"/>
      <c r="K72" s="441"/>
      <c r="L72" s="441"/>
      <c r="M72" s="1017"/>
      <c r="N72" s="458" t="s">
        <v>104</v>
      </c>
      <c r="O72" s="1014"/>
      <c r="P72" s="409">
        <v>2821</v>
      </c>
      <c r="Q72" s="410" t="s">
        <v>23</v>
      </c>
      <c r="R72" s="417"/>
      <c r="S72" s="484">
        <f t="shared" si="19"/>
        <v>0</v>
      </c>
      <c r="T72" s="677"/>
      <c r="U72" s="677"/>
      <c r="V72" s="386"/>
      <c r="W72" s="773"/>
      <c r="X72" s="773"/>
      <c r="Y72" s="796"/>
      <c r="Z72" s="773"/>
      <c r="AA72" s="773"/>
      <c r="AB72" s="773"/>
      <c r="AC72" s="773"/>
      <c r="AD72" s="773"/>
      <c r="AE72" s="773"/>
      <c r="AF72" s="773"/>
      <c r="AG72" s="773"/>
      <c r="AH72" s="773"/>
      <c r="AI72" s="773"/>
      <c r="AJ72" s="773"/>
      <c r="AK72" s="773"/>
      <c r="AL72" s="773"/>
      <c r="AM72" s="773"/>
      <c r="AN72" s="773"/>
      <c r="AO72" s="773"/>
      <c r="AP72" s="773"/>
      <c r="AQ72" s="773"/>
      <c r="AR72" s="773"/>
      <c r="AS72" s="773"/>
      <c r="AT72" s="773"/>
      <c r="AU72" s="773"/>
      <c r="AV72" s="773"/>
      <c r="AW72" s="773"/>
      <c r="AX72" s="773"/>
      <c r="AY72" s="773"/>
      <c r="AZ72" s="773"/>
      <c r="BA72" s="773"/>
      <c r="BB72" s="773"/>
      <c r="BC72" s="773"/>
      <c r="BD72" s="773"/>
      <c r="BE72" s="773"/>
      <c r="BF72" s="773"/>
      <c r="BG72" s="773"/>
      <c r="BH72" s="773"/>
      <c r="BI72" s="773"/>
      <c r="BJ72" s="773"/>
      <c r="BK72" s="773"/>
      <c r="BL72" s="773"/>
      <c r="BM72" s="773"/>
      <c r="BN72" s="773"/>
      <c r="BO72" s="773"/>
      <c r="BP72" s="773"/>
      <c r="BQ72" s="773"/>
      <c r="BR72" s="773"/>
      <c r="BS72" s="773"/>
      <c r="BT72" s="773"/>
      <c r="BU72" s="773"/>
      <c r="BV72" s="773"/>
    </row>
    <row r="73" spans="1:74" s="439" customFormat="1" ht="18" x14ac:dyDescent="0.25">
      <c r="A73" s="770"/>
      <c r="B73" s="1045"/>
      <c r="C73" s="1011"/>
      <c r="D73" s="458" t="s">
        <v>105</v>
      </c>
      <c r="E73" s="1014"/>
      <c r="F73" s="389">
        <v>2395</v>
      </c>
      <c r="G73" s="389" t="s">
        <v>22</v>
      </c>
      <c r="H73" s="390"/>
      <c r="I73" s="429">
        <f t="shared" si="18"/>
        <v>0</v>
      </c>
      <c r="J73" s="691"/>
      <c r="K73" s="441"/>
      <c r="L73" s="441"/>
      <c r="M73" s="1017"/>
      <c r="N73" s="458" t="s">
        <v>105</v>
      </c>
      <c r="O73" s="1014"/>
      <c r="P73" s="409">
        <v>2821</v>
      </c>
      <c r="Q73" s="410" t="s">
        <v>23</v>
      </c>
      <c r="R73" s="417"/>
      <c r="S73" s="484">
        <f t="shared" si="19"/>
        <v>0</v>
      </c>
      <c r="T73" s="677"/>
      <c r="U73" s="677"/>
      <c r="V73" s="739"/>
      <c r="W73" s="773"/>
      <c r="X73" s="773"/>
      <c r="Y73" s="773"/>
      <c r="Z73" s="773"/>
      <c r="AA73" s="773"/>
      <c r="AB73" s="773"/>
      <c r="AC73" s="773"/>
      <c r="AD73" s="773"/>
      <c r="AE73" s="773"/>
      <c r="AF73" s="773"/>
      <c r="AG73" s="773"/>
      <c r="AH73" s="773"/>
      <c r="AI73" s="773"/>
      <c r="AJ73" s="773"/>
      <c r="AK73" s="773"/>
      <c r="AL73" s="773"/>
      <c r="AM73" s="773"/>
      <c r="AN73" s="773"/>
      <c r="AO73" s="773"/>
      <c r="AP73" s="773"/>
      <c r="AQ73" s="773"/>
      <c r="AR73" s="773"/>
      <c r="AS73" s="773"/>
      <c r="AT73" s="773"/>
      <c r="AU73" s="773"/>
      <c r="AV73" s="773"/>
      <c r="AW73" s="773"/>
      <c r="AX73" s="773"/>
      <c r="AY73" s="773"/>
      <c r="AZ73" s="773"/>
      <c r="BA73" s="773"/>
      <c r="BB73" s="773"/>
      <c r="BC73" s="773"/>
      <c r="BD73" s="773"/>
      <c r="BE73" s="773"/>
      <c r="BF73" s="773"/>
      <c r="BG73" s="773"/>
      <c r="BH73" s="773"/>
      <c r="BI73" s="773"/>
      <c r="BJ73" s="773"/>
      <c r="BK73" s="773"/>
      <c r="BL73" s="773"/>
      <c r="BM73" s="773"/>
      <c r="BN73" s="773"/>
      <c r="BO73" s="773"/>
      <c r="BP73" s="773"/>
      <c r="BQ73" s="773"/>
      <c r="BR73" s="773"/>
      <c r="BS73" s="773"/>
      <c r="BT73" s="773"/>
      <c r="BU73" s="773"/>
      <c r="BV73" s="773"/>
    </row>
    <row r="74" spans="1:74" s="439" customFormat="1" ht="18" x14ac:dyDescent="0.25">
      <c r="A74" s="770"/>
      <c r="B74" s="1045"/>
      <c r="C74" s="1011"/>
      <c r="D74" s="458" t="s">
        <v>106</v>
      </c>
      <c r="E74" s="1014"/>
      <c r="F74" s="389">
        <v>2395</v>
      </c>
      <c r="G74" s="389" t="s">
        <v>22</v>
      </c>
      <c r="H74" s="390"/>
      <c r="I74" s="429">
        <f t="shared" si="18"/>
        <v>0</v>
      </c>
      <c r="J74" s="739"/>
      <c r="K74" s="441"/>
      <c r="L74" s="441"/>
      <c r="M74" s="1017"/>
      <c r="N74" s="458" t="s">
        <v>106</v>
      </c>
      <c r="O74" s="1014"/>
      <c r="P74" s="409">
        <v>2821</v>
      </c>
      <c r="Q74" s="410" t="s">
        <v>23</v>
      </c>
      <c r="R74" s="417"/>
      <c r="S74" s="484">
        <f t="shared" si="19"/>
        <v>0</v>
      </c>
      <c r="T74" s="386"/>
      <c r="U74" s="677"/>
      <c r="V74" s="386"/>
      <c r="W74" s="773"/>
      <c r="X74" s="773"/>
      <c r="Y74" s="773"/>
      <c r="Z74" s="773"/>
      <c r="AA74" s="773"/>
      <c r="AB74" s="773"/>
      <c r="AC74" s="773"/>
      <c r="AD74" s="773"/>
      <c r="AE74" s="773"/>
      <c r="AF74" s="773"/>
      <c r="AG74" s="773"/>
      <c r="AH74" s="773"/>
      <c r="AI74" s="773"/>
      <c r="AJ74" s="773"/>
      <c r="AK74" s="773"/>
      <c r="AL74" s="773"/>
      <c r="AM74" s="773"/>
      <c r="AN74" s="773"/>
      <c r="AO74" s="773"/>
      <c r="AP74" s="773"/>
      <c r="AQ74" s="773"/>
      <c r="AR74" s="773"/>
      <c r="AS74" s="773"/>
      <c r="AT74" s="773"/>
      <c r="AU74" s="773"/>
      <c r="AV74" s="773"/>
      <c r="AW74" s="773"/>
      <c r="AX74" s="773"/>
      <c r="AY74" s="773"/>
      <c r="AZ74" s="773"/>
      <c r="BA74" s="773"/>
      <c r="BB74" s="773"/>
      <c r="BC74" s="773"/>
      <c r="BD74" s="773"/>
      <c r="BE74" s="773"/>
      <c r="BF74" s="773"/>
      <c r="BG74" s="773"/>
      <c r="BH74" s="773"/>
      <c r="BI74" s="773"/>
      <c r="BJ74" s="773"/>
      <c r="BK74" s="773"/>
      <c r="BL74" s="773"/>
      <c r="BM74" s="773"/>
      <c r="BN74" s="773"/>
      <c r="BO74" s="773"/>
      <c r="BP74" s="773"/>
      <c r="BQ74" s="773"/>
      <c r="BR74" s="773"/>
      <c r="BS74" s="773"/>
      <c r="BT74" s="773"/>
      <c r="BU74" s="773"/>
      <c r="BV74" s="773"/>
    </row>
    <row r="75" spans="1:74" s="439" customFormat="1" ht="18" x14ac:dyDescent="0.25">
      <c r="A75" s="770"/>
      <c r="B75" s="1045"/>
      <c r="C75" s="1011"/>
      <c r="D75" s="458" t="s">
        <v>107</v>
      </c>
      <c r="E75" s="1014"/>
      <c r="F75" s="389">
        <v>2395</v>
      </c>
      <c r="G75" s="389" t="s">
        <v>22</v>
      </c>
      <c r="H75" s="390"/>
      <c r="I75" s="429">
        <f t="shared" si="18"/>
        <v>0</v>
      </c>
      <c r="J75" s="739"/>
      <c r="K75" s="441"/>
      <c r="L75" s="441"/>
      <c r="M75" s="1017"/>
      <c r="N75" s="458" t="s">
        <v>107</v>
      </c>
      <c r="O75" s="1014"/>
      <c r="P75" s="409">
        <v>2821</v>
      </c>
      <c r="Q75" s="410" t="s">
        <v>23</v>
      </c>
      <c r="R75" s="417"/>
      <c r="S75" s="484">
        <f t="shared" si="19"/>
        <v>0</v>
      </c>
      <c r="T75" s="677"/>
      <c r="U75" s="677"/>
      <c r="V75" s="386"/>
      <c r="W75" s="773"/>
      <c r="X75" s="773"/>
      <c r="Y75" s="773"/>
      <c r="Z75" s="773"/>
      <c r="AA75" s="773"/>
      <c r="AB75" s="773"/>
      <c r="AC75" s="773"/>
      <c r="AD75" s="773"/>
      <c r="AE75" s="773"/>
      <c r="AF75" s="773"/>
      <c r="AG75" s="773"/>
      <c r="AH75" s="773"/>
      <c r="AI75" s="773"/>
      <c r="AJ75" s="773"/>
      <c r="AK75" s="773"/>
      <c r="AL75" s="773"/>
      <c r="AM75" s="773"/>
      <c r="AN75" s="773"/>
      <c r="AO75" s="773"/>
      <c r="AP75" s="773"/>
      <c r="AQ75" s="773"/>
      <c r="AR75" s="773"/>
      <c r="AS75" s="773"/>
      <c r="AT75" s="773"/>
      <c r="AU75" s="773"/>
      <c r="AV75" s="773"/>
      <c r="AW75" s="773"/>
      <c r="AX75" s="773"/>
      <c r="AY75" s="773"/>
      <c r="AZ75" s="773"/>
      <c r="BA75" s="773"/>
      <c r="BB75" s="773"/>
      <c r="BC75" s="773"/>
      <c r="BD75" s="773"/>
      <c r="BE75" s="773"/>
      <c r="BF75" s="773"/>
      <c r="BG75" s="773"/>
      <c r="BH75" s="773"/>
      <c r="BI75" s="773"/>
      <c r="BJ75" s="773"/>
      <c r="BK75" s="773"/>
      <c r="BL75" s="773"/>
      <c r="BM75" s="773"/>
      <c r="BN75" s="773"/>
      <c r="BO75" s="773"/>
      <c r="BP75" s="773"/>
      <c r="BQ75" s="773"/>
      <c r="BR75" s="773"/>
      <c r="BS75" s="773"/>
      <c r="BT75" s="773"/>
      <c r="BU75" s="773"/>
      <c r="BV75" s="773"/>
    </row>
    <row r="76" spans="1:74" s="439" customFormat="1" ht="18" x14ac:dyDescent="0.25">
      <c r="A76" s="770"/>
      <c r="B76" s="1045"/>
      <c r="C76" s="1012"/>
      <c r="D76" s="467" t="s">
        <v>108</v>
      </c>
      <c r="E76" s="1015"/>
      <c r="F76" s="389">
        <v>2395</v>
      </c>
      <c r="G76" s="389" t="s">
        <v>22</v>
      </c>
      <c r="H76" s="403"/>
      <c r="I76" s="429">
        <f t="shared" si="18"/>
        <v>0</v>
      </c>
      <c r="J76" s="707"/>
      <c r="K76" s="441"/>
      <c r="L76" s="441"/>
      <c r="M76" s="1018"/>
      <c r="N76" s="467" t="s">
        <v>108</v>
      </c>
      <c r="O76" s="1015"/>
      <c r="P76" s="411">
        <v>2821</v>
      </c>
      <c r="Q76" s="412" t="s">
        <v>23</v>
      </c>
      <c r="R76" s="403"/>
      <c r="S76" s="484">
        <f t="shared" si="19"/>
        <v>0</v>
      </c>
      <c r="T76" s="386"/>
      <c r="U76" s="677"/>
      <c r="V76" s="739"/>
      <c r="W76" s="773"/>
      <c r="X76" s="773"/>
      <c r="Y76" s="773"/>
      <c r="Z76" s="773"/>
      <c r="AA76" s="773"/>
      <c r="AB76" s="773"/>
      <c r="AC76" s="773"/>
      <c r="AD76" s="773"/>
      <c r="AE76" s="773"/>
      <c r="AF76" s="773"/>
      <c r="AG76" s="773"/>
      <c r="AH76" s="773"/>
      <c r="AI76" s="773"/>
      <c r="AJ76" s="773"/>
      <c r="AK76" s="773"/>
      <c r="AL76" s="773"/>
      <c r="AM76" s="773"/>
      <c r="AN76" s="773"/>
      <c r="AO76" s="773"/>
      <c r="AP76" s="773"/>
      <c r="AQ76" s="773"/>
      <c r="AR76" s="773"/>
      <c r="AS76" s="773"/>
      <c r="AT76" s="773"/>
      <c r="AU76" s="773"/>
      <c r="AV76" s="773"/>
      <c r="AW76" s="773"/>
      <c r="AX76" s="773"/>
      <c r="AY76" s="773"/>
      <c r="AZ76" s="773"/>
      <c r="BA76" s="773"/>
      <c r="BB76" s="773"/>
      <c r="BC76" s="773"/>
      <c r="BD76" s="773"/>
      <c r="BE76" s="773"/>
      <c r="BF76" s="773"/>
      <c r="BG76" s="773"/>
      <c r="BH76" s="773"/>
      <c r="BI76" s="773"/>
      <c r="BJ76" s="773"/>
      <c r="BK76" s="773"/>
      <c r="BL76" s="773"/>
      <c r="BM76" s="773"/>
      <c r="BN76" s="773"/>
      <c r="BO76" s="773"/>
      <c r="BP76" s="773"/>
      <c r="BQ76" s="773"/>
      <c r="BR76" s="773"/>
      <c r="BS76" s="773"/>
      <c r="BT76" s="773"/>
      <c r="BU76" s="773"/>
      <c r="BV76" s="773"/>
    </row>
    <row r="77" spans="1:74" s="439" customFormat="1" ht="18" x14ac:dyDescent="0.25">
      <c r="A77" s="770"/>
      <c r="B77" s="1045"/>
      <c r="C77" s="1037" t="s">
        <v>99</v>
      </c>
      <c r="D77" s="1038"/>
      <c r="E77" s="797">
        <f>E69*12*0.62/100</f>
        <v>1116</v>
      </c>
      <c r="F77" s="1039" t="s">
        <v>100</v>
      </c>
      <c r="G77" s="1039"/>
      <c r="H77" s="468">
        <f>+SUM(H69:H76)</f>
        <v>0</v>
      </c>
      <c r="I77" s="704">
        <f>+SUM(I69:I76)</f>
        <v>0</v>
      </c>
      <c r="J77" s="658"/>
      <c r="K77" s="658"/>
      <c r="L77" s="658"/>
      <c r="M77" s="1037" t="s">
        <v>99</v>
      </c>
      <c r="N77" s="1038"/>
      <c r="O77" s="798">
        <f>O69*12*0.65/100</f>
        <v>2223</v>
      </c>
      <c r="P77" s="1100" t="s">
        <v>100</v>
      </c>
      <c r="Q77" s="1100"/>
      <c r="R77" s="716">
        <f>+SUM(R69:R76)</f>
        <v>0</v>
      </c>
      <c r="S77" s="717">
        <f>+SUM(S69:S76)</f>
        <v>0</v>
      </c>
      <c r="T77" s="668"/>
      <c r="U77" s="671"/>
      <c r="V77" s="658"/>
      <c r="W77" s="773"/>
      <c r="X77" s="773"/>
      <c r="Y77" s="773"/>
      <c r="Z77" s="773"/>
      <c r="AA77" s="773"/>
      <c r="AB77" s="773"/>
      <c r="AC77" s="773"/>
      <c r="AD77" s="773"/>
      <c r="AE77" s="773"/>
      <c r="AF77" s="773"/>
      <c r="AG77" s="773"/>
      <c r="AH77" s="773"/>
      <c r="AI77" s="773"/>
      <c r="AJ77" s="773"/>
      <c r="AK77" s="773"/>
      <c r="AL77" s="773"/>
      <c r="AM77" s="773"/>
      <c r="AN77" s="773"/>
      <c r="AO77" s="773"/>
      <c r="AP77" s="773"/>
      <c r="AQ77" s="773"/>
      <c r="AR77" s="773"/>
      <c r="AS77" s="773"/>
      <c r="AT77" s="773"/>
      <c r="AU77" s="773"/>
      <c r="AV77" s="773"/>
      <c r="AW77" s="773"/>
      <c r="AX77" s="773"/>
      <c r="AY77" s="773"/>
      <c r="AZ77" s="773"/>
      <c r="BA77" s="773"/>
      <c r="BB77" s="773"/>
      <c r="BC77" s="773"/>
      <c r="BD77" s="773"/>
      <c r="BE77" s="773"/>
      <c r="BF77" s="773"/>
      <c r="BG77" s="773"/>
      <c r="BH77" s="773"/>
      <c r="BI77" s="773"/>
      <c r="BJ77" s="773"/>
      <c r="BK77" s="773"/>
      <c r="BL77" s="773"/>
      <c r="BM77" s="773"/>
      <c r="BN77" s="773"/>
      <c r="BO77" s="773"/>
      <c r="BP77" s="773"/>
      <c r="BQ77" s="773"/>
      <c r="BR77" s="773"/>
      <c r="BS77" s="773"/>
      <c r="BT77" s="773"/>
      <c r="BU77" s="773"/>
      <c r="BV77" s="773"/>
    </row>
    <row r="78" spans="1:74" s="439" customFormat="1" ht="18" x14ac:dyDescent="0.25">
      <c r="A78" s="770"/>
      <c r="B78" s="1045"/>
      <c r="C78" s="1016">
        <v>3</v>
      </c>
      <c r="D78" s="458" t="s">
        <v>109</v>
      </c>
      <c r="E78" s="1013">
        <v>15000</v>
      </c>
      <c r="F78" s="402">
        <v>2395</v>
      </c>
      <c r="G78" s="402" t="s">
        <v>22</v>
      </c>
      <c r="H78" s="395"/>
      <c r="I78" s="429">
        <f t="shared" ref="I78:I85" si="20">IF(F78=2395, H78*12*0.62/100, IF(F78=1564, H78*12*0.65/100, ""))</f>
        <v>0</v>
      </c>
      <c r="J78" s="660"/>
      <c r="K78" s="660"/>
      <c r="L78" s="660"/>
      <c r="M78" s="1016">
        <f>+C78</f>
        <v>3</v>
      </c>
      <c r="N78" s="458" t="s">
        <v>109</v>
      </c>
      <c r="O78" s="1013">
        <v>28500</v>
      </c>
      <c r="P78" s="408">
        <v>2821</v>
      </c>
      <c r="Q78" s="408" t="s">
        <v>23</v>
      </c>
      <c r="R78" s="396"/>
      <c r="S78" s="484">
        <f t="shared" ref="S78:S85" si="21">IF(P78=6843, R78*12*0.62/100,IF(P78=2821, R78*12*0.63/100,IF(P78=6842, R78*12*0.63/100,IF(P78=1564, R78*12*0.65/100, ""))))</f>
        <v>0</v>
      </c>
      <c r="T78" s="679"/>
      <c r="U78" s="679"/>
      <c r="V78" s="438"/>
      <c r="W78" s="773"/>
      <c r="X78" s="773"/>
      <c r="Y78" s="773"/>
      <c r="Z78" s="773"/>
      <c r="AA78" s="773"/>
      <c r="AB78" s="773"/>
      <c r="AC78" s="773"/>
      <c r="AD78" s="773"/>
      <c r="AE78" s="773"/>
      <c r="AF78" s="773"/>
      <c r="AG78" s="773"/>
      <c r="AH78" s="773"/>
      <c r="AI78" s="773"/>
      <c r="AJ78" s="773"/>
      <c r="AK78" s="773"/>
      <c r="AL78" s="773"/>
      <c r="AM78" s="773"/>
      <c r="AN78" s="773"/>
      <c r="AO78" s="773"/>
      <c r="AP78" s="773"/>
      <c r="AQ78" s="773"/>
      <c r="AR78" s="773"/>
      <c r="AS78" s="773"/>
      <c r="AT78" s="773"/>
      <c r="AU78" s="773"/>
      <c r="AV78" s="773"/>
      <c r="AW78" s="773"/>
      <c r="AX78" s="773"/>
      <c r="AY78" s="773"/>
      <c r="AZ78" s="773"/>
      <c r="BA78" s="773"/>
      <c r="BB78" s="773"/>
      <c r="BC78" s="773"/>
      <c r="BD78" s="773"/>
      <c r="BE78" s="773"/>
      <c r="BF78" s="773"/>
      <c r="BG78" s="773"/>
      <c r="BH78" s="773"/>
      <c r="BI78" s="773"/>
      <c r="BJ78" s="773"/>
      <c r="BK78" s="773"/>
      <c r="BL78" s="773"/>
      <c r="BM78" s="773"/>
      <c r="BN78" s="773"/>
      <c r="BO78" s="773"/>
      <c r="BP78" s="773"/>
      <c r="BQ78" s="773"/>
      <c r="BR78" s="773"/>
      <c r="BS78" s="773"/>
      <c r="BT78" s="773"/>
      <c r="BU78" s="773"/>
      <c r="BV78" s="773"/>
    </row>
    <row r="79" spans="1:74" s="439" customFormat="1" ht="18" x14ac:dyDescent="0.25">
      <c r="A79" s="770"/>
      <c r="B79" s="1045"/>
      <c r="C79" s="1017"/>
      <c r="D79" s="459" t="s">
        <v>110</v>
      </c>
      <c r="E79" s="1014"/>
      <c r="F79" s="389">
        <v>2395</v>
      </c>
      <c r="G79" s="389" t="s">
        <v>22</v>
      </c>
      <c r="H79" s="391"/>
      <c r="I79" s="429">
        <f t="shared" si="20"/>
        <v>0</v>
      </c>
      <c r="J79" s="661"/>
      <c r="K79" s="661"/>
      <c r="L79" s="661"/>
      <c r="M79" s="1017"/>
      <c r="N79" s="459" t="s">
        <v>110</v>
      </c>
      <c r="O79" s="1014"/>
      <c r="P79" s="409">
        <v>2821</v>
      </c>
      <c r="Q79" s="410" t="s">
        <v>23</v>
      </c>
      <c r="R79" s="391"/>
      <c r="S79" s="484">
        <f t="shared" si="21"/>
        <v>0</v>
      </c>
      <c r="T79" s="679"/>
      <c r="U79" s="679"/>
      <c r="V79" s="438"/>
      <c r="W79" s="773"/>
      <c r="X79" s="773"/>
      <c r="Y79" s="773"/>
      <c r="Z79" s="773"/>
      <c r="AA79" s="773"/>
      <c r="AB79" s="773"/>
      <c r="AC79" s="773"/>
      <c r="AD79" s="773"/>
      <c r="AE79" s="773"/>
      <c r="AF79" s="773"/>
      <c r="AG79" s="773"/>
      <c r="AH79" s="773"/>
      <c r="AI79" s="773"/>
      <c r="AJ79" s="773"/>
      <c r="AK79" s="773"/>
      <c r="AL79" s="773"/>
      <c r="AM79" s="773"/>
      <c r="AN79" s="773"/>
      <c r="AO79" s="773"/>
      <c r="AP79" s="773"/>
      <c r="AQ79" s="773"/>
      <c r="AR79" s="773"/>
      <c r="AS79" s="773"/>
      <c r="AT79" s="773"/>
      <c r="AU79" s="773"/>
      <c r="AV79" s="773"/>
      <c r="AW79" s="773"/>
      <c r="AX79" s="773"/>
      <c r="AY79" s="773"/>
      <c r="AZ79" s="773"/>
      <c r="BA79" s="773"/>
      <c r="BB79" s="773"/>
      <c r="BC79" s="773"/>
      <c r="BD79" s="773"/>
      <c r="BE79" s="773"/>
      <c r="BF79" s="773"/>
      <c r="BG79" s="773"/>
      <c r="BH79" s="773"/>
      <c r="BI79" s="773"/>
      <c r="BJ79" s="773"/>
      <c r="BK79" s="773"/>
      <c r="BL79" s="773"/>
      <c r="BM79" s="773"/>
      <c r="BN79" s="773"/>
      <c r="BO79" s="773"/>
      <c r="BP79" s="773"/>
      <c r="BQ79" s="773"/>
      <c r="BR79" s="773"/>
      <c r="BS79" s="773"/>
      <c r="BT79" s="773"/>
      <c r="BU79" s="773"/>
      <c r="BV79" s="773"/>
    </row>
    <row r="80" spans="1:74" s="439" customFormat="1" ht="18" x14ac:dyDescent="0.25">
      <c r="A80" s="770"/>
      <c r="B80" s="1045"/>
      <c r="C80" s="1017"/>
      <c r="D80" s="459" t="s">
        <v>111</v>
      </c>
      <c r="E80" s="1014"/>
      <c r="F80" s="389">
        <v>2395</v>
      </c>
      <c r="G80" s="389" t="s">
        <v>22</v>
      </c>
      <c r="H80" s="391"/>
      <c r="I80" s="429">
        <f t="shared" si="20"/>
        <v>0</v>
      </c>
      <c r="J80" s="660"/>
      <c r="K80" s="660"/>
      <c r="L80" s="660"/>
      <c r="M80" s="1017"/>
      <c r="N80" s="459" t="s">
        <v>111</v>
      </c>
      <c r="O80" s="1014"/>
      <c r="P80" s="409">
        <v>2821</v>
      </c>
      <c r="Q80" s="410" t="s">
        <v>23</v>
      </c>
      <c r="R80" s="391"/>
      <c r="S80" s="484">
        <f t="shared" si="21"/>
        <v>0</v>
      </c>
      <c r="T80" s="683"/>
      <c r="U80" s="683"/>
      <c r="V80" s="436"/>
      <c r="W80" s="773"/>
      <c r="X80" s="773"/>
      <c r="Y80" s="773"/>
      <c r="Z80" s="773"/>
      <c r="AA80" s="773"/>
      <c r="AB80" s="773"/>
      <c r="AC80" s="773"/>
      <c r="AD80" s="773"/>
      <c r="AE80" s="773"/>
      <c r="AF80" s="773"/>
      <c r="AG80" s="773"/>
      <c r="AH80" s="773"/>
      <c r="AI80" s="773"/>
      <c r="AJ80" s="773"/>
      <c r="AK80" s="773"/>
      <c r="AL80" s="773"/>
      <c r="AM80" s="773"/>
      <c r="AN80" s="773"/>
      <c r="AO80" s="773"/>
      <c r="AP80" s="773"/>
      <c r="AQ80" s="773"/>
      <c r="AR80" s="773"/>
      <c r="AS80" s="773"/>
      <c r="AT80" s="773"/>
      <c r="AU80" s="773"/>
      <c r="AV80" s="773"/>
      <c r="AW80" s="773"/>
      <c r="AX80" s="773"/>
      <c r="AY80" s="773"/>
      <c r="AZ80" s="773"/>
      <c r="BA80" s="773"/>
      <c r="BB80" s="773"/>
      <c r="BC80" s="773"/>
      <c r="BD80" s="773"/>
      <c r="BE80" s="773"/>
      <c r="BF80" s="773"/>
      <c r="BG80" s="773"/>
      <c r="BH80" s="773"/>
      <c r="BI80" s="773"/>
      <c r="BJ80" s="773"/>
      <c r="BK80" s="773"/>
      <c r="BL80" s="773"/>
      <c r="BM80" s="773"/>
      <c r="BN80" s="773"/>
      <c r="BO80" s="773"/>
      <c r="BP80" s="773"/>
      <c r="BQ80" s="773"/>
      <c r="BR80" s="773"/>
      <c r="BS80" s="773"/>
      <c r="BT80" s="773"/>
      <c r="BU80" s="773"/>
      <c r="BV80" s="773"/>
    </row>
    <row r="81" spans="1:74" s="439" customFormat="1" ht="18" x14ac:dyDescent="0.25">
      <c r="A81" s="770"/>
      <c r="B81" s="1045"/>
      <c r="C81" s="1017"/>
      <c r="D81" s="459" t="s">
        <v>112</v>
      </c>
      <c r="E81" s="1014"/>
      <c r="F81" s="389">
        <v>2395</v>
      </c>
      <c r="G81" s="389" t="s">
        <v>22</v>
      </c>
      <c r="H81" s="391"/>
      <c r="I81" s="429">
        <f t="shared" si="20"/>
        <v>0</v>
      </c>
      <c r="J81" s="661"/>
      <c r="K81" s="661"/>
      <c r="L81" s="661"/>
      <c r="M81" s="1017"/>
      <c r="N81" s="459" t="s">
        <v>112</v>
      </c>
      <c r="O81" s="1014"/>
      <c r="P81" s="409">
        <v>2821</v>
      </c>
      <c r="Q81" s="410" t="s">
        <v>23</v>
      </c>
      <c r="R81" s="391"/>
      <c r="S81" s="484">
        <f t="shared" si="21"/>
        <v>0</v>
      </c>
      <c r="T81" s="679"/>
      <c r="U81" s="679"/>
      <c r="V81" s="438"/>
      <c r="W81" s="773"/>
      <c r="X81" s="773"/>
      <c r="Y81" s="773"/>
      <c r="Z81" s="773"/>
      <c r="AA81" s="773"/>
      <c r="AB81" s="773"/>
      <c r="AC81" s="773"/>
      <c r="AD81" s="773"/>
      <c r="AE81" s="773"/>
      <c r="AF81" s="773"/>
      <c r="AG81" s="773"/>
      <c r="AH81" s="773"/>
      <c r="AI81" s="773"/>
      <c r="AJ81" s="773"/>
      <c r="AK81" s="773"/>
      <c r="AL81" s="773"/>
      <c r="AM81" s="773"/>
      <c r="AN81" s="773"/>
      <c r="AO81" s="773"/>
      <c r="AP81" s="773"/>
      <c r="AQ81" s="773"/>
      <c r="AR81" s="773"/>
      <c r="AS81" s="773"/>
      <c r="AT81" s="773"/>
      <c r="AU81" s="773"/>
      <c r="AV81" s="773"/>
      <c r="AW81" s="773"/>
      <c r="AX81" s="773"/>
      <c r="AY81" s="773"/>
      <c r="AZ81" s="773"/>
      <c r="BA81" s="773"/>
      <c r="BB81" s="773"/>
      <c r="BC81" s="773"/>
      <c r="BD81" s="773"/>
      <c r="BE81" s="773"/>
      <c r="BF81" s="773"/>
      <c r="BG81" s="773"/>
      <c r="BH81" s="773"/>
      <c r="BI81" s="773"/>
      <c r="BJ81" s="773"/>
      <c r="BK81" s="773"/>
      <c r="BL81" s="773"/>
      <c r="BM81" s="773"/>
      <c r="BN81" s="773"/>
      <c r="BO81" s="773"/>
      <c r="BP81" s="773"/>
      <c r="BQ81" s="773"/>
      <c r="BR81" s="773"/>
      <c r="BS81" s="773"/>
      <c r="BT81" s="773"/>
      <c r="BU81" s="773"/>
      <c r="BV81" s="773"/>
    </row>
    <row r="82" spans="1:74" s="439" customFormat="1" ht="18" x14ac:dyDescent="0.25">
      <c r="A82" s="770"/>
      <c r="B82" s="1045"/>
      <c r="C82" s="1017"/>
      <c r="D82" s="459" t="s">
        <v>113</v>
      </c>
      <c r="E82" s="1014"/>
      <c r="F82" s="389">
        <v>2395</v>
      </c>
      <c r="G82" s="389" t="s">
        <v>22</v>
      </c>
      <c r="H82" s="391"/>
      <c r="I82" s="429">
        <f t="shared" si="20"/>
        <v>0</v>
      </c>
      <c r="J82" s="383"/>
      <c r="K82" s="387"/>
      <c r="L82" s="660"/>
      <c r="M82" s="1017"/>
      <c r="N82" s="459" t="s">
        <v>113</v>
      </c>
      <c r="O82" s="1014"/>
      <c r="P82" s="409">
        <v>2821</v>
      </c>
      <c r="Q82" s="410" t="s">
        <v>23</v>
      </c>
      <c r="R82" s="391"/>
      <c r="S82" s="484">
        <f t="shared" si="21"/>
        <v>0</v>
      </c>
      <c r="T82" s="683"/>
      <c r="U82" s="683"/>
      <c r="V82" s="436"/>
      <c r="W82" s="773"/>
      <c r="X82" s="773"/>
      <c r="Y82" s="773"/>
      <c r="Z82" s="773"/>
      <c r="AA82" s="773"/>
      <c r="AB82" s="773"/>
      <c r="AC82" s="773"/>
      <c r="AD82" s="773"/>
      <c r="AE82" s="773"/>
      <c r="AF82" s="773"/>
      <c r="AG82" s="773"/>
      <c r="AH82" s="773"/>
      <c r="AI82" s="773"/>
      <c r="AJ82" s="773"/>
      <c r="AK82" s="773"/>
      <c r="AL82" s="773"/>
      <c r="AM82" s="773"/>
      <c r="AN82" s="773"/>
      <c r="AO82" s="773"/>
      <c r="AP82" s="773"/>
      <c r="AQ82" s="773"/>
      <c r="AR82" s="773"/>
      <c r="AS82" s="773"/>
      <c r="AT82" s="773"/>
      <c r="AU82" s="773"/>
      <c r="AV82" s="773"/>
      <c r="AW82" s="773"/>
      <c r="AX82" s="773"/>
      <c r="AY82" s="773"/>
      <c r="AZ82" s="773"/>
      <c r="BA82" s="773"/>
      <c r="BB82" s="773"/>
      <c r="BC82" s="773"/>
      <c r="BD82" s="773"/>
      <c r="BE82" s="773"/>
      <c r="BF82" s="773"/>
      <c r="BG82" s="773"/>
      <c r="BH82" s="773"/>
      <c r="BI82" s="773"/>
      <c r="BJ82" s="773"/>
      <c r="BK82" s="773"/>
      <c r="BL82" s="773"/>
      <c r="BM82" s="773"/>
      <c r="BN82" s="773"/>
      <c r="BO82" s="773"/>
      <c r="BP82" s="773"/>
      <c r="BQ82" s="773"/>
      <c r="BR82" s="773"/>
      <c r="BS82" s="773"/>
      <c r="BT82" s="773"/>
      <c r="BU82" s="773"/>
      <c r="BV82" s="773"/>
    </row>
    <row r="83" spans="1:74" s="439" customFormat="1" ht="18" x14ac:dyDescent="0.25">
      <c r="A83" s="770"/>
      <c r="B83" s="1045"/>
      <c r="C83" s="1017"/>
      <c r="D83" s="459" t="s">
        <v>114</v>
      </c>
      <c r="E83" s="1014"/>
      <c r="F83" s="389">
        <v>2395</v>
      </c>
      <c r="G83" s="389" t="s">
        <v>22</v>
      </c>
      <c r="H83" s="391"/>
      <c r="I83" s="429">
        <f t="shared" si="20"/>
        <v>0</v>
      </c>
      <c r="J83" s="744"/>
      <c r="K83" s="744"/>
      <c r="L83" s="661"/>
      <c r="M83" s="1017"/>
      <c r="N83" s="459" t="s">
        <v>114</v>
      </c>
      <c r="O83" s="1014"/>
      <c r="P83" s="409">
        <v>2821</v>
      </c>
      <c r="Q83" s="410" t="s">
        <v>23</v>
      </c>
      <c r="R83" s="391"/>
      <c r="S83" s="484">
        <f t="shared" si="21"/>
        <v>0</v>
      </c>
      <c r="T83" s="679"/>
      <c r="U83" s="679"/>
      <c r="V83" s="438"/>
      <c r="W83" s="773"/>
      <c r="X83" s="773"/>
      <c r="Y83" s="773"/>
      <c r="Z83" s="773"/>
      <c r="AA83" s="773"/>
      <c r="AB83" s="773"/>
      <c r="AC83" s="773"/>
      <c r="AD83" s="773"/>
      <c r="AE83" s="773"/>
      <c r="AF83" s="773"/>
      <c r="AG83" s="773"/>
      <c r="AH83" s="773"/>
      <c r="AI83" s="773"/>
      <c r="AJ83" s="773"/>
      <c r="AK83" s="773"/>
      <c r="AL83" s="773"/>
      <c r="AM83" s="773"/>
      <c r="AN83" s="773"/>
      <c r="AO83" s="773"/>
      <c r="AP83" s="773"/>
      <c r="AQ83" s="773"/>
      <c r="AR83" s="773"/>
      <c r="AS83" s="773"/>
      <c r="AT83" s="773"/>
      <c r="AU83" s="773"/>
      <c r="AV83" s="773"/>
      <c r="AW83" s="773"/>
      <c r="AX83" s="773"/>
      <c r="AY83" s="773"/>
      <c r="AZ83" s="773"/>
      <c r="BA83" s="773"/>
      <c r="BB83" s="773"/>
      <c r="BC83" s="773"/>
      <c r="BD83" s="773"/>
      <c r="BE83" s="773"/>
      <c r="BF83" s="773"/>
      <c r="BG83" s="773"/>
      <c r="BH83" s="773"/>
      <c r="BI83" s="773"/>
      <c r="BJ83" s="773"/>
      <c r="BK83" s="773"/>
      <c r="BL83" s="773"/>
      <c r="BM83" s="773"/>
      <c r="BN83" s="773"/>
      <c r="BO83" s="773"/>
      <c r="BP83" s="773"/>
      <c r="BQ83" s="773"/>
      <c r="BR83" s="773"/>
      <c r="BS83" s="773"/>
      <c r="BT83" s="773"/>
      <c r="BU83" s="773"/>
      <c r="BV83" s="773"/>
    </row>
    <row r="84" spans="1:74" s="439" customFormat="1" ht="18" x14ac:dyDescent="0.25">
      <c r="A84" s="770"/>
      <c r="B84" s="1045"/>
      <c r="C84" s="1017"/>
      <c r="D84" s="459" t="s">
        <v>115</v>
      </c>
      <c r="E84" s="1014"/>
      <c r="F84" s="389">
        <v>2395</v>
      </c>
      <c r="G84" s="389" t="s">
        <v>22</v>
      </c>
      <c r="H84" s="391"/>
      <c r="I84" s="429">
        <f t="shared" si="20"/>
        <v>0</v>
      </c>
      <c r="J84" s="387"/>
      <c r="K84" s="387"/>
      <c r="L84" s="660"/>
      <c r="M84" s="1017"/>
      <c r="N84" s="459" t="s">
        <v>115</v>
      </c>
      <c r="O84" s="1014"/>
      <c r="P84" s="409">
        <v>2821</v>
      </c>
      <c r="Q84" s="410" t="s">
        <v>23</v>
      </c>
      <c r="R84" s="391"/>
      <c r="S84" s="484">
        <f t="shared" si="21"/>
        <v>0</v>
      </c>
      <c r="T84" s="683"/>
      <c r="U84" s="683"/>
      <c r="V84" s="436"/>
      <c r="W84" s="773"/>
      <c r="X84" s="773"/>
      <c r="Y84" s="773"/>
      <c r="Z84" s="773"/>
      <c r="AA84" s="773"/>
      <c r="AB84" s="773"/>
      <c r="AC84" s="773"/>
      <c r="AD84" s="773"/>
      <c r="AE84" s="773"/>
      <c r="AF84" s="773"/>
      <c r="AG84" s="773"/>
      <c r="AH84" s="773"/>
      <c r="AI84" s="773"/>
      <c r="AJ84" s="773"/>
      <c r="AK84" s="773"/>
      <c r="AL84" s="773"/>
      <c r="AM84" s="773"/>
      <c r="AN84" s="773"/>
      <c r="AO84" s="773"/>
      <c r="AP84" s="773"/>
      <c r="AQ84" s="773"/>
      <c r="AR84" s="773"/>
      <c r="AS84" s="773"/>
      <c r="AT84" s="773"/>
      <c r="AU84" s="773"/>
      <c r="AV84" s="773"/>
      <c r="AW84" s="773"/>
      <c r="AX84" s="773"/>
      <c r="AY84" s="773"/>
      <c r="AZ84" s="773"/>
      <c r="BA84" s="773"/>
      <c r="BB84" s="773"/>
      <c r="BC84" s="773"/>
      <c r="BD84" s="773"/>
      <c r="BE84" s="773"/>
      <c r="BF84" s="773"/>
      <c r="BG84" s="773"/>
      <c r="BH84" s="773"/>
      <c r="BI84" s="773"/>
      <c r="BJ84" s="773"/>
      <c r="BK84" s="773"/>
      <c r="BL84" s="773"/>
      <c r="BM84" s="773"/>
      <c r="BN84" s="773"/>
      <c r="BO84" s="773"/>
      <c r="BP84" s="773"/>
      <c r="BQ84" s="773"/>
      <c r="BR84" s="773"/>
      <c r="BS84" s="773"/>
      <c r="BT84" s="773"/>
      <c r="BU84" s="773"/>
      <c r="BV84" s="773"/>
    </row>
    <row r="85" spans="1:74" s="439" customFormat="1" ht="18" x14ac:dyDescent="0.25">
      <c r="A85" s="770"/>
      <c r="B85" s="1045"/>
      <c r="C85" s="1018"/>
      <c r="D85" s="462" t="s">
        <v>116</v>
      </c>
      <c r="E85" s="1014"/>
      <c r="F85" s="404">
        <v>2395</v>
      </c>
      <c r="G85" s="404" t="s">
        <v>22</v>
      </c>
      <c r="H85" s="391"/>
      <c r="I85" s="429">
        <f t="shared" si="20"/>
        <v>0</v>
      </c>
      <c r="J85" s="661"/>
      <c r="K85" s="661"/>
      <c r="L85" s="661"/>
      <c r="M85" s="1018"/>
      <c r="N85" s="462" t="s">
        <v>116</v>
      </c>
      <c r="O85" s="1014"/>
      <c r="P85" s="411">
        <v>2821</v>
      </c>
      <c r="Q85" s="412" t="s">
        <v>23</v>
      </c>
      <c r="R85" s="719"/>
      <c r="S85" s="484">
        <f t="shared" si="21"/>
        <v>0</v>
      </c>
      <c r="T85" s="860"/>
      <c r="U85" s="679"/>
      <c r="V85" s="438"/>
      <c r="W85" s="773"/>
      <c r="X85" s="773"/>
      <c r="Y85" s="773"/>
      <c r="Z85" s="773"/>
      <c r="AA85" s="773"/>
      <c r="AB85" s="773"/>
      <c r="AC85" s="773"/>
      <c r="AD85" s="773"/>
      <c r="AE85" s="773"/>
      <c r="AF85" s="773"/>
      <c r="AG85" s="773"/>
      <c r="AH85" s="773"/>
      <c r="AI85" s="773"/>
      <c r="AJ85" s="773"/>
      <c r="AK85" s="773"/>
      <c r="AL85" s="773"/>
      <c r="AM85" s="773"/>
      <c r="AN85" s="773"/>
      <c r="AO85" s="773"/>
      <c r="AP85" s="773"/>
      <c r="AQ85" s="773"/>
      <c r="AR85" s="773"/>
      <c r="AS85" s="773"/>
      <c r="AT85" s="773"/>
      <c r="AU85" s="773"/>
      <c r="AV85" s="773"/>
      <c r="AW85" s="773"/>
      <c r="AX85" s="773"/>
      <c r="AY85" s="773"/>
      <c r="AZ85" s="773"/>
      <c r="BA85" s="773"/>
      <c r="BB85" s="773"/>
      <c r="BC85" s="773"/>
      <c r="BD85" s="773"/>
      <c r="BE85" s="773"/>
      <c r="BF85" s="773"/>
      <c r="BG85" s="773"/>
      <c r="BH85" s="773"/>
      <c r="BI85" s="773"/>
      <c r="BJ85" s="773"/>
      <c r="BK85" s="773"/>
      <c r="BL85" s="773"/>
      <c r="BM85" s="773"/>
      <c r="BN85" s="773"/>
      <c r="BO85" s="773"/>
      <c r="BP85" s="773"/>
      <c r="BQ85" s="773"/>
      <c r="BR85" s="773"/>
      <c r="BS85" s="773"/>
      <c r="BT85" s="773"/>
      <c r="BU85" s="773"/>
      <c r="BV85" s="773"/>
    </row>
    <row r="86" spans="1:74" s="439" customFormat="1" ht="18" x14ac:dyDescent="0.25">
      <c r="A86" s="770"/>
      <c r="B86" s="1046"/>
      <c r="C86" s="1041" t="s">
        <v>99</v>
      </c>
      <c r="D86" s="1042"/>
      <c r="E86" s="793">
        <f>E78*12*0.62/100</f>
        <v>1116</v>
      </c>
      <c r="F86" s="1021" t="s">
        <v>100</v>
      </c>
      <c r="G86" s="1022"/>
      <c r="H86" s="397">
        <f>+SUM(H78:H85)</f>
        <v>0</v>
      </c>
      <c r="I86" s="398">
        <f>+SUM(I78:I85)</f>
        <v>0</v>
      </c>
      <c r="J86" s="751"/>
      <c r="K86" s="658"/>
      <c r="L86" s="658"/>
      <c r="M86" s="1041" t="s">
        <v>99</v>
      </c>
      <c r="N86" s="1043"/>
      <c r="O86" s="399">
        <f>O78*12*0.65/100</f>
        <v>2223</v>
      </c>
      <c r="P86" s="1024" t="s">
        <v>100</v>
      </c>
      <c r="Q86" s="1025"/>
      <c r="R86" s="400">
        <f>+SUM(R78:R85)</f>
        <v>0</v>
      </c>
      <c r="S86" s="398">
        <f>+SUM(S78:S85)</f>
        <v>0</v>
      </c>
      <c r="T86" s="678"/>
      <c r="U86" s="671"/>
      <c r="V86" s="658"/>
      <c r="W86" s="773"/>
      <c r="X86" s="773"/>
      <c r="Y86" s="773"/>
      <c r="Z86" s="773"/>
      <c r="AA86" s="773"/>
      <c r="AB86" s="773"/>
      <c r="AC86" s="773"/>
      <c r="AD86" s="773"/>
      <c r="AE86" s="773"/>
      <c r="AF86" s="773"/>
      <c r="AG86" s="773"/>
      <c r="AH86" s="773"/>
      <c r="AI86" s="773"/>
      <c r="AJ86" s="773"/>
      <c r="AK86" s="773"/>
      <c r="AL86" s="773"/>
      <c r="AM86" s="773"/>
      <c r="AN86" s="773"/>
      <c r="AO86" s="773"/>
      <c r="AP86" s="773"/>
      <c r="AQ86" s="773"/>
      <c r="AR86" s="773"/>
      <c r="AS86" s="773"/>
      <c r="AT86" s="773"/>
      <c r="AU86" s="773"/>
      <c r="AV86" s="773"/>
      <c r="AW86" s="773"/>
      <c r="AX86" s="773"/>
      <c r="AY86" s="773"/>
      <c r="AZ86" s="773"/>
      <c r="BA86" s="773"/>
      <c r="BB86" s="773"/>
      <c r="BC86" s="773"/>
      <c r="BD86" s="773"/>
      <c r="BE86" s="773"/>
      <c r="BF86" s="773"/>
      <c r="BG86" s="773"/>
      <c r="BH86" s="773"/>
      <c r="BI86" s="773"/>
      <c r="BJ86" s="773"/>
      <c r="BK86" s="773"/>
      <c r="BL86" s="773"/>
      <c r="BM86" s="773"/>
      <c r="BN86" s="773"/>
      <c r="BO86" s="773"/>
      <c r="BP86" s="773"/>
      <c r="BQ86" s="773"/>
      <c r="BR86" s="773"/>
      <c r="BS86" s="773"/>
      <c r="BT86" s="773"/>
      <c r="BU86" s="773"/>
      <c r="BV86" s="773"/>
    </row>
    <row r="87" spans="1:74" s="439" customFormat="1" ht="18" x14ac:dyDescent="0.25">
      <c r="A87" s="770"/>
      <c r="B87" s="1044">
        <f>+B60+1</f>
        <v>46093</v>
      </c>
      <c r="C87" s="1047">
        <v>1</v>
      </c>
      <c r="D87" s="433" t="s">
        <v>117</v>
      </c>
      <c r="E87" s="1009">
        <v>15000</v>
      </c>
      <c r="F87" s="402">
        <v>2395</v>
      </c>
      <c r="G87" s="402" t="s">
        <v>22</v>
      </c>
      <c r="H87" s="390">
        <v>2563</v>
      </c>
      <c r="I87" s="429">
        <f t="shared" ref="I87:I94" si="22">IF(F87=2395, H87*12*0.62/100, IF(F87=1564, H87*12*0.65/100, ""))</f>
        <v>190.68720000000002</v>
      </c>
      <c r="J87" s="659"/>
      <c r="K87" s="747"/>
      <c r="L87" s="661"/>
      <c r="M87" s="1047">
        <f>+C87</f>
        <v>1</v>
      </c>
      <c r="N87" s="433" t="s">
        <v>117</v>
      </c>
      <c r="O87" s="1009"/>
      <c r="P87" s="732"/>
      <c r="Q87" s="732"/>
      <c r="R87" s="391"/>
      <c r="S87" s="484" t="str">
        <f t="shared" ref="S87:S94" si="23">IF(P87=6843, R87*12*0.62/100,IF(P87=2821, R87*12*0.63/100,IF(P87=6842, R87*12*0.63/100,IF(P87=1564, R87*12*0.65/100, ""))))</f>
        <v/>
      </c>
      <c r="T87" s="683"/>
      <c r="U87" s="683"/>
      <c r="V87" s="436"/>
      <c r="W87" s="773"/>
      <c r="X87" s="773"/>
      <c r="Y87" s="773"/>
      <c r="Z87" s="773"/>
      <c r="AA87" s="773"/>
      <c r="AB87" s="773"/>
      <c r="AC87" s="773"/>
      <c r="AD87" s="773"/>
      <c r="AE87" s="773"/>
      <c r="AF87" s="773"/>
      <c r="AG87" s="773"/>
      <c r="AH87" s="773"/>
      <c r="AI87" s="773"/>
      <c r="AJ87" s="773"/>
      <c r="AK87" s="773"/>
      <c r="AL87" s="773"/>
      <c r="AM87" s="773"/>
      <c r="AN87" s="773"/>
      <c r="AO87" s="773"/>
      <c r="AP87" s="773"/>
      <c r="AQ87" s="773"/>
      <c r="AR87" s="773"/>
      <c r="AS87" s="773"/>
      <c r="AT87" s="773"/>
      <c r="AU87" s="773"/>
      <c r="AV87" s="773"/>
      <c r="AW87" s="773"/>
      <c r="AX87" s="773"/>
      <c r="AY87" s="773"/>
      <c r="AZ87" s="773"/>
      <c r="BA87" s="773"/>
      <c r="BB87" s="773"/>
      <c r="BC87" s="773"/>
      <c r="BD87" s="773"/>
      <c r="BE87" s="773"/>
      <c r="BF87" s="773"/>
      <c r="BG87" s="773"/>
      <c r="BH87" s="773"/>
      <c r="BI87" s="773"/>
      <c r="BJ87" s="773"/>
      <c r="BK87" s="773"/>
      <c r="BL87" s="773"/>
      <c r="BM87" s="773"/>
      <c r="BN87" s="773"/>
      <c r="BO87" s="773"/>
      <c r="BP87" s="773"/>
      <c r="BQ87" s="773"/>
      <c r="BR87" s="773"/>
      <c r="BS87" s="773"/>
      <c r="BT87" s="773"/>
      <c r="BU87" s="773"/>
      <c r="BV87" s="773"/>
    </row>
    <row r="88" spans="1:74" s="439" customFormat="1" ht="36" x14ac:dyDescent="0.25">
      <c r="A88" s="770"/>
      <c r="B88" s="1045"/>
      <c r="C88" s="1047"/>
      <c r="D88" s="433" t="s">
        <v>118</v>
      </c>
      <c r="E88" s="1009"/>
      <c r="F88" s="389">
        <v>2395</v>
      </c>
      <c r="G88" s="389" t="s">
        <v>22</v>
      </c>
      <c r="H88" s="390"/>
      <c r="I88" s="429">
        <f t="shared" si="22"/>
        <v>0</v>
      </c>
      <c r="J88" s="698" t="s">
        <v>471</v>
      </c>
      <c r="K88" s="748" t="s">
        <v>472</v>
      </c>
      <c r="L88" s="660"/>
      <c r="M88" s="1047"/>
      <c r="N88" s="433" t="s">
        <v>118</v>
      </c>
      <c r="O88" s="1009"/>
      <c r="P88" s="731"/>
      <c r="Q88" s="731"/>
      <c r="R88" s="391"/>
      <c r="S88" s="484" t="str">
        <f t="shared" si="23"/>
        <v/>
      </c>
      <c r="T88" s="385"/>
      <c r="U88" s="385"/>
      <c r="V88" s="438"/>
      <c r="W88" s="773"/>
      <c r="X88" s="773"/>
      <c r="Y88" s="773"/>
      <c r="Z88" s="773"/>
      <c r="AA88" s="773"/>
      <c r="AB88" s="773"/>
      <c r="AC88" s="773"/>
      <c r="AD88" s="773"/>
      <c r="AE88" s="773"/>
      <c r="AF88" s="773"/>
      <c r="AG88" s="773"/>
      <c r="AH88" s="773"/>
      <c r="AI88" s="773"/>
      <c r="AJ88" s="773"/>
      <c r="AK88" s="773"/>
      <c r="AL88" s="773"/>
      <c r="AM88" s="773"/>
      <c r="AN88" s="773"/>
      <c r="AO88" s="773"/>
      <c r="AP88" s="773"/>
      <c r="AQ88" s="773"/>
      <c r="AR88" s="773"/>
      <c r="AS88" s="773"/>
      <c r="AT88" s="773"/>
      <c r="AU88" s="773"/>
      <c r="AV88" s="773"/>
      <c r="AW88" s="773"/>
      <c r="AX88" s="773"/>
      <c r="AY88" s="773"/>
      <c r="AZ88" s="773"/>
      <c r="BA88" s="773"/>
      <c r="BB88" s="773"/>
      <c r="BC88" s="773"/>
      <c r="BD88" s="773"/>
      <c r="BE88" s="773"/>
      <c r="BF88" s="773"/>
      <c r="BG88" s="773"/>
      <c r="BH88" s="773"/>
      <c r="BI88" s="773"/>
      <c r="BJ88" s="773"/>
      <c r="BK88" s="773"/>
      <c r="BL88" s="773"/>
      <c r="BM88" s="773"/>
      <c r="BN88" s="773"/>
      <c r="BO88" s="773"/>
      <c r="BP88" s="773"/>
      <c r="BQ88" s="773"/>
      <c r="BR88" s="773"/>
      <c r="BS88" s="773"/>
      <c r="BT88" s="773"/>
      <c r="BU88" s="773"/>
      <c r="BV88" s="773"/>
    </row>
    <row r="89" spans="1:74" s="439" customFormat="1" ht="18" x14ac:dyDescent="0.25">
      <c r="A89" s="770"/>
      <c r="B89" s="1045"/>
      <c r="C89" s="1047"/>
      <c r="D89" s="433" t="s">
        <v>119</v>
      </c>
      <c r="E89" s="1009"/>
      <c r="F89" s="389">
        <v>2395</v>
      </c>
      <c r="G89" s="389" t="s">
        <v>22</v>
      </c>
      <c r="H89" s="391"/>
      <c r="I89" s="429">
        <f t="shared" si="22"/>
        <v>0</v>
      </c>
      <c r="J89" s="745"/>
      <c r="K89" s="720"/>
      <c r="L89" s="661"/>
      <c r="M89" s="1047"/>
      <c r="N89" s="433" t="s">
        <v>119</v>
      </c>
      <c r="O89" s="1009"/>
      <c r="P89" s="731"/>
      <c r="Q89" s="731"/>
      <c r="R89" s="391"/>
      <c r="S89" s="484" t="str">
        <f t="shared" si="23"/>
        <v/>
      </c>
      <c r="T89" s="386"/>
      <c r="U89" s="385"/>
      <c r="V89" s="436"/>
      <c r="W89" s="773"/>
      <c r="X89" s="773"/>
      <c r="Y89" s="773"/>
      <c r="Z89" s="773"/>
      <c r="AA89" s="773"/>
      <c r="AB89" s="773"/>
      <c r="AC89" s="773"/>
      <c r="AD89" s="773"/>
      <c r="AE89" s="773"/>
      <c r="AF89" s="773"/>
      <c r="AG89" s="773"/>
      <c r="AH89" s="773"/>
      <c r="AI89" s="773"/>
      <c r="AJ89" s="773"/>
      <c r="AK89" s="773"/>
      <c r="AL89" s="773"/>
      <c r="AM89" s="773"/>
      <c r="AN89" s="773"/>
      <c r="AO89" s="773"/>
      <c r="AP89" s="773"/>
      <c r="AQ89" s="773"/>
      <c r="AR89" s="773"/>
      <c r="AS89" s="773"/>
      <c r="AT89" s="773"/>
      <c r="AU89" s="773"/>
      <c r="AV89" s="773"/>
      <c r="AW89" s="773"/>
      <c r="AX89" s="773"/>
      <c r="AY89" s="773"/>
      <c r="AZ89" s="773"/>
      <c r="BA89" s="773"/>
      <c r="BB89" s="773"/>
      <c r="BC89" s="773"/>
      <c r="BD89" s="773"/>
      <c r="BE89" s="773"/>
      <c r="BF89" s="773"/>
      <c r="BG89" s="773"/>
      <c r="BH89" s="773"/>
      <c r="BI89" s="773"/>
      <c r="BJ89" s="773"/>
      <c r="BK89" s="773"/>
      <c r="BL89" s="773"/>
      <c r="BM89" s="773"/>
      <c r="BN89" s="773"/>
      <c r="BO89" s="773"/>
      <c r="BP89" s="773"/>
      <c r="BQ89" s="773"/>
      <c r="BR89" s="773"/>
      <c r="BS89" s="773"/>
      <c r="BT89" s="773"/>
      <c r="BU89" s="773"/>
      <c r="BV89" s="773"/>
    </row>
    <row r="90" spans="1:74" s="439" customFormat="1" ht="18" x14ac:dyDescent="0.25">
      <c r="A90" s="770"/>
      <c r="B90" s="1045"/>
      <c r="C90" s="1047"/>
      <c r="D90" s="433" t="s">
        <v>120</v>
      </c>
      <c r="E90" s="1009"/>
      <c r="F90" s="389">
        <v>2395</v>
      </c>
      <c r="G90" s="389" t="s">
        <v>22</v>
      </c>
      <c r="H90" s="391"/>
      <c r="I90" s="429">
        <f t="shared" si="22"/>
        <v>0</v>
      </c>
      <c r="J90" s="746"/>
      <c r="K90" s="720"/>
      <c r="L90" s="660"/>
      <c r="M90" s="1047"/>
      <c r="N90" s="433" t="s">
        <v>120</v>
      </c>
      <c r="O90" s="1009"/>
      <c r="P90" s="731"/>
      <c r="Q90" s="731"/>
      <c r="R90" s="391"/>
      <c r="S90" s="484" t="str">
        <f t="shared" si="23"/>
        <v/>
      </c>
      <c r="T90" s="385"/>
      <c r="U90" s="679"/>
      <c r="V90" s="438"/>
      <c r="W90" s="773"/>
      <c r="X90" s="773"/>
      <c r="Y90" s="773"/>
      <c r="Z90" s="773"/>
      <c r="AA90" s="773"/>
      <c r="AB90" s="773"/>
      <c r="AC90" s="773"/>
      <c r="AD90" s="773"/>
      <c r="AE90" s="773"/>
      <c r="AF90" s="773"/>
      <c r="AG90" s="773"/>
      <c r="AH90" s="773"/>
      <c r="AI90" s="773"/>
      <c r="AJ90" s="773"/>
      <c r="AK90" s="773"/>
      <c r="AL90" s="773"/>
      <c r="AM90" s="773"/>
      <c r="AN90" s="773"/>
      <c r="AO90" s="773"/>
      <c r="AP90" s="773"/>
      <c r="AQ90" s="773"/>
      <c r="AR90" s="773"/>
      <c r="AS90" s="773"/>
      <c r="AT90" s="773"/>
      <c r="AU90" s="773"/>
      <c r="AV90" s="773"/>
      <c r="AW90" s="773"/>
      <c r="AX90" s="773"/>
      <c r="AY90" s="773"/>
      <c r="AZ90" s="773"/>
      <c r="BA90" s="773"/>
      <c r="BB90" s="773"/>
      <c r="BC90" s="773"/>
      <c r="BD90" s="773"/>
      <c r="BE90" s="773"/>
      <c r="BF90" s="773"/>
      <c r="BG90" s="773"/>
      <c r="BH90" s="773"/>
      <c r="BI90" s="773"/>
      <c r="BJ90" s="773"/>
      <c r="BK90" s="773"/>
      <c r="BL90" s="773"/>
      <c r="BM90" s="773"/>
      <c r="BN90" s="773"/>
      <c r="BO90" s="773"/>
      <c r="BP90" s="773"/>
      <c r="BQ90" s="773"/>
      <c r="BR90" s="773"/>
      <c r="BS90" s="773"/>
      <c r="BT90" s="773"/>
      <c r="BU90" s="773"/>
      <c r="BV90" s="773"/>
    </row>
    <row r="91" spans="1:74" s="439" customFormat="1" ht="18" x14ac:dyDescent="0.25">
      <c r="A91" s="770"/>
      <c r="B91" s="1045"/>
      <c r="C91" s="1047"/>
      <c r="D91" s="433" t="s">
        <v>121</v>
      </c>
      <c r="E91" s="1009"/>
      <c r="F91" s="389">
        <v>2395</v>
      </c>
      <c r="G91" s="389" t="s">
        <v>22</v>
      </c>
      <c r="H91" s="390"/>
      <c r="I91" s="429">
        <f t="shared" si="22"/>
        <v>0</v>
      </c>
      <c r="J91" s="745"/>
      <c r="K91" s="749"/>
      <c r="L91" s="661"/>
      <c r="M91" s="1047"/>
      <c r="N91" s="433" t="s">
        <v>121</v>
      </c>
      <c r="O91" s="1009"/>
      <c r="P91" s="731"/>
      <c r="Q91" s="731"/>
      <c r="R91" s="391"/>
      <c r="S91" s="484" t="str">
        <f t="shared" si="23"/>
        <v/>
      </c>
      <c r="T91" s="386"/>
      <c r="U91" s="385"/>
      <c r="V91" s="441"/>
      <c r="W91" s="773"/>
      <c r="X91" s="773"/>
      <c r="Y91" s="773"/>
      <c r="Z91" s="773"/>
      <c r="AA91" s="773"/>
      <c r="AB91" s="773"/>
      <c r="AC91" s="773"/>
      <c r="AD91" s="773"/>
      <c r="AE91" s="773"/>
      <c r="AF91" s="773"/>
      <c r="AG91" s="773"/>
      <c r="AH91" s="773"/>
      <c r="AI91" s="773"/>
      <c r="AJ91" s="773"/>
      <c r="AK91" s="773"/>
      <c r="AL91" s="773"/>
      <c r="AM91" s="773"/>
      <c r="AN91" s="773"/>
      <c r="AO91" s="773"/>
      <c r="AP91" s="773"/>
      <c r="AQ91" s="773"/>
      <c r="AR91" s="773"/>
      <c r="AS91" s="773"/>
      <c r="AT91" s="773"/>
      <c r="AU91" s="773"/>
      <c r="AV91" s="773"/>
      <c r="AW91" s="773"/>
      <c r="AX91" s="773"/>
      <c r="AY91" s="773"/>
      <c r="AZ91" s="773"/>
      <c r="BA91" s="773"/>
      <c r="BB91" s="773"/>
      <c r="BC91" s="773"/>
      <c r="BD91" s="773"/>
      <c r="BE91" s="773"/>
      <c r="BF91" s="773"/>
      <c r="BG91" s="773"/>
      <c r="BH91" s="773"/>
      <c r="BI91" s="773"/>
      <c r="BJ91" s="773"/>
      <c r="BK91" s="773"/>
      <c r="BL91" s="773"/>
      <c r="BM91" s="773"/>
      <c r="BN91" s="773"/>
      <c r="BO91" s="773"/>
      <c r="BP91" s="773"/>
      <c r="BQ91" s="773"/>
      <c r="BR91" s="773"/>
      <c r="BS91" s="773"/>
      <c r="BT91" s="773"/>
      <c r="BU91" s="773"/>
      <c r="BV91" s="773"/>
    </row>
    <row r="92" spans="1:74" s="439" customFormat="1" ht="18" x14ac:dyDescent="0.25">
      <c r="A92" s="770"/>
      <c r="B92" s="1045"/>
      <c r="C92" s="1047"/>
      <c r="D92" s="433" t="s">
        <v>122</v>
      </c>
      <c r="E92" s="1009"/>
      <c r="F92" s="389">
        <v>2395</v>
      </c>
      <c r="G92" s="389" t="s">
        <v>22</v>
      </c>
      <c r="H92" s="390"/>
      <c r="I92" s="429">
        <f t="shared" si="22"/>
        <v>0</v>
      </c>
      <c r="J92" s="746"/>
      <c r="K92" s="748"/>
      <c r="L92" s="660"/>
      <c r="M92" s="1047"/>
      <c r="N92" s="433" t="s">
        <v>122</v>
      </c>
      <c r="O92" s="1009"/>
      <c r="P92" s="731"/>
      <c r="Q92" s="731"/>
      <c r="R92" s="391"/>
      <c r="S92" s="484" t="str">
        <f t="shared" si="23"/>
        <v/>
      </c>
      <c r="T92" s="385"/>
      <c r="U92" s="670"/>
      <c r="V92" s="441"/>
      <c r="W92" s="773"/>
      <c r="X92" s="773"/>
      <c r="Y92" s="773"/>
      <c r="Z92" s="773"/>
      <c r="AA92" s="773"/>
      <c r="AB92" s="773"/>
      <c r="AC92" s="773"/>
      <c r="AD92" s="773"/>
      <c r="AE92" s="773"/>
      <c r="AF92" s="773"/>
      <c r="AG92" s="773"/>
      <c r="AH92" s="773"/>
      <c r="AI92" s="773"/>
      <c r="AJ92" s="773"/>
      <c r="AK92" s="773"/>
      <c r="AL92" s="773"/>
      <c r="AM92" s="773"/>
      <c r="AN92" s="773"/>
      <c r="AO92" s="773"/>
      <c r="AP92" s="773"/>
      <c r="AQ92" s="773"/>
      <c r="AR92" s="773"/>
      <c r="AS92" s="773"/>
      <c r="AT92" s="773"/>
      <c r="AU92" s="773"/>
      <c r="AV92" s="773"/>
      <c r="AW92" s="773"/>
      <c r="AX92" s="773"/>
      <c r="AY92" s="773"/>
      <c r="AZ92" s="773"/>
      <c r="BA92" s="773"/>
      <c r="BB92" s="773"/>
      <c r="BC92" s="773"/>
      <c r="BD92" s="773"/>
      <c r="BE92" s="773"/>
      <c r="BF92" s="773"/>
      <c r="BG92" s="773"/>
      <c r="BH92" s="773"/>
      <c r="BI92" s="773"/>
      <c r="BJ92" s="773"/>
      <c r="BK92" s="773"/>
      <c r="BL92" s="773"/>
      <c r="BM92" s="773"/>
      <c r="BN92" s="773"/>
      <c r="BO92" s="773"/>
      <c r="BP92" s="773"/>
      <c r="BQ92" s="773"/>
      <c r="BR92" s="773"/>
      <c r="BS92" s="773"/>
      <c r="BT92" s="773"/>
      <c r="BU92" s="773"/>
      <c r="BV92" s="773"/>
    </row>
    <row r="93" spans="1:74" s="439" customFormat="1" ht="18" x14ac:dyDescent="0.25">
      <c r="A93" s="770"/>
      <c r="B93" s="1045"/>
      <c r="C93" s="1047"/>
      <c r="D93" s="433" t="s">
        <v>123</v>
      </c>
      <c r="E93" s="1009"/>
      <c r="F93" s="389">
        <v>2395</v>
      </c>
      <c r="G93" s="389" t="s">
        <v>22</v>
      </c>
      <c r="H93" s="390"/>
      <c r="I93" s="429">
        <f t="shared" si="22"/>
        <v>0</v>
      </c>
      <c r="J93" s="745"/>
      <c r="K93" s="750"/>
      <c r="L93" s="441"/>
      <c r="M93" s="1047"/>
      <c r="N93" s="433" t="s">
        <v>123</v>
      </c>
      <c r="O93" s="1009"/>
      <c r="P93" s="731"/>
      <c r="Q93" s="731"/>
      <c r="R93" s="391"/>
      <c r="S93" s="484" t="str">
        <f t="shared" si="23"/>
        <v/>
      </c>
      <c r="T93" s="386"/>
      <c r="U93" s="670"/>
      <c r="V93" s="441"/>
      <c r="W93" s="773"/>
      <c r="X93" s="773"/>
      <c r="Y93" s="773"/>
      <c r="Z93" s="773"/>
      <c r="AA93" s="773"/>
      <c r="AB93" s="773"/>
      <c r="AC93" s="773"/>
      <c r="AD93" s="773"/>
      <c r="AE93" s="773"/>
      <c r="AF93" s="773"/>
      <c r="AG93" s="773"/>
      <c r="AH93" s="773"/>
      <c r="AI93" s="773"/>
      <c r="AJ93" s="773"/>
      <c r="AK93" s="773"/>
      <c r="AL93" s="773"/>
      <c r="AM93" s="773"/>
      <c r="AN93" s="773"/>
      <c r="AO93" s="773"/>
      <c r="AP93" s="773"/>
      <c r="AQ93" s="773"/>
      <c r="AR93" s="773"/>
      <c r="AS93" s="773"/>
      <c r="AT93" s="773"/>
      <c r="AU93" s="773"/>
      <c r="AV93" s="773"/>
      <c r="AW93" s="773"/>
      <c r="AX93" s="773"/>
      <c r="AY93" s="773"/>
      <c r="AZ93" s="773"/>
      <c r="BA93" s="773"/>
      <c r="BB93" s="773"/>
      <c r="BC93" s="773"/>
      <c r="BD93" s="773"/>
      <c r="BE93" s="773"/>
      <c r="BF93" s="773"/>
      <c r="BG93" s="773"/>
      <c r="BH93" s="773"/>
      <c r="BI93" s="773"/>
      <c r="BJ93" s="773"/>
      <c r="BK93" s="773"/>
      <c r="BL93" s="773"/>
      <c r="BM93" s="773"/>
      <c r="BN93" s="773"/>
      <c r="BO93" s="773"/>
      <c r="BP93" s="773"/>
      <c r="BQ93" s="773"/>
      <c r="BR93" s="773"/>
      <c r="BS93" s="773"/>
      <c r="BT93" s="773"/>
      <c r="BU93" s="773"/>
      <c r="BV93" s="773"/>
    </row>
    <row r="94" spans="1:74" s="439" customFormat="1" ht="18" x14ac:dyDescent="0.25">
      <c r="A94" s="770"/>
      <c r="B94" s="1045"/>
      <c r="C94" s="1047"/>
      <c r="D94" s="433" t="s">
        <v>124</v>
      </c>
      <c r="E94" s="1009"/>
      <c r="F94" s="404">
        <v>2395</v>
      </c>
      <c r="G94" s="404" t="s">
        <v>22</v>
      </c>
      <c r="H94" s="390"/>
      <c r="I94" s="429">
        <f t="shared" si="22"/>
        <v>0</v>
      </c>
      <c r="J94" s="752"/>
      <c r="K94" s="721"/>
      <c r="L94" s="662"/>
      <c r="M94" s="1047"/>
      <c r="N94" s="433" t="s">
        <v>124</v>
      </c>
      <c r="O94" s="1009"/>
      <c r="P94" s="733"/>
      <c r="Q94" s="733"/>
      <c r="R94" s="391"/>
      <c r="S94" s="484" t="str">
        <f t="shared" si="23"/>
        <v/>
      </c>
      <c r="T94" s="868"/>
      <c r="U94" s="385"/>
      <c r="V94" s="441"/>
      <c r="W94" s="773"/>
      <c r="X94" s="773"/>
      <c r="Y94" s="773"/>
      <c r="Z94" s="773"/>
      <c r="AA94" s="773"/>
      <c r="AB94" s="773"/>
      <c r="AC94" s="773"/>
      <c r="AD94" s="773"/>
      <c r="AE94" s="773"/>
      <c r="AF94" s="773"/>
      <c r="AG94" s="773"/>
      <c r="AH94" s="773"/>
      <c r="AI94" s="773"/>
      <c r="AJ94" s="773"/>
      <c r="AK94" s="773"/>
      <c r="AL94" s="773"/>
      <c r="AM94" s="773"/>
      <c r="AN94" s="773"/>
      <c r="AO94" s="773"/>
      <c r="AP94" s="773"/>
      <c r="AQ94" s="773"/>
      <c r="AR94" s="773"/>
      <c r="AS94" s="773"/>
      <c r="AT94" s="773"/>
      <c r="AU94" s="773"/>
      <c r="AV94" s="773"/>
      <c r="AW94" s="773"/>
      <c r="AX94" s="773"/>
      <c r="AY94" s="773"/>
      <c r="AZ94" s="773"/>
      <c r="BA94" s="773"/>
      <c r="BB94" s="773"/>
      <c r="BC94" s="773"/>
      <c r="BD94" s="773"/>
      <c r="BE94" s="773"/>
      <c r="BF94" s="773"/>
      <c r="BG94" s="773"/>
      <c r="BH94" s="773"/>
      <c r="BI94" s="773"/>
      <c r="BJ94" s="773"/>
      <c r="BK94" s="773"/>
      <c r="BL94" s="773"/>
      <c r="BM94" s="773"/>
      <c r="BN94" s="773"/>
      <c r="BO94" s="773"/>
      <c r="BP94" s="773"/>
      <c r="BQ94" s="773"/>
      <c r="BR94" s="773"/>
      <c r="BS94" s="773"/>
      <c r="BT94" s="773"/>
      <c r="BU94" s="773"/>
      <c r="BV94" s="773"/>
    </row>
    <row r="95" spans="1:74" s="439" customFormat="1" ht="38.25" customHeight="1" x14ac:dyDescent="0.25">
      <c r="A95" s="770"/>
      <c r="B95" s="1045"/>
      <c r="C95" s="1048" t="s">
        <v>99</v>
      </c>
      <c r="D95" s="1049"/>
      <c r="E95" s="794">
        <f>E87*12*0.62/100</f>
        <v>1116</v>
      </c>
      <c r="F95" s="1040" t="s">
        <v>100</v>
      </c>
      <c r="G95" s="1040"/>
      <c r="H95" s="463">
        <f>+SUM(H87:H94)</f>
        <v>2563</v>
      </c>
      <c r="I95" s="705">
        <f>+SUM(I87:I94)</f>
        <v>190.68720000000002</v>
      </c>
      <c r="J95" s="658"/>
      <c r="K95" s="658"/>
      <c r="L95" s="658"/>
      <c r="M95" s="1103" t="s">
        <v>99</v>
      </c>
      <c r="N95" s="1104"/>
      <c r="O95" s="799">
        <f>O87*12*0.65/100</f>
        <v>0</v>
      </c>
      <c r="P95" s="1105" t="s">
        <v>100</v>
      </c>
      <c r="Q95" s="1105"/>
      <c r="R95" s="753">
        <f>+SUM(R87:R94)</f>
        <v>0</v>
      </c>
      <c r="S95" s="754">
        <f>+SUM(S87:S94)</f>
        <v>0</v>
      </c>
      <c r="T95" s="667"/>
      <c r="U95" s="671"/>
      <c r="V95" s="658"/>
      <c r="W95" s="773"/>
      <c r="X95" s="773"/>
      <c r="Y95" s="773"/>
      <c r="Z95" s="773"/>
      <c r="AA95" s="773"/>
      <c r="AB95" s="773"/>
      <c r="AC95" s="773"/>
      <c r="AD95" s="773"/>
      <c r="AE95" s="773"/>
      <c r="AF95" s="773"/>
      <c r="AG95" s="773"/>
      <c r="AH95" s="773"/>
      <c r="AI95" s="773"/>
      <c r="AJ95" s="773"/>
      <c r="AK95" s="773"/>
      <c r="AL95" s="773"/>
      <c r="AM95" s="773"/>
      <c r="AN95" s="773"/>
      <c r="AO95" s="773"/>
      <c r="AP95" s="773"/>
      <c r="AQ95" s="773"/>
      <c r="AR95" s="773"/>
      <c r="AS95" s="773"/>
      <c r="AT95" s="773"/>
      <c r="AU95" s="773"/>
      <c r="AV95" s="773"/>
      <c r="AW95" s="773"/>
      <c r="AX95" s="773"/>
      <c r="AY95" s="773"/>
      <c r="AZ95" s="773"/>
      <c r="BA95" s="773"/>
      <c r="BB95" s="773"/>
      <c r="BC95" s="773"/>
      <c r="BD95" s="773"/>
      <c r="BE95" s="773"/>
      <c r="BF95" s="773"/>
      <c r="BG95" s="773"/>
      <c r="BH95" s="773"/>
      <c r="BI95" s="773"/>
      <c r="BJ95" s="773"/>
      <c r="BK95" s="773"/>
      <c r="BL95" s="773"/>
      <c r="BM95" s="773"/>
      <c r="BN95" s="773"/>
      <c r="BO95" s="773"/>
      <c r="BP95" s="773"/>
      <c r="BQ95" s="773"/>
      <c r="BR95" s="773"/>
      <c r="BS95" s="773"/>
      <c r="BT95" s="773"/>
      <c r="BU95" s="773"/>
      <c r="BV95" s="773"/>
    </row>
    <row r="96" spans="1:74" s="439" customFormat="1" ht="18" x14ac:dyDescent="0.25">
      <c r="A96" s="770"/>
      <c r="B96" s="1045"/>
      <c r="C96" s="1010">
        <v>2</v>
      </c>
      <c r="D96" s="458" t="s">
        <v>101</v>
      </c>
      <c r="E96" s="1013">
        <v>15000</v>
      </c>
      <c r="F96" s="402">
        <v>2395</v>
      </c>
      <c r="G96" s="402" t="s">
        <v>22</v>
      </c>
      <c r="H96" s="395"/>
      <c r="I96" s="429">
        <f t="shared" ref="I96:I103" si="24">IF(F96=2395, H96*12*0.62/100, IF(F96=1564, H96*12*0.65/100, ""))</f>
        <v>0</v>
      </c>
      <c r="J96" s="755"/>
      <c r="K96" s="755"/>
      <c r="L96" s="441"/>
      <c r="M96" s="1016">
        <f>+C96</f>
        <v>2</v>
      </c>
      <c r="N96" s="458" t="s">
        <v>125</v>
      </c>
      <c r="O96" s="1013"/>
      <c r="P96" s="732"/>
      <c r="Q96" s="732"/>
      <c r="R96" s="396"/>
      <c r="S96" s="484" t="str">
        <f t="shared" ref="S96:S103" si="25">IF(P96=6843, R96*12*0.62/100,IF(P96=2821, R96*12*0.63/100,IF(P96=6842, R96*12*0.63/100,IF(P96=1564, R96*12*0.65/100, ""))))</f>
        <v/>
      </c>
      <c r="T96" s="800"/>
      <c r="U96" s="677"/>
      <c r="V96" s="386"/>
      <c r="W96" s="773"/>
      <c r="X96" s="773"/>
      <c r="Y96" s="773"/>
      <c r="Z96" s="773"/>
      <c r="AA96" s="773"/>
      <c r="AB96" s="773"/>
      <c r="AC96" s="773"/>
      <c r="AD96" s="773"/>
      <c r="AE96" s="773"/>
      <c r="AF96" s="773"/>
      <c r="AG96" s="773"/>
      <c r="AH96" s="773"/>
      <c r="AI96" s="773"/>
      <c r="AJ96" s="773"/>
      <c r="AK96" s="773"/>
      <c r="AL96" s="773"/>
      <c r="AM96" s="773"/>
      <c r="AN96" s="773"/>
      <c r="AO96" s="773"/>
      <c r="AP96" s="773"/>
      <c r="AQ96" s="773"/>
      <c r="AR96" s="773"/>
      <c r="AS96" s="773"/>
      <c r="AT96" s="773"/>
      <c r="AU96" s="773"/>
      <c r="AV96" s="773"/>
      <c r="AW96" s="773"/>
      <c r="AX96" s="773"/>
      <c r="AY96" s="773"/>
      <c r="AZ96" s="773"/>
      <c r="BA96" s="773"/>
      <c r="BB96" s="773"/>
      <c r="BC96" s="773"/>
      <c r="BD96" s="773"/>
      <c r="BE96" s="773"/>
      <c r="BF96" s="773"/>
      <c r="BG96" s="773"/>
      <c r="BH96" s="773"/>
      <c r="BI96" s="773"/>
      <c r="BJ96" s="773"/>
      <c r="BK96" s="773"/>
      <c r="BL96" s="773"/>
      <c r="BM96" s="773"/>
      <c r="BN96" s="773"/>
      <c r="BO96" s="773"/>
      <c r="BP96" s="773"/>
      <c r="BQ96" s="773"/>
      <c r="BR96" s="773"/>
      <c r="BS96" s="773"/>
      <c r="BT96" s="773"/>
      <c r="BU96" s="773"/>
      <c r="BV96" s="773"/>
    </row>
    <row r="97" spans="1:74" s="439" customFormat="1" ht="18" x14ac:dyDescent="0.25">
      <c r="A97" s="770"/>
      <c r="B97" s="1045"/>
      <c r="C97" s="1011"/>
      <c r="D97" s="458" t="s">
        <v>102</v>
      </c>
      <c r="E97" s="1014"/>
      <c r="F97" s="389">
        <v>2395</v>
      </c>
      <c r="G97" s="389" t="s">
        <v>22</v>
      </c>
      <c r="H97" s="395"/>
      <c r="I97" s="429">
        <f t="shared" si="24"/>
        <v>0</v>
      </c>
      <c r="J97" s="755"/>
      <c r="K97" s="755"/>
      <c r="L97" s="441"/>
      <c r="M97" s="1017"/>
      <c r="N97" s="458" t="s">
        <v>126</v>
      </c>
      <c r="O97" s="1014"/>
      <c r="P97" s="731"/>
      <c r="Q97" s="731"/>
      <c r="R97" s="391"/>
      <c r="S97" s="484" t="str">
        <f t="shared" si="25"/>
        <v/>
      </c>
      <c r="T97" s="801"/>
      <c r="U97" s="801"/>
      <c r="V97" s="739"/>
      <c r="W97" s="773"/>
      <c r="X97" s="773"/>
      <c r="Y97" s="773"/>
      <c r="Z97" s="773"/>
      <c r="AA97" s="773"/>
      <c r="AB97" s="773"/>
      <c r="AC97" s="773"/>
      <c r="AD97" s="773"/>
      <c r="AE97" s="773"/>
      <c r="AF97" s="773"/>
      <c r="AG97" s="773"/>
      <c r="AH97" s="773"/>
      <c r="AI97" s="773"/>
      <c r="AJ97" s="773"/>
      <c r="AK97" s="773"/>
      <c r="AL97" s="773"/>
      <c r="AM97" s="773"/>
      <c r="AN97" s="773"/>
      <c r="AO97" s="773"/>
      <c r="AP97" s="773"/>
      <c r="AQ97" s="773"/>
      <c r="AR97" s="773"/>
      <c r="AS97" s="773"/>
      <c r="AT97" s="773"/>
      <c r="AU97" s="773"/>
      <c r="AV97" s="773"/>
      <c r="AW97" s="773"/>
      <c r="AX97" s="773"/>
      <c r="AY97" s="773"/>
      <c r="AZ97" s="773"/>
      <c r="BA97" s="773"/>
      <c r="BB97" s="773"/>
      <c r="BC97" s="773"/>
      <c r="BD97" s="773"/>
      <c r="BE97" s="773"/>
      <c r="BF97" s="773"/>
      <c r="BG97" s="773"/>
      <c r="BH97" s="773"/>
      <c r="BI97" s="773"/>
      <c r="BJ97" s="773"/>
      <c r="BK97" s="773"/>
      <c r="BL97" s="773"/>
      <c r="BM97" s="773"/>
      <c r="BN97" s="773"/>
      <c r="BO97" s="773"/>
      <c r="BP97" s="773"/>
      <c r="BQ97" s="773"/>
      <c r="BR97" s="773"/>
      <c r="BS97" s="773"/>
      <c r="BT97" s="773"/>
      <c r="BU97" s="773"/>
      <c r="BV97" s="773"/>
    </row>
    <row r="98" spans="1:74" s="439" customFormat="1" ht="18" x14ac:dyDescent="0.25">
      <c r="A98" s="770"/>
      <c r="B98" s="1045"/>
      <c r="C98" s="1011"/>
      <c r="D98" s="458" t="s">
        <v>103</v>
      </c>
      <c r="E98" s="1014"/>
      <c r="F98" s="389">
        <v>2395</v>
      </c>
      <c r="G98" s="389" t="s">
        <v>22</v>
      </c>
      <c r="H98" s="391"/>
      <c r="I98" s="429">
        <f t="shared" si="24"/>
        <v>0</v>
      </c>
      <c r="J98" s="755"/>
      <c r="K98" s="755"/>
      <c r="L98" s="441"/>
      <c r="M98" s="1017"/>
      <c r="N98" s="458" t="s">
        <v>127</v>
      </c>
      <c r="O98" s="1014"/>
      <c r="P98" s="731"/>
      <c r="Q98" s="731"/>
      <c r="R98" s="391"/>
      <c r="S98" s="484" t="str">
        <f t="shared" si="25"/>
        <v/>
      </c>
      <c r="T98" s="801"/>
      <c r="U98" s="801"/>
      <c r="V98" s="739"/>
      <c r="W98" s="773"/>
      <c r="X98" s="773"/>
      <c r="Y98" s="773"/>
      <c r="Z98" s="773"/>
      <c r="AA98" s="773"/>
      <c r="AB98" s="773"/>
      <c r="AC98" s="773"/>
      <c r="AD98" s="773"/>
      <c r="AE98" s="773"/>
      <c r="AF98" s="773"/>
      <c r="AG98" s="773"/>
      <c r="AH98" s="773"/>
      <c r="AI98" s="773"/>
      <c r="AJ98" s="773"/>
      <c r="AK98" s="773"/>
      <c r="AL98" s="773"/>
      <c r="AM98" s="773"/>
      <c r="AN98" s="773"/>
      <c r="AO98" s="773"/>
      <c r="AP98" s="773"/>
      <c r="AQ98" s="773"/>
      <c r="AR98" s="773"/>
      <c r="AS98" s="773"/>
      <c r="AT98" s="773"/>
      <c r="AU98" s="773"/>
      <c r="AV98" s="773"/>
      <c r="AW98" s="773"/>
      <c r="AX98" s="773"/>
      <c r="AY98" s="773"/>
      <c r="AZ98" s="773"/>
      <c r="BA98" s="773"/>
      <c r="BB98" s="773"/>
      <c r="BC98" s="773"/>
      <c r="BD98" s="773"/>
      <c r="BE98" s="773"/>
      <c r="BF98" s="773"/>
      <c r="BG98" s="773"/>
      <c r="BH98" s="773"/>
      <c r="BI98" s="773"/>
      <c r="BJ98" s="773"/>
      <c r="BK98" s="773"/>
      <c r="BL98" s="773"/>
      <c r="BM98" s="773"/>
      <c r="BN98" s="773"/>
      <c r="BO98" s="773"/>
      <c r="BP98" s="773"/>
      <c r="BQ98" s="773"/>
      <c r="BR98" s="773"/>
      <c r="BS98" s="773"/>
      <c r="BT98" s="773"/>
      <c r="BU98" s="773"/>
      <c r="BV98" s="773"/>
    </row>
    <row r="99" spans="1:74" s="439" customFormat="1" ht="18" x14ac:dyDescent="0.25">
      <c r="A99" s="770"/>
      <c r="B99" s="1045"/>
      <c r="C99" s="1011"/>
      <c r="D99" s="458" t="s">
        <v>104</v>
      </c>
      <c r="E99" s="1014"/>
      <c r="F99" s="389">
        <v>2395</v>
      </c>
      <c r="G99" s="389" t="s">
        <v>22</v>
      </c>
      <c r="H99" s="391"/>
      <c r="I99" s="429">
        <f t="shared" si="24"/>
        <v>0</v>
      </c>
      <c r="J99" s="755"/>
      <c r="K99" s="755"/>
      <c r="L99" s="441"/>
      <c r="M99" s="1017"/>
      <c r="N99" s="458" t="s">
        <v>128</v>
      </c>
      <c r="O99" s="1014"/>
      <c r="P99" s="731"/>
      <c r="Q99" s="731"/>
      <c r="R99" s="391"/>
      <c r="S99" s="484" t="str">
        <f t="shared" si="25"/>
        <v/>
      </c>
      <c r="T99" s="801"/>
      <c r="U99" s="801"/>
      <c r="V99" s="739"/>
      <c r="W99" s="773"/>
      <c r="X99" s="773"/>
      <c r="Y99" s="773"/>
      <c r="Z99" s="773"/>
      <c r="AA99" s="773"/>
      <c r="AB99" s="773"/>
      <c r="AC99" s="773"/>
      <c r="AD99" s="773"/>
      <c r="AE99" s="773"/>
      <c r="AF99" s="773"/>
      <c r="AG99" s="773"/>
      <c r="AH99" s="773"/>
      <c r="AI99" s="773"/>
      <c r="AJ99" s="773"/>
      <c r="AK99" s="773"/>
      <c r="AL99" s="773"/>
      <c r="AM99" s="773"/>
      <c r="AN99" s="773"/>
      <c r="AO99" s="773"/>
      <c r="AP99" s="773"/>
      <c r="AQ99" s="773"/>
      <c r="AR99" s="773"/>
      <c r="AS99" s="773"/>
      <c r="AT99" s="773"/>
      <c r="AU99" s="773"/>
      <c r="AV99" s="773"/>
      <c r="AW99" s="773"/>
      <c r="AX99" s="773"/>
      <c r="AY99" s="773"/>
      <c r="AZ99" s="773"/>
      <c r="BA99" s="773"/>
      <c r="BB99" s="773"/>
      <c r="BC99" s="773"/>
      <c r="BD99" s="773"/>
      <c r="BE99" s="773"/>
      <c r="BF99" s="773"/>
      <c r="BG99" s="773"/>
      <c r="BH99" s="773"/>
      <c r="BI99" s="773"/>
      <c r="BJ99" s="773"/>
      <c r="BK99" s="773"/>
      <c r="BL99" s="773"/>
      <c r="BM99" s="773"/>
      <c r="BN99" s="773"/>
      <c r="BO99" s="773"/>
      <c r="BP99" s="773"/>
      <c r="BQ99" s="773"/>
      <c r="BR99" s="773"/>
      <c r="BS99" s="773"/>
      <c r="BT99" s="773"/>
      <c r="BU99" s="773"/>
      <c r="BV99" s="773"/>
    </row>
    <row r="100" spans="1:74" s="439" customFormat="1" ht="18" x14ac:dyDescent="0.25">
      <c r="A100" s="770"/>
      <c r="B100" s="1045"/>
      <c r="C100" s="1011"/>
      <c r="D100" s="458" t="s">
        <v>105</v>
      </c>
      <c r="E100" s="1014"/>
      <c r="F100" s="389">
        <v>2395</v>
      </c>
      <c r="G100" s="389" t="s">
        <v>22</v>
      </c>
      <c r="H100" s="391"/>
      <c r="I100" s="429">
        <f t="shared" si="24"/>
        <v>0</v>
      </c>
      <c r="J100" s="755"/>
      <c r="K100" s="755"/>
      <c r="L100" s="441"/>
      <c r="M100" s="1017"/>
      <c r="N100" s="458" t="s">
        <v>129</v>
      </c>
      <c r="O100" s="1014"/>
      <c r="P100" s="731"/>
      <c r="Q100" s="731"/>
      <c r="R100" s="391"/>
      <c r="S100" s="484" t="str">
        <f t="shared" si="25"/>
        <v/>
      </c>
      <c r="T100" s="801"/>
      <c r="U100" s="801"/>
      <c r="V100" s="739"/>
      <c r="W100" s="773"/>
      <c r="X100" s="773"/>
      <c r="Y100" s="773"/>
      <c r="Z100" s="773"/>
      <c r="AA100" s="773"/>
      <c r="AB100" s="773"/>
      <c r="AC100" s="773"/>
      <c r="AD100" s="773"/>
      <c r="AE100" s="773"/>
      <c r="AF100" s="773"/>
      <c r="AG100" s="773"/>
      <c r="AH100" s="773"/>
      <c r="AI100" s="773"/>
      <c r="AJ100" s="773"/>
      <c r="AK100" s="773"/>
      <c r="AL100" s="773"/>
      <c r="AM100" s="773"/>
      <c r="AN100" s="773"/>
      <c r="AO100" s="773"/>
      <c r="AP100" s="773"/>
      <c r="AQ100" s="773"/>
      <c r="AR100" s="773"/>
      <c r="AS100" s="773"/>
      <c r="AT100" s="773"/>
      <c r="AU100" s="773"/>
      <c r="AV100" s="773"/>
      <c r="AW100" s="773"/>
      <c r="AX100" s="773"/>
      <c r="AY100" s="773"/>
      <c r="AZ100" s="773"/>
      <c r="BA100" s="773"/>
      <c r="BB100" s="773"/>
      <c r="BC100" s="773"/>
      <c r="BD100" s="773"/>
      <c r="BE100" s="773"/>
      <c r="BF100" s="773"/>
      <c r="BG100" s="773"/>
      <c r="BH100" s="773"/>
      <c r="BI100" s="773"/>
      <c r="BJ100" s="773"/>
      <c r="BK100" s="773"/>
      <c r="BL100" s="773"/>
      <c r="BM100" s="773"/>
      <c r="BN100" s="773"/>
      <c r="BO100" s="773"/>
      <c r="BP100" s="773"/>
      <c r="BQ100" s="773"/>
      <c r="BR100" s="773"/>
      <c r="BS100" s="773"/>
      <c r="BT100" s="773"/>
      <c r="BU100" s="773"/>
      <c r="BV100" s="773"/>
    </row>
    <row r="101" spans="1:74" s="439" customFormat="1" ht="18" x14ac:dyDescent="0.25">
      <c r="A101" s="770"/>
      <c r="B101" s="1045"/>
      <c r="C101" s="1011"/>
      <c r="D101" s="458" t="s">
        <v>106</v>
      </c>
      <c r="E101" s="1014"/>
      <c r="F101" s="389">
        <v>2395</v>
      </c>
      <c r="G101" s="389" t="s">
        <v>22</v>
      </c>
      <c r="H101" s="391"/>
      <c r="I101" s="429">
        <f t="shared" si="24"/>
        <v>0</v>
      </c>
      <c r="J101" s="755"/>
      <c r="K101" s="755"/>
      <c r="L101" s="441"/>
      <c r="M101" s="1017"/>
      <c r="N101" s="458" t="s">
        <v>130</v>
      </c>
      <c r="O101" s="1014"/>
      <c r="P101" s="731"/>
      <c r="Q101" s="731"/>
      <c r="R101" s="391"/>
      <c r="S101" s="484" t="str">
        <f t="shared" si="25"/>
        <v/>
      </c>
      <c r="T101" s="677"/>
      <c r="U101" s="677"/>
      <c r="V101" s="386"/>
      <c r="W101" s="773"/>
      <c r="X101" s="773"/>
      <c r="Y101" s="773"/>
      <c r="Z101" s="773"/>
      <c r="AA101" s="773"/>
      <c r="AB101" s="773"/>
      <c r="AC101" s="773"/>
      <c r="AD101" s="773"/>
      <c r="AE101" s="773"/>
      <c r="AF101" s="773"/>
      <c r="AG101" s="773"/>
      <c r="AH101" s="773"/>
      <c r="AI101" s="773"/>
      <c r="AJ101" s="773"/>
      <c r="AK101" s="773"/>
      <c r="AL101" s="773"/>
      <c r="AM101" s="773"/>
      <c r="AN101" s="773"/>
      <c r="AO101" s="773"/>
      <c r="AP101" s="773"/>
      <c r="AQ101" s="773"/>
      <c r="AR101" s="773"/>
      <c r="AS101" s="773"/>
      <c r="AT101" s="773"/>
      <c r="AU101" s="773"/>
      <c r="AV101" s="773"/>
      <c r="AW101" s="773"/>
      <c r="AX101" s="773"/>
      <c r="AY101" s="773"/>
      <c r="AZ101" s="773"/>
      <c r="BA101" s="773"/>
      <c r="BB101" s="773"/>
      <c r="BC101" s="773"/>
      <c r="BD101" s="773"/>
      <c r="BE101" s="773"/>
      <c r="BF101" s="773"/>
      <c r="BG101" s="773"/>
      <c r="BH101" s="773"/>
      <c r="BI101" s="773"/>
      <c r="BJ101" s="773"/>
      <c r="BK101" s="773"/>
      <c r="BL101" s="773"/>
      <c r="BM101" s="773"/>
      <c r="BN101" s="773"/>
      <c r="BO101" s="773"/>
      <c r="BP101" s="773"/>
      <c r="BQ101" s="773"/>
      <c r="BR101" s="773"/>
      <c r="BS101" s="773"/>
      <c r="BT101" s="773"/>
      <c r="BU101" s="773"/>
      <c r="BV101" s="773"/>
    </row>
    <row r="102" spans="1:74" s="439" customFormat="1" ht="18" x14ac:dyDescent="0.25">
      <c r="A102" s="770"/>
      <c r="B102" s="1045"/>
      <c r="C102" s="1011"/>
      <c r="D102" s="458" t="s">
        <v>107</v>
      </c>
      <c r="E102" s="1014"/>
      <c r="F102" s="389">
        <v>2395</v>
      </c>
      <c r="G102" s="389" t="s">
        <v>22</v>
      </c>
      <c r="H102" s="391"/>
      <c r="I102" s="429">
        <f t="shared" si="24"/>
        <v>0</v>
      </c>
      <c r="J102" s="755"/>
      <c r="K102" s="755"/>
      <c r="L102" s="441"/>
      <c r="M102" s="1017"/>
      <c r="N102" s="458" t="s">
        <v>131</v>
      </c>
      <c r="O102" s="1014"/>
      <c r="P102" s="731"/>
      <c r="Q102" s="731"/>
      <c r="R102" s="391"/>
      <c r="S102" s="484" t="str">
        <f t="shared" si="25"/>
        <v/>
      </c>
      <c r="T102" s="677"/>
      <c r="U102" s="677"/>
      <c r="V102" s="386"/>
      <c r="W102" s="773"/>
      <c r="X102" s="773"/>
      <c r="Y102" s="773"/>
      <c r="Z102" s="773"/>
      <c r="AA102" s="773"/>
      <c r="AB102" s="773"/>
      <c r="AC102" s="773"/>
      <c r="AD102" s="773"/>
      <c r="AE102" s="773"/>
      <c r="AF102" s="773"/>
      <c r="AG102" s="773"/>
      <c r="AH102" s="773"/>
      <c r="AI102" s="773"/>
      <c r="AJ102" s="773"/>
      <c r="AK102" s="773"/>
      <c r="AL102" s="773"/>
      <c r="AM102" s="773"/>
      <c r="AN102" s="773"/>
      <c r="AO102" s="773"/>
      <c r="AP102" s="773"/>
      <c r="AQ102" s="773"/>
      <c r="AR102" s="773"/>
      <c r="AS102" s="773"/>
      <c r="AT102" s="773"/>
      <c r="AU102" s="773"/>
      <c r="AV102" s="773"/>
      <c r="AW102" s="773"/>
      <c r="AX102" s="773"/>
      <c r="AY102" s="773"/>
      <c r="AZ102" s="773"/>
      <c r="BA102" s="773"/>
      <c r="BB102" s="773"/>
      <c r="BC102" s="773"/>
      <c r="BD102" s="773"/>
      <c r="BE102" s="773"/>
      <c r="BF102" s="773"/>
      <c r="BG102" s="773"/>
      <c r="BH102" s="773"/>
      <c r="BI102" s="773"/>
      <c r="BJ102" s="773"/>
      <c r="BK102" s="773"/>
      <c r="BL102" s="773"/>
      <c r="BM102" s="773"/>
      <c r="BN102" s="773"/>
      <c r="BO102" s="773"/>
      <c r="BP102" s="773"/>
      <c r="BQ102" s="773"/>
      <c r="BR102" s="773"/>
      <c r="BS102" s="773"/>
      <c r="BT102" s="773"/>
      <c r="BU102" s="773"/>
      <c r="BV102" s="773"/>
    </row>
    <row r="103" spans="1:74" s="439" customFormat="1" ht="18" x14ac:dyDescent="0.25">
      <c r="A103" s="770"/>
      <c r="B103" s="1045"/>
      <c r="C103" s="1012"/>
      <c r="D103" s="467" t="s">
        <v>108</v>
      </c>
      <c r="E103" s="1015"/>
      <c r="F103" s="404">
        <v>2395</v>
      </c>
      <c r="G103" s="404" t="s">
        <v>22</v>
      </c>
      <c r="H103" s="426"/>
      <c r="I103" s="429">
        <f t="shared" si="24"/>
        <v>0</v>
      </c>
      <c r="J103" s="755"/>
      <c r="K103" s="755"/>
      <c r="L103" s="441"/>
      <c r="M103" s="1018"/>
      <c r="N103" s="467" t="s">
        <v>132</v>
      </c>
      <c r="O103" s="1015"/>
      <c r="P103" s="733"/>
      <c r="Q103" s="733"/>
      <c r="R103" s="426"/>
      <c r="S103" s="484" t="str">
        <f t="shared" si="25"/>
        <v/>
      </c>
      <c r="T103" s="802"/>
      <c r="U103" s="801"/>
      <c r="V103" s="739"/>
      <c r="W103" s="773"/>
      <c r="X103" s="773"/>
      <c r="Y103" s="773"/>
      <c r="Z103" s="773"/>
      <c r="AA103" s="773"/>
      <c r="AB103" s="773"/>
      <c r="AC103" s="773"/>
      <c r="AD103" s="773"/>
      <c r="AE103" s="773"/>
      <c r="AF103" s="773"/>
      <c r="AG103" s="773"/>
      <c r="AH103" s="773"/>
      <c r="AI103" s="773"/>
      <c r="AJ103" s="773"/>
      <c r="AK103" s="773"/>
      <c r="AL103" s="773"/>
      <c r="AM103" s="773"/>
      <c r="AN103" s="773"/>
      <c r="AO103" s="773"/>
      <c r="AP103" s="773"/>
      <c r="AQ103" s="773"/>
      <c r="AR103" s="773"/>
      <c r="AS103" s="773"/>
      <c r="AT103" s="773"/>
      <c r="AU103" s="773"/>
      <c r="AV103" s="773"/>
      <c r="AW103" s="773"/>
      <c r="AX103" s="773"/>
      <c r="AY103" s="773"/>
      <c r="AZ103" s="773"/>
      <c r="BA103" s="773"/>
      <c r="BB103" s="773"/>
      <c r="BC103" s="773"/>
      <c r="BD103" s="773"/>
      <c r="BE103" s="773"/>
      <c r="BF103" s="773"/>
      <c r="BG103" s="773"/>
      <c r="BH103" s="773"/>
      <c r="BI103" s="773"/>
      <c r="BJ103" s="773"/>
      <c r="BK103" s="773"/>
      <c r="BL103" s="773"/>
      <c r="BM103" s="773"/>
      <c r="BN103" s="773"/>
      <c r="BO103" s="773"/>
      <c r="BP103" s="773"/>
      <c r="BQ103" s="773"/>
      <c r="BR103" s="773"/>
      <c r="BS103" s="773"/>
      <c r="BT103" s="773"/>
      <c r="BU103" s="773"/>
      <c r="BV103" s="773"/>
    </row>
    <row r="104" spans="1:74" s="439" customFormat="1" ht="18" x14ac:dyDescent="0.25">
      <c r="A104" s="770"/>
      <c r="B104" s="1045"/>
      <c r="C104" s="1037" t="s">
        <v>99</v>
      </c>
      <c r="D104" s="1038"/>
      <c r="E104" s="797">
        <f>E96*12*0.62/100</f>
        <v>1116</v>
      </c>
      <c r="F104" s="1039" t="s">
        <v>100</v>
      </c>
      <c r="G104" s="1039"/>
      <c r="H104" s="468">
        <f>+SUM(H96:H103)</f>
        <v>0</v>
      </c>
      <c r="I104" s="704">
        <f>+SUM(I96:I103)</f>
        <v>0</v>
      </c>
      <c r="J104" s="658"/>
      <c r="K104" s="658"/>
      <c r="L104" s="658"/>
      <c r="M104" s="1037" t="s">
        <v>99</v>
      </c>
      <c r="N104" s="1038"/>
      <c r="O104" s="797">
        <f>O96*12*0.65/100</f>
        <v>0</v>
      </c>
      <c r="P104" s="1039" t="s">
        <v>100</v>
      </c>
      <c r="Q104" s="1039"/>
      <c r="R104" s="468">
        <f>+SUM(R96:R103)</f>
        <v>0</v>
      </c>
      <c r="S104" s="469">
        <f>+SUM(S96:S103)</f>
        <v>0</v>
      </c>
      <c r="T104" s="668"/>
      <c r="U104" s="671"/>
      <c r="V104" s="658"/>
      <c r="W104" s="773"/>
      <c r="X104" s="773"/>
      <c r="Y104" s="773"/>
      <c r="Z104" s="773"/>
      <c r="AA104" s="773"/>
      <c r="AB104" s="773"/>
      <c r="AC104" s="773"/>
      <c r="AD104" s="773"/>
      <c r="AE104" s="773"/>
      <c r="AF104" s="773"/>
      <c r="AG104" s="773"/>
      <c r="AH104" s="773"/>
      <c r="AI104" s="773"/>
      <c r="AJ104" s="773"/>
      <c r="AK104" s="773"/>
      <c r="AL104" s="773"/>
      <c r="AM104" s="773"/>
      <c r="AN104" s="773"/>
      <c r="AO104" s="773"/>
      <c r="AP104" s="773"/>
      <c r="AQ104" s="773"/>
      <c r="AR104" s="773"/>
      <c r="AS104" s="773"/>
      <c r="AT104" s="773"/>
      <c r="AU104" s="773"/>
      <c r="AV104" s="773"/>
      <c r="AW104" s="773"/>
      <c r="AX104" s="773"/>
      <c r="AY104" s="773"/>
      <c r="AZ104" s="773"/>
      <c r="BA104" s="773"/>
      <c r="BB104" s="773"/>
      <c r="BC104" s="773"/>
      <c r="BD104" s="773"/>
      <c r="BE104" s="773"/>
      <c r="BF104" s="773"/>
      <c r="BG104" s="773"/>
      <c r="BH104" s="773"/>
      <c r="BI104" s="773"/>
      <c r="BJ104" s="773"/>
      <c r="BK104" s="773"/>
      <c r="BL104" s="773"/>
      <c r="BM104" s="773"/>
      <c r="BN104" s="773"/>
      <c r="BO104" s="773"/>
      <c r="BP104" s="773"/>
      <c r="BQ104" s="773"/>
      <c r="BR104" s="773"/>
      <c r="BS104" s="773"/>
      <c r="BT104" s="773"/>
      <c r="BU104" s="773"/>
      <c r="BV104" s="773"/>
    </row>
    <row r="105" spans="1:74" s="439" customFormat="1" ht="18" x14ac:dyDescent="0.25">
      <c r="A105" s="770"/>
      <c r="B105" s="1045"/>
      <c r="C105" s="1016">
        <v>3</v>
      </c>
      <c r="D105" s="458" t="s">
        <v>133</v>
      </c>
      <c r="E105" s="1013">
        <v>8000</v>
      </c>
      <c r="F105" s="402">
        <v>2395</v>
      </c>
      <c r="G105" s="402" t="s">
        <v>22</v>
      </c>
      <c r="H105" s="396"/>
      <c r="I105" s="429">
        <f t="shared" ref="I105:I112" si="26">IF(F105=2395, H105*12*0.62/100, IF(F105=1564, H105*12*0.65/100, ""))</f>
        <v>0</v>
      </c>
      <c r="J105" s="696"/>
      <c r="K105" s="696"/>
      <c r="L105" s="660"/>
      <c r="M105" s="1016">
        <f>+C105</f>
        <v>3</v>
      </c>
      <c r="N105" s="458" t="s">
        <v>109</v>
      </c>
      <c r="O105" s="1013">
        <v>15000</v>
      </c>
      <c r="P105" s="408">
        <v>2821</v>
      </c>
      <c r="Q105" s="408" t="s">
        <v>23</v>
      </c>
      <c r="R105" s="391"/>
      <c r="S105" s="484">
        <f t="shared" ref="S105:S112" si="27">IF(P105=6843, R105*12*0.62/100,IF(P105=2821, R105*12*0.63/100,IF(P105=6842, R105*12*0.63/100,IF(P105=1564, R105*12*0.65/100, ""))))</f>
        <v>0</v>
      </c>
      <c r="T105" s="677"/>
      <c r="U105" s="709"/>
      <c r="V105" s="441"/>
      <c r="W105" s="773"/>
      <c r="X105" s="773"/>
      <c r="Y105" s="773"/>
      <c r="Z105" s="773"/>
      <c r="AA105" s="773"/>
      <c r="AB105" s="773"/>
      <c r="AC105" s="773"/>
      <c r="AD105" s="773"/>
      <c r="AE105" s="773"/>
      <c r="AF105" s="773"/>
      <c r="AG105" s="773"/>
      <c r="AH105" s="773"/>
      <c r="AI105" s="773"/>
      <c r="AJ105" s="773"/>
      <c r="AK105" s="773"/>
      <c r="AL105" s="773"/>
      <c r="AM105" s="773"/>
      <c r="AN105" s="773"/>
      <c r="AO105" s="773"/>
      <c r="AP105" s="773"/>
      <c r="AQ105" s="773"/>
      <c r="AR105" s="773"/>
      <c r="AS105" s="773"/>
      <c r="AT105" s="773"/>
      <c r="AU105" s="773"/>
      <c r="AV105" s="773"/>
      <c r="AW105" s="773"/>
      <c r="AX105" s="773"/>
      <c r="AY105" s="773"/>
      <c r="AZ105" s="773"/>
      <c r="BA105" s="773"/>
      <c r="BB105" s="773"/>
      <c r="BC105" s="773"/>
      <c r="BD105" s="773"/>
      <c r="BE105" s="773"/>
      <c r="BF105" s="773"/>
      <c r="BG105" s="773"/>
      <c r="BH105" s="773"/>
      <c r="BI105" s="773"/>
      <c r="BJ105" s="773"/>
      <c r="BK105" s="773"/>
      <c r="BL105" s="773"/>
      <c r="BM105" s="773"/>
      <c r="BN105" s="773"/>
      <c r="BO105" s="773"/>
      <c r="BP105" s="773"/>
      <c r="BQ105" s="773"/>
      <c r="BR105" s="773"/>
      <c r="BS105" s="773"/>
      <c r="BT105" s="773"/>
      <c r="BU105" s="773"/>
      <c r="BV105" s="773"/>
    </row>
    <row r="106" spans="1:74" s="439" customFormat="1" ht="18" x14ac:dyDescent="0.25">
      <c r="A106" s="770"/>
      <c r="B106" s="1045"/>
      <c r="C106" s="1017"/>
      <c r="D106" s="459" t="s">
        <v>134</v>
      </c>
      <c r="E106" s="1014"/>
      <c r="F106" s="389">
        <v>2395</v>
      </c>
      <c r="G106" s="389" t="s">
        <v>22</v>
      </c>
      <c r="H106" s="391"/>
      <c r="I106" s="429">
        <f t="shared" si="26"/>
        <v>0</v>
      </c>
      <c r="J106" s="722"/>
      <c r="K106" s="803"/>
      <c r="L106" s="441"/>
      <c r="M106" s="1017"/>
      <c r="N106" s="459" t="s">
        <v>110</v>
      </c>
      <c r="O106" s="1014"/>
      <c r="P106" s="409">
        <v>2821</v>
      </c>
      <c r="Q106" s="410" t="s">
        <v>23</v>
      </c>
      <c r="R106" s="391"/>
      <c r="S106" s="484">
        <f t="shared" si="27"/>
        <v>0</v>
      </c>
      <c r="T106" s="677"/>
      <c r="U106" s="709"/>
      <c r="V106" s="441"/>
      <c r="W106" s="773"/>
      <c r="X106" s="773"/>
      <c r="Y106" s="773"/>
      <c r="Z106" s="773"/>
      <c r="AA106" s="773"/>
      <c r="AB106" s="773"/>
      <c r="AC106" s="773"/>
      <c r="AD106" s="773"/>
      <c r="AE106" s="773"/>
      <c r="AF106" s="773"/>
      <c r="AG106" s="773"/>
      <c r="AH106" s="773"/>
      <c r="AI106" s="773"/>
      <c r="AJ106" s="773"/>
      <c r="AK106" s="773"/>
      <c r="AL106" s="773"/>
      <c r="AM106" s="773"/>
      <c r="AN106" s="773"/>
      <c r="AO106" s="773"/>
      <c r="AP106" s="773"/>
      <c r="AQ106" s="773"/>
      <c r="AR106" s="773"/>
      <c r="AS106" s="773"/>
      <c r="AT106" s="773"/>
      <c r="AU106" s="773"/>
      <c r="AV106" s="773"/>
      <c r="AW106" s="773"/>
      <c r="AX106" s="773"/>
      <c r="AY106" s="773"/>
      <c r="AZ106" s="773"/>
      <c r="BA106" s="773"/>
      <c r="BB106" s="773"/>
      <c r="BC106" s="773"/>
      <c r="BD106" s="773"/>
      <c r="BE106" s="773"/>
      <c r="BF106" s="773"/>
      <c r="BG106" s="773"/>
      <c r="BH106" s="773"/>
      <c r="BI106" s="773"/>
      <c r="BJ106" s="773"/>
      <c r="BK106" s="773"/>
      <c r="BL106" s="773"/>
      <c r="BM106" s="773"/>
      <c r="BN106" s="773"/>
      <c r="BO106" s="773"/>
      <c r="BP106" s="773"/>
      <c r="BQ106" s="773"/>
      <c r="BR106" s="773"/>
      <c r="BS106" s="773"/>
      <c r="BT106" s="773"/>
      <c r="BU106" s="773"/>
      <c r="BV106" s="773"/>
    </row>
    <row r="107" spans="1:74" s="439" customFormat="1" ht="18" x14ac:dyDescent="0.25">
      <c r="A107" s="770"/>
      <c r="B107" s="1045"/>
      <c r="C107" s="1017"/>
      <c r="D107" s="459" t="s">
        <v>135</v>
      </c>
      <c r="E107" s="1014"/>
      <c r="F107" s="389">
        <v>2395</v>
      </c>
      <c r="G107" s="389" t="s">
        <v>22</v>
      </c>
      <c r="H107" s="391"/>
      <c r="I107" s="429">
        <f t="shared" si="26"/>
        <v>0</v>
      </c>
      <c r="J107" s="722"/>
      <c r="K107" s="803"/>
      <c r="L107" s="660"/>
      <c r="M107" s="1017"/>
      <c r="N107" s="459" t="s">
        <v>111</v>
      </c>
      <c r="O107" s="1014"/>
      <c r="P107" s="409">
        <v>2821</v>
      </c>
      <c r="Q107" s="410" t="s">
        <v>23</v>
      </c>
      <c r="R107" s="391"/>
      <c r="S107" s="484">
        <f t="shared" si="27"/>
        <v>0</v>
      </c>
      <c r="T107" s="677"/>
      <c r="U107" s="709"/>
      <c r="V107" s="441"/>
      <c r="W107" s="773"/>
      <c r="X107" s="773"/>
      <c r="Y107" s="773"/>
      <c r="Z107" s="773"/>
      <c r="AA107" s="773"/>
      <c r="AB107" s="773"/>
      <c r="AC107" s="773"/>
      <c r="AD107" s="773"/>
      <c r="AE107" s="773"/>
      <c r="AF107" s="773"/>
      <c r="AG107" s="773"/>
      <c r="AH107" s="773"/>
      <c r="AI107" s="773"/>
      <c r="AJ107" s="773"/>
      <c r="AK107" s="773"/>
      <c r="AL107" s="773"/>
      <c r="AM107" s="773"/>
      <c r="AN107" s="773"/>
      <c r="AO107" s="773"/>
      <c r="AP107" s="773"/>
      <c r="AQ107" s="773"/>
      <c r="AR107" s="773"/>
      <c r="AS107" s="773"/>
      <c r="AT107" s="773"/>
      <c r="AU107" s="773"/>
      <c r="AV107" s="773"/>
      <c r="AW107" s="773"/>
      <c r="AX107" s="773"/>
      <c r="AY107" s="773"/>
      <c r="AZ107" s="773"/>
      <c r="BA107" s="773"/>
      <c r="BB107" s="773"/>
      <c r="BC107" s="773"/>
      <c r="BD107" s="773"/>
      <c r="BE107" s="773"/>
      <c r="BF107" s="773"/>
      <c r="BG107" s="773"/>
      <c r="BH107" s="773"/>
      <c r="BI107" s="773"/>
      <c r="BJ107" s="773"/>
      <c r="BK107" s="773"/>
      <c r="BL107" s="773"/>
      <c r="BM107" s="773"/>
      <c r="BN107" s="773"/>
      <c r="BO107" s="773"/>
      <c r="BP107" s="773"/>
      <c r="BQ107" s="773"/>
      <c r="BR107" s="773"/>
      <c r="BS107" s="773"/>
      <c r="BT107" s="773"/>
      <c r="BU107" s="773"/>
      <c r="BV107" s="773"/>
    </row>
    <row r="108" spans="1:74" s="439" customFormat="1" ht="18" x14ac:dyDescent="0.25">
      <c r="A108" s="770"/>
      <c r="B108" s="1045"/>
      <c r="C108" s="1017"/>
      <c r="D108" s="459" t="s">
        <v>136</v>
      </c>
      <c r="E108" s="1014"/>
      <c r="F108" s="389">
        <v>2395</v>
      </c>
      <c r="G108" s="389" t="s">
        <v>22</v>
      </c>
      <c r="H108" s="391"/>
      <c r="I108" s="429">
        <f t="shared" si="26"/>
        <v>0</v>
      </c>
      <c r="J108" s="722"/>
      <c r="K108" s="722"/>
      <c r="L108" s="660"/>
      <c r="M108" s="1017"/>
      <c r="N108" s="459" t="s">
        <v>112</v>
      </c>
      <c r="O108" s="1014"/>
      <c r="P108" s="409">
        <v>2821</v>
      </c>
      <c r="Q108" s="410" t="s">
        <v>23</v>
      </c>
      <c r="R108" s="391"/>
      <c r="S108" s="484">
        <f t="shared" si="27"/>
        <v>0</v>
      </c>
      <c r="T108" s="677"/>
      <c r="U108" s="677"/>
      <c r="V108" s="441"/>
      <c r="W108" s="773"/>
      <c r="X108" s="773"/>
      <c r="Y108" s="773"/>
      <c r="Z108" s="773"/>
      <c r="AA108" s="773"/>
      <c r="AB108" s="773"/>
      <c r="AC108" s="773"/>
      <c r="AD108" s="773"/>
      <c r="AE108" s="773"/>
      <c r="AF108" s="773"/>
      <c r="AG108" s="773"/>
      <c r="AH108" s="773"/>
      <c r="AI108" s="773"/>
      <c r="AJ108" s="773"/>
      <c r="AK108" s="773"/>
      <c r="AL108" s="773"/>
      <c r="AM108" s="773"/>
      <c r="AN108" s="773"/>
      <c r="AO108" s="773"/>
      <c r="AP108" s="773"/>
      <c r="AQ108" s="773"/>
      <c r="AR108" s="773"/>
      <c r="AS108" s="773"/>
      <c r="AT108" s="773"/>
      <c r="AU108" s="773"/>
      <c r="AV108" s="773"/>
      <c r="AW108" s="773"/>
      <c r="AX108" s="773"/>
      <c r="AY108" s="773"/>
      <c r="AZ108" s="773"/>
      <c r="BA108" s="773"/>
      <c r="BB108" s="773"/>
      <c r="BC108" s="773"/>
      <c r="BD108" s="773"/>
      <c r="BE108" s="773"/>
      <c r="BF108" s="773"/>
      <c r="BG108" s="773"/>
      <c r="BH108" s="773"/>
      <c r="BI108" s="773"/>
      <c r="BJ108" s="773"/>
      <c r="BK108" s="773"/>
      <c r="BL108" s="773"/>
      <c r="BM108" s="773"/>
      <c r="BN108" s="773"/>
      <c r="BO108" s="773"/>
      <c r="BP108" s="773"/>
      <c r="BQ108" s="773"/>
      <c r="BR108" s="773"/>
      <c r="BS108" s="773"/>
      <c r="BT108" s="773"/>
      <c r="BU108" s="773"/>
      <c r="BV108" s="773"/>
    </row>
    <row r="109" spans="1:74" s="439" customFormat="1" ht="18" x14ac:dyDescent="0.25">
      <c r="A109" s="770"/>
      <c r="B109" s="1045"/>
      <c r="C109" s="1017"/>
      <c r="D109" s="459" t="s">
        <v>137</v>
      </c>
      <c r="E109" s="1014"/>
      <c r="F109" s="389">
        <v>2395</v>
      </c>
      <c r="G109" s="389" t="s">
        <v>22</v>
      </c>
      <c r="H109" s="391"/>
      <c r="I109" s="429">
        <f t="shared" si="26"/>
        <v>0</v>
      </c>
      <c r="J109" s="722"/>
      <c r="K109" s="722"/>
      <c r="L109" s="660"/>
      <c r="M109" s="1017"/>
      <c r="N109" s="459" t="s">
        <v>113</v>
      </c>
      <c r="O109" s="1014"/>
      <c r="P109" s="409">
        <v>2821</v>
      </c>
      <c r="Q109" s="410" t="s">
        <v>23</v>
      </c>
      <c r="R109" s="391"/>
      <c r="S109" s="484">
        <f t="shared" si="27"/>
        <v>0</v>
      </c>
      <c r="T109" s="709"/>
      <c r="U109" s="709"/>
      <c r="V109" s="441"/>
      <c r="W109" s="773"/>
      <c r="X109" s="773"/>
      <c r="Y109" s="773"/>
      <c r="Z109" s="773"/>
      <c r="AA109" s="773"/>
      <c r="AB109" s="773"/>
      <c r="AC109" s="773"/>
      <c r="AD109" s="773"/>
      <c r="AE109" s="773"/>
      <c r="AF109" s="773"/>
      <c r="AG109" s="773"/>
      <c r="AH109" s="773"/>
      <c r="AI109" s="773"/>
      <c r="AJ109" s="773"/>
      <c r="AK109" s="773"/>
      <c r="AL109" s="773"/>
      <c r="AM109" s="773"/>
      <c r="AN109" s="773"/>
      <c r="AO109" s="773"/>
      <c r="AP109" s="773"/>
      <c r="AQ109" s="773"/>
      <c r="AR109" s="773"/>
      <c r="AS109" s="773"/>
      <c r="AT109" s="773"/>
      <c r="AU109" s="773"/>
      <c r="AV109" s="773"/>
      <c r="AW109" s="773"/>
      <c r="AX109" s="773"/>
      <c r="AY109" s="773"/>
      <c r="AZ109" s="773"/>
      <c r="BA109" s="773"/>
      <c r="BB109" s="773"/>
      <c r="BC109" s="773"/>
      <c r="BD109" s="773"/>
      <c r="BE109" s="773"/>
      <c r="BF109" s="773"/>
      <c r="BG109" s="773"/>
      <c r="BH109" s="773"/>
      <c r="BI109" s="773"/>
      <c r="BJ109" s="773"/>
      <c r="BK109" s="773"/>
      <c r="BL109" s="773"/>
      <c r="BM109" s="773"/>
      <c r="BN109" s="773"/>
      <c r="BO109" s="773"/>
      <c r="BP109" s="773"/>
      <c r="BQ109" s="773"/>
      <c r="BR109" s="773"/>
      <c r="BS109" s="773"/>
      <c r="BT109" s="773"/>
      <c r="BU109" s="773"/>
      <c r="BV109" s="773"/>
    </row>
    <row r="110" spans="1:74" s="439" customFormat="1" ht="18" x14ac:dyDescent="0.25">
      <c r="A110" s="770"/>
      <c r="B110" s="1045"/>
      <c r="C110" s="1017"/>
      <c r="D110" s="459" t="s">
        <v>138</v>
      </c>
      <c r="E110" s="1014"/>
      <c r="F110" s="389">
        <v>2395</v>
      </c>
      <c r="G110" s="389" t="s">
        <v>22</v>
      </c>
      <c r="H110" s="391"/>
      <c r="I110" s="429">
        <f t="shared" si="26"/>
        <v>0</v>
      </c>
      <c r="J110" s="722"/>
      <c r="K110" s="722"/>
      <c r="L110" s="660"/>
      <c r="M110" s="1017"/>
      <c r="N110" s="459" t="s">
        <v>114</v>
      </c>
      <c r="O110" s="1014"/>
      <c r="P110" s="409">
        <v>2821</v>
      </c>
      <c r="Q110" s="410" t="s">
        <v>23</v>
      </c>
      <c r="R110" s="391"/>
      <c r="S110" s="484">
        <f t="shared" si="27"/>
        <v>0</v>
      </c>
      <c r="T110" s="386"/>
      <c r="U110" s="709"/>
      <c r="V110" s="441"/>
      <c r="W110" s="773"/>
      <c r="X110" s="773"/>
      <c r="Y110" s="773"/>
      <c r="Z110" s="773"/>
      <c r="AA110" s="773"/>
      <c r="AB110" s="773"/>
      <c r="AC110" s="773"/>
      <c r="AD110" s="773"/>
      <c r="AE110" s="773"/>
      <c r="AF110" s="773"/>
      <c r="AG110" s="773"/>
      <c r="AH110" s="773"/>
      <c r="AI110" s="773"/>
      <c r="AJ110" s="773"/>
      <c r="AK110" s="773"/>
      <c r="AL110" s="773"/>
      <c r="AM110" s="773"/>
      <c r="AN110" s="773"/>
      <c r="AO110" s="773"/>
      <c r="AP110" s="773"/>
      <c r="AQ110" s="773"/>
      <c r="AR110" s="773"/>
      <c r="AS110" s="773"/>
      <c r="AT110" s="773"/>
      <c r="AU110" s="773"/>
      <c r="AV110" s="773"/>
      <c r="AW110" s="773"/>
      <c r="AX110" s="773"/>
      <c r="AY110" s="773"/>
      <c r="AZ110" s="773"/>
      <c r="BA110" s="773"/>
      <c r="BB110" s="773"/>
      <c r="BC110" s="773"/>
      <c r="BD110" s="773"/>
      <c r="BE110" s="773"/>
      <c r="BF110" s="773"/>
      <c r="BG110" s="773"/>
      <c r="BH110" s="773"/>
      <c r="BI110" s="773"/>
      <c r="BJ110" s="773"/>
      <c r="BK110" s="773"/>
      <c r="BL110" s="773"/>
      <c r="BM110" s="773"/>
      <c r="BN110" s="773"/>
      <c r="BO110" s="773"/>
      <c r="BP110" s="773"/>
      <c r="BQ110" s="773"/>
      <c r="BR110" s="773"/>
      <c r="BS110" s="773"/>
      <c r="BT110" s="773"/>
      <c r="BU110" s="773"/>
      <c r="BV110" s="773"/>
    </row>
    <row r="111" spans="1:74" s="439" customFormat="1" ht="18" x14ac:dyDescent="0.25">
      <c r="A111" s="770"/>
      <c r="B111" s="1045"/>
      <c r="C111" s="1017"/>
      <c r="D111" s="459" t="s">
        <v>139</v>
      </c>
      <c r="E111" s="1014"/>
      <c r="F111" s="389">
        <v>2395</v>
      </c>
      <c r="G111" s="389" t="s">
        <v>22</v>
      </c>
      <c r="H111" s="391"/>
      <c r="I111" s="429">
        <f t="shared" si="26"/>
        <v>0</v>
      </c>
      <c r="J111" s="697"/>
      <c r="K111" s="696"/>
      <c r="L111" s="660"/>
      <c r="M111" s="1017"/>
      <c r="N111" s="459" t="s">
        <v>115</v>
      </c>
      <c r="O111" s="1014"/>
      <c r="P111" s="409">
        <v>2821</v>
      </c>
      <c r="Q111" s="410" t="s">
        <v>23</v>
      </c>
      <c r="R111" s="390"/>
      <c r="S111" s="484">
        <f t="shared" si="27"/>
        <v>0</v>
      </c>
      <c r="T111" s="729"/>
      <c r="U111" s="677"/>
      <c r="V111" s="441"/>
      <c r="W111" s="773"/>
      <c r="X111" s="773"/>
      <c r="Y111" s="773"/>
      <c r="Z111" s="773"/>
      <c r="AA111" s="773"/>
      <c r="AB111" s="773"/>
      <c r="AC111" s="773"/>
      <c r="AD111" s="773"/>
      <c r="AE111" s="773"/>
      <c r="AF111" s="773"/>
      <c r="AG111" s="773"/>
      <c r="AH111" s="773"/>
      <c r="AI111" s="773"/>
      <c r="AJ111" s="773"/>
      <c r="AK111" s="773"/>
      <c r="AL111" s="773"/>
      <c r="AM111" s="773"/>
      <c r="AN111" s="773"/>
      <c r="AO111" s="773"/>
      <c r="AP111" s="773"/>
      <c r="AQ111" s="773"/>
      <c r="AR111" s="773"/>
      <c r="AS111" s="773"/>
      <c r="AT111" s="773"/>
      <c r="AU111" s="773"/>
      <c r="AV111" s="773"/>
      <c r="AW111" s="773"/>
      <c r="AX111" s="773"/>
      <c r="AY111" s="773"/>
      <c r="AZ111" s="773"/>
      <c r="BA111" s="773"/>
      <c r="BB111" s="773"/>
      <c r="BC111" s="773"/>
      <c r="BD111" s="773"/>
      <c r="BE111" s="773"/>
      <c r="BF111" s="773"/>
      <c r="BG111" s="773"/>
      <c r="BH111" s="773"/>
      <c r="BI111" s="773"/>
      <c r="BJ111" s="773"/>
      <c r="BK111" s="773"/>
      <c r="BL111" s="773"/>
      <c r="BM111" s="773"/>
      <c r="BN111" s="773"/>
      <c r="BO111" s="773"/>
      <c r="BP111" s="773"/>
      <c r="BQ111" s="773"/>
      <c r="BR111" s="773"/>
      <c r="BS111" s="773"/>
      <c r="BT111" s="773"/>
      <c r="BU111" s="773"/>
      <c r="BV111" s="773"/>
    </row>
    <row r="112" spans="1:74" s="439" customFormat="1" ht="18" x14ac:dyDescent="0.25">
      <c r="A112" s="770"/>
      <c r="B112" s="1045"/>
      <c r="C112" s="1018"/>
      <c r="D112" s="462" t="s">
        <v>140</v>
      </c>
      <c r="E112" s="1014"/>
      <c r="F112" s="404">
        <v>2395</v>
      </c>
      <c r="G112" s="404" t="s">
        <v>22</v>
      </c>
      <c r="H112" s="391"/>
      <c r="I112" s="429">
        <f t="shared" si="26"/>
        <v>0</v>
      </c>
      <c r="J112" s="697"/>
      <c r="K112" s="697"/>
      <c r="L112" s="660"/>
      <c r="M112" s="1018"/>
      <c r="N112" s="462" t="s">
        <v>116</v>
      </c>
      <c r="O112" s="1014"/>
      <c r="P112" s="411">
        <v>2821</v>
      </c>
      <c r="Q112" s="412" t="s">
        <v>23</v>
      </c>
      <c r="R112" s="394"/>
      <c r="S112" s="484">
        <f t="shared" si="27"/>
        <v>0</v>
      </c>
      <c r="T112" s="670"/>
      <c r="U112" s="677"/>
      <c r="V112" s="441"/>
      <c r="W112" s="773"/>
      <c r="X112" s="773"/>
      <c r="Y112" s="773"/>
      <c r="Z112" s="773"/>
      <c r="AA112" s="773"/>
      <c r="AB112" s="773"/>
      <c r="AC112" s="773"/>
      <c r="AD112" s="773"/>
      <c r="AE112" s="773"/>
      <c r="AF112" s="773"/>
      <c r="AG112" s="773"/>
      <c r="AH112" s="773"/>
      <c r="AI112" s="773"/>
      <c r="AJ112" s="773"/>
      <c r="AK112" s="773"/>
      <c r="AL112" s="773"/>
      <c r="AM112" s="773"/>
      <c r="AN112" s="773"/>
      <c r="AO112" s="773"/>
      <c r="AP112" s="773"/>
      <c r="AQ112" s="773"/>
      <c r="AR112" s="773"/>
      <c r="AS112" s="773"/>
      <c r="AT112" s="773"/>
      <c r="AU112" s="773"/>
      <c r="AV112" s="773"/>
      <c r="AW112" s="773"/>
      <c r="AX112" s="773"/>
      <c r="AY112" s="773"/>
      <c r="AZ112" s="773"/>
      <c r="BA112" s="773"/>
      <c r="BB112" s="773"/>
      <c r="BC112" s="773"/>
      <c r="BD112" s="773"/>
      <c r="BE112" s="773"/>
      <c r="BF112" s="773"/>
      <c r="BG112" s="773"/>
      <c r="BH112" s="773"/>
      <c r="BI112" s="773"/>
      <c r="BJ112" s="773"/>
      <c r="BK112" s="773"/>
      <c r="BL112" s="773"/>
      <c r="BM112" s="773"/>
      <c r="BN112" s="773"/>
      <c r="BO112" s="773"/>
      <c r="BP112" s="773"/>
      <c r="BQ112" s="773"/>
      <c r="BR112" s="773"/>
      <c r="BS112" s="773"/>
      <c r="BT112" s="773"/>
      <c r="BU112" s="773"/>
      <c r="BV112" s="773"/>
    </row>
    <row r="113" spans="1:74" s="439" customFormat="1" ht="36" customHeight="1" x14ac:dyDescent="0.25">
      <c r="A113" s="770"/>
      <c r="B113" s="1046"/>
      <c r="C113" s="1041" t="s">
        <v>99</v>
      </c>
      <c r="D113" s="1057"/>
      <c r="E113" s="788">
        <f>E105*12*0.62/100</f>
        <v>595.20000000000005</v>
      </c>
      <c r="F113" s="1034" t="s">
        <v>100</v>
      </c>
      <c r="G113" s="1035"/>
      <c r="H113" s="421">
        <f>+SUM(H105:H112)</f>
        <v>0</v>
      </c>
      <c r="I113" s="422">
        <f>+SUM(I105:I112)</f>
        <v>0</v>
      </c>
      <c r="J113" s="658"/>
      <c r="K113" s="658"/>
      <c r="L113" s="658"/>
      <c r="M113" s="1041" t="s">
        <v>99</v>
      </c>
      <c r="N113" s="1052"/>
      <c r="O113" s="424">
        <f>O105*12*0.65/100</f>
        <v>1170</v>
      </c>
      <c r="P113" s="1029" t="s">
        <v>100</v>
      </c>
      <c r="Q113" s="1030"/>
      <c r="R113" s="425">
        <f>+SUM(R105:R112)</f>
        <v>0</v>
      </c>
      <c r="S113" s="422">
        <f>+SUM(S105:S112)</f>
        <v>0</v>
      </c>
      <c r="T113" s="669"/>
      <c r="U113" s="671"/>
      <c r="V113" s="658"/>
      <c r="W113" s="773"/>
      <c r="X113" s="773"/>
      <c r="Y113" s="773"/>
      <c r="Z113" s="773"/>
      <c r="AA113" s="773"/>
      <c r="AB113" s="773"/>
      <c r="AC113" s="773"/>
      <c r="AD113" s="773"/>
      <c r="AE113" s="773"/>
      <c r="AF113" s="773"/>
      <c r="AG113" s="773"/>
      <c r="AH113" s="773"/>
      <c r="AI113" s="773"/>
      <c r="AJ113" s="773"/>
      <c r="AK113" s="773"/>
      <c r="AL113" s="773"/>
      <c r="AM113" s="773"/>
      <c r="AN113" s="773"/>
      <c r="AO113" s="773"/>
      <c r="AP113" s="773"/>
      <c r="AQ113" s="773"/>
      <c r="AR113" s="773"/>
      <c r="AS113" s="773"/>
      <c r="AT113" s="773"/>
      <c r="AU113" s="773"/>
      <c r="AV113" s="773"/>
      <c r="AW113" s="773"/>
      <c r="AX113" s="773"/>
      <c r="AY113" s="773"/>
      <c r="AZ113" s="773"/>
      <c r="BA113" s="773"/>
      <c r="BB113" s="773"/>
      <c r="BC113" s="773"/>
      <c r="BD113" s="773"/>
      <c r="BE113" s="773"/>
      <c r="BF113" s="773"/>
      <c r="BG113" s="773"/>
      <c r="BH113" s="773"/>
      <c r="BI113" s="773"/>
      <c r="BJ113" s="773"/>
      <c r="BK113" s="773"/>
      <c r="BL113" s="773"/>
      <c r="BM113" s="773"/>
      <c r="BN113" s="773"/>
      <c r="BO113" s="773"/>
      <c r="BP113" s="773"/>
      <c r="BQ113" s="773"/>
      <c r="BR113" s="773"/>
      <c r="BS113" s="773"/>
      <c r="BT113" s="773"/>
      <c r="BU113" s="773"/>
      <c r="BV113" s="773"/>
    </row>
    <row r="114" spans="1:74" s="439" customFormat="1" ht="18" x14ac:dyDescent="0.25">
      <c r="A114" s="770"/>
      <c r="B114" s="1044">
        <f>+B87+1</f>
        <v>46094</v>
      </c>
      <c r="C114" s="1053">
        <v>1</v>
      </c>
      <c r="D114" s="470" t="s">
        <v>91</v>
      </c>
      <c r="E114" s="1031">
        <v>15000</v>
      </c>
      <c r="F114" s="402">
        <v>2395</v>
      </c>
      <c r="G114" s="402" t="s">
        <v>22</v>
      </c>
      <c r="H114" s="420"/>
      <c r="I114" s="706">
        <f t="shared" ref="I114:I121" si="28">IF(F114=2395, H114*12*0.62/100, IF(F114=1564, H114*12*0.65/100, ""))</f>
        <v>0</v>
      </c>
      <c r="J114" s="696"/>
      <c r="K114" s="696"/>
      <c r="L114" s="660"/>
      <c r="M114" s="1053">
        <f>+C114</f>
        <v>1</v>
      </c>
      <c r="N114" s="470" t="s">
        <v>91</v>
      </c>
      <c r="O114" s="1031">
        <v>28500</v>
      </c>
      <c r="P114" s="408">
        <v>2821</v>
      </c>
      <c r="Q114" s="408" t="s">
        <v>23</v>
      </c>
      <c r="R114" s="420"/>
      <c r="S114" s="484">
        <f t="shared" ref="S114:S121" si="29">IF(P114=6843, R114*12*0.62/100,IF(P114=2821, R114*12*0.63/100,IF(P114=6842, R114*12*0.63/100,IF(P114=1564, R114*12*0.65/100, ""))))</f>
        <v>0</v>
      </c>
      <c r="T114" s="684"/>
      <c r="U114" s="679"/>
      <c r="V114" s="438"/>
      <c r="W114" s="773"/>
      <c r="X114" s="773"/>
      <c r="Y114" s="773"/>
      <c r="Z114" s="773"/>
      <c r="AA114" s="773"/>
      <c r="AB114" s="773"/>
      <c r="AC114" s="773"/>
      <c r="AD114" s="773"/>
      <c r="AE114" s="773"/>
      <c r="AF114" s="773"/>
      <c r="AG114" s="773"/>
      <c r="AH114" s="773"/>
      <c r="AI114" s="773"/>
      <c r="AJ114" s="773"/>
      <c r="AK114" s="773"/>
      <c r="AL114" s="773"/>
      <c r="AM114" s="773"/>
      <c r="AN114" s="773"/>
      <c r="AO114" s="773"/>
      <c r="AP114" s="773"/>
      <c r="AQ114" s="773"/>
      <c r="AR114" s="773"/>
      <c r="AS114" s="773"/>
      <c r="AT114" s="773"/>
      <c r="AU114" s="773"/>
      <c r="AV114" s="773"/>
      <c r="AW114" s="773"/>
      <c r="AX114" s="773"/>
      <c r="AY114" s="773"/>
      <c r="AZ114" s="773"/>
      <c r="BA114" s="773"/>
      <c r="BB114" s="773"/>
      <c r="BC114" s="773"/>
      <c r="BD114" s="773"/>
      <c r="BE114" s="773"/>
      <c r="BF114" s="773"/>
      <c r="BG114" s="773"/>
      <c r="BH114" s="773"/>
      <c r="BI114" s="773"/>
      <c r="BJ114" s="773"/>
      <c r="BK114" s="773"/>
      <c r="BL114" s="773"/>
      <c r="BM114" s="773"/>
      <c r="BN114" s="773"/>
      <c r="BO114" s="773"/>
      <c r="BP114" s="773"/>
      <c r="BQ114" s="773"/>
      <c r="BR114" s="773"/>
      <c r="BS114" s="773"/>
      <c r="BT114" s="773"/>
      <c r="BU114" s="773"/>
      <c r="BV114" s="773"/>
    </row>
    <row r="115" spans="1:74" s="439" customFormat="1" ht="18" x14ac:dyDescent="0.25">
      <c r="A115" s="770"/>
      <c r="B115" s="1045"/>
      <c r="C115" s="1053"/>
      <c r="D115" s="471" t="s">
        <v>92</v>
      </c>
      <c r="E115" s="1032"/>
      <c r="F115" s="389">
        <v>2395</v>
      </c>
      <c r="G115" s="389" t="s">
        <v>22</v>
      </c>
      <c r="H115" s="420"/>
      <c r="I115" s="706">
        <f t="shared" si="28"/>
        <v>0</v>
      </c>
      <c r="J115" s="696"/>
      <c r="K115" s="696"/>
      <c r="L115" s="660"/>
      <c r="M115" s="1053"/>
      <c r="N115" s="471" t="s">
        <v>92</v>
      </c>
      <c r="O115" s="1032"/>
      <c r="P115" s="409">
        <v>2821</v>
      </c>
      <c r="Q115" s="410" t="s">
        <v>23</v>
      </c>
      <c r="R115" s="420"/>
      <c r="S115" s="484">
        <f t="shared" si="29"/>
        <v>0</v>
      </c>
      <c r="T115" s="670"/>
      <c r="U115" s="685"/>
      <c r="V115" s="438"/>
      <c r="W115" s="773"/>
      <c r="X115" s="773"/>
      <c r="Y115" s="773"/>
      <c r="Z115" s="773"/>
      <c r="AA115" s="773"/>
      <c r="AB115" s="773"/>
      <c r="AC115" s="773"/>
      <c r="AD115" s="773"/>
      <c r="AE115" s="773"/>
      <c r="AF115" s="773"/>
      <c r="AG115" s="773"/>
      <c r="AH115" s="773"/>
      <c r="AI115" s="773"/>
      <c r="AJ115" s="773"/>
      <c r="AK115" s="773"/>
      <c r="AL115" s="773"/>
      <c r="AM115" s="773"/>
      <c r="AN115" s="773"/>
      <c r="AO115" s="773"/>
      <c r="AP115" s="773"/>
      <c r="AQ115" s="773"/>
      <c r="AR115" s="773"/>
      <c r="AS115" s="773"/>
      <c r="AT115" s="773"/>
      <c r="AU115" s="773"/>
      <c r="AV115" s="773"/>
      <c r="AW115" s="773"/>
      <c r="AX115" s="773"/>
      <c r="AY115" s="773"/>
      <c r="AZ115" s="773"/>
      <c r="BA115" s="773"/>
      <c r="BB115" s="773"/>
      <c r="BC115" s="773"/>
      <c r="BD115" s="773"/>
      <c r="BE115" s="773"/>
      <c r="BF115" s="773"/>
      <c r="BG115" s="773"/>
      <c r="BH115" s="773"/>
      <c r="BI115" s="773"/>
      <c r="BJ115" s="773"/>
      <c r="BK115" s="773"/>
      <c r="BL115" s="773"/>
      <c r="BM115" s="773"/>
      <c r="BN115" s="773"/>
      <c r="BO115" s="773"/>
      <c r="BP115" s="773"/>
      <c r="BQ115" s="773"/>
      <c r="BR115" s="773"/>
      <c r="BS115" s="773"/>
      <c r="BT115" s="773"/>
      <c r="BU115" s="773"/>
      <c r="BV115" s="773"/>
    </row>
    <row r="116" spans="1:74" s="439" customFormat="1" ht="18" x14ac:dyDescent="0.25">
      <c r="A116" s="770"/>
      <c r="B116" s="1045"/>
      <c r="C116" s="1053"/>
      <c r="D116" s="471" t="s">
        <v>93</v>
      </c>
      <c r="E116" s="1032"/>
      <c r="F116" s="389">
        <v>2395</v>
      </c>
      <c r="G116" s="389" t="s">
        <v>22</v>
      </c>
      <c r="H116" s="420"/>
      <c r="I116" s="706">
        <f t="shared" si="28"/>
        <v>0</v>
      </c>
      <c r="J116" s="696"/>
      <c r="K116" s="696"/>
      <c r="L116" s="660"/>
      <c r="M116" s="1053"/>
      <c r="N116" s="471" t="s">
        <v>93</v>
      </c>
      <c r="O116" s="1032"/>
      <c r="P116" s="409">
        <v>2821</v>
      </c>
      <c r="Q116" s="410" t="s">
        <v>23</v>
      </c>
      <c r="R116" s="420"/>
      <c r="S116" s="484">
        <f t="shared" si="29"/>
        <v>0</v>
      </c>
      <c r="T116" s="670"/>
      <c r="U116" s="683"/>
      <c r="V116" s="436"/>
      <c r="W116" s="773"/>
      <c r="X116" s="773"/>
      <c r="Y116" s="773"/>
      <c r="Z116" s="773"/>
      <c r="AA116" s="773"/>
      <c r="AB116" s="773"/>
      <c r="AC116" s="773"/>
      <c r="AD116" s="773"/>
      <c r="AE116" s="773"/>
      <c r="AF116" s="773"/>
      <c r="AG116" s="773"/>
      <c r="AH116" s="773"/>
      <c r="AI116" s="773"/>
      <c r="AJ116" s="773"/>
      <c r="AK116" s="773"/>
      <c r="AL116" s="773"/>
      <c r="AM116" s="773"/>
      <c r="AN116" s="773"/>
      <c r="AO116" s="773"/>
      <c r="AP116" s="773"/>
      <c r="AQ116" s="773"/>
      <c r="AR116" s="773"/>
      <c r="AS116" s="773"/>
      <c r="AT116" s="773"/>
      <c r="AU116" s="773"/>
      <c r="AV116" s="773"/>
      <c r="AW116" s="773"/>
      <c r="AX116" s="773"/>
      <c r="AY116" s="773"/>
      <c r="AZ116" s="773"/>
      <c r="BA116" s="773"/>
      <c r="BB116" s="773"/>
      <c r="BC116" s="773"/>
      <c r="BD116" s="773"/>
      <c r="BE116" s="773"/>
      <c r="BF116" s="773"/>
      <c r="BG116" s="773"/>
      <c r="BH116" s="773"/>
      <c r="BI116" s="773"/>
      <c r="BJ116" s="773"/>
      <c r="BK116" s="773"/>
      <c r="BL116" s="773"/>
      <c r="BM116" s="773"/>
      <c r="BN116" s="773"/>
      <c r="BO116" s="773"/>
      <c r="BP116" s="773"/>
      <c r="BQ116" s="773"/>
      <c r="BR116" s="773"/>
      <c r="BS116" s="773"/>
      <c r="BT116" s="773"/>
      <c r="BU116" s="773"/>
      <c r="BV116" s="773"/>
    </row>
    <row r="117" spans="1:74" s="439" customFormat="1" ht="18" x14ac:dyDescent="0.25">
      <c r="A117" s="770"/>
      <c r="B117" s="1045"/>
      <c r="C117" s="1053"/>
      <c r="D117" s="471" t="s">
        <v>94</v>
      </c>
      <c r="E117" s="1032"/>
      <c r="F117" s="389">
        <v>2395</v>
      </c>
      <c r="G117" s="389" t="s">
        <v>22</v>
      </c>
      <c r="H117" s="420"/>
      <c r="I117" s="706">
        <f t="shared" si="28"/>
        <v>0</v>
      </c>
      <c r="J117" s="696"/>
      <c r="K117" s="696"/>
      <c r="L117" s="660"/>
      <c r="M117" s="1053"/>
      <c r="N117" s="471" t="s">
        <v>94</v>
      </c>
      <c r="O117" s="1032"/>
      <c r="P117" s="409">
        <v>2821</v>
      </c>
      <c r="Q117" s="410" t="s">
        <v>23</v>
      </c>
      <c r="R117" s="420"/>
      <c r="S117" s="484">
        <f t="shared" si="29"/>
        <v>0</v>
      </c>
      <c r="T117" s="670"/>
      <c r="U117" s="670"/>
      <c r="V117" s="438"/>
      <c r="W117" s="773"/>
      <c r="X117" s="773"/>
      <c r="Y117" s="773"/>
      <c r="Z117" s="773"/>
      <c r="AA117" s="773"/>
      <c r="AB117" s="773"/>
      <c r="AC117" s="773"/>
      <c r="AD117" s="773"/>
      <c r="AE117" s="773"/>
      <c r="AF117" s="773"/>
      <c r="AG117" s="773"/>
      <c r="AH117" s="773"/>
      <c r="AI117" s="773"/>
      <c r="AJ117" s="773"/>
      <c r="AK117" s="773"/>
      <c r="AL117" s="773"/>
      <c r="AM117" s="773"/>
      <c r="AN117" s="773"/>
      <c r="AO117" s="773"/>
      <c r="AP117" s="773"/>
      <c r="AQ117" s="773"/>
      <c r="AR117" s="773"/>
      <c r="AS117" s="773"/>
      <c r="AT117" s="773"/>
      <c r="AU117" s="773"/>
      <c r="AV117" s="773"/>
      <c r="AW117" s="773"/>
      <c r="AX117" s="773"/>
      <c r="AY117" s="773"/>
      <c r="AZ117" s="773"/>
      <c r="BA117" s="773"/>
      <c r="BB117" s="773"/>
      <c r="BC117" s="773"/>
      <c r="BD117" s="773"/>
      <c r="BE117" s="773"/>
      <c r="BF117" s="773"/>
      <c r="BG117" s="773"/>
      <c r="BH117" s="773"/>
      <c r="BI117" s="773"/>
      <c r="BJ117" s="773"/>
      <c r="BK117" s="773"/>
      <c r="BL117" s="773"/>
      <c r="BM117" s="773"/>
      <c r="BN117" s="773"/>
      <c r="BO117" s="773"/>
      <c r="BP117" s="773"/>
      <c r="BQ117" s="773"/>
      <c r="BR117" s="773"/>
      <c r="BS117" s="773"/>
      <c r="BT117" s="773"/>
      <c r="BU117" s="773"/>
      <c r="BV117" s="773"/>
    </row>
    <row r="118" spans="1:74" s="439" customFormat="1" ht="18" x14ac:dyDescent="0.25">
      <c r="A118" s="770"/>
      <c r="B118" s="1045"/>
      <c r="C118" s="1053"/>
      <c r="D118" s="471" t="s">
        <v>95</v>
      </c>
      <c r="E118" s="1032"/>
      <c r="F118" s="389">
        <v>2395</v>
      </c>
      <c r="G118" s="389" t="s">
        <v>22</v>
      </c>
      <c r="H118" s="420"/>
      <c r="I118" s="706">
        <f t="shared" si="28"/>
        <v>0</v>
      </c>
      <c r="J118" s="696"/>
      <c r="K118" s="696"/>
      <c r="L118" s="660"/>
      <c r="M118" s="1053"/>
      <c r="N118" s="471" t="s">
        <v>95</v>
      </c>
      <c r="O118" s="1032"/>
      <c r="P118" s="409">
        <v>2821</v>
      </c>
      <c r="Q118" s="410" t="s">
        <v>23</v>
      </c>
      <c r="R118" s="420"/>
      <c r="S118" s="484">
        <f t="shared" si="29"/>
        <v>0</v>
      </c>
      <c r="T118" s="670"/>
      <c r="U118" s="670"/>
      <c r="V118" s="436"/>
      <c r="W118" s="773"/>
      <c r="X118" s="773"/>
      <c r="Y118" s="773"/>
      <c r="Z118" s="773"/>
      <c r="AA118" s="773"/>
      <c r="AB118" s="773"/>
      <c r="AC118" s="773"/>
      <c r="AD118" s="773"/>
      <c r="AE118" s="773"/>
      <c r="AF118" s="773"/>
      <c r="AG118" s="773"/>
      <c r="AH118" s="773"/>
      <c r="AI118" s="773"/>
      <c r="AJ118" s="773"/>
      <c r="AK118" s="773"/>
      <c r="AL118" s="773"/>
      <c r="AM118" s="773"/>
      <c r="AN118" s="773"/>
      <c r="AO118" s="773"/>
      <c r="AP118" s="773"/>
      <c r="AQ118" s="773"/>
      <c r="AR118" s="773"/>
      <c r="AS118" s="773"/>
      <c r="AT118" s="773"/>
      <c r="AU118" s="773"/>
      <c r="AV118" s="773"/>
      <c r="AW118" s="773"/>
      <c r="AX118" s="773"/>
      <c r="AY118" s="773"/>
      <c r="AZ118" s="773"/>
      <c r="BA118" s="773"/>
      <c r="BB118" s="773"/>
      <c r="BC118" s="773"/>
      <c r="BD118" s="773"/>
      <c r="BE118" s="773"/>
      <c r="BF118" s="773"/>
      <c r="BG118" s="773"/>
      <c r="BH118" s="773"/>
      <c r="BI118" s="773"/>
      <c r="BJ118" s="773"/>
      <c r="BK118" s="773"/>
      <c r="BL118" s="773"/>
      <c r="BM118" s="773"/>
      <c r="BN118" s="773"/>
      <c r="BO118" s="773"/>
      <c r="BP118" s="773"/>
      <c r="BQ118" s="773"/>
      <c r="BR118" s="773"/>
      <c r="BS118" s="773"/>
      <c r="BT118" s="773"/>
      <c r="BU118" s="773"/>
      <c r="BV118" s="773"/>
    </row>
    <row r="119" spans="1:74" s="439" customFormat="1" ht="18" x14ac:dyDescent="0.25">
      <c r="A119" s="770"/>
      <c r="B119" s="1045"/>
      <c r="C119" s="1053"/>
      <c r="D119" s="471" t="s">
        <v>96</v>
      </c>
      <c r="E119" s="1032"/>
      <c r="F119" s="389">
        <v>2395</v>
      </c>
      <c r="G119" s="389" t="s">
        <v>22</v>
      </c>
      <c r="H119" s="420"/>
      <c r="I119" s="706">
        <f t="shared" si="28"/>
        <v>0</v>
      </c>
      <c r="J119" s="696"/>
      <c r="K119" s="696"/>
      <c r="L119" s="660"/>
      <c r="M119" s="1053"/>
      <c r="N119" s="471" t="s">
        <v>96</v>
      </c>
      <c r="O119" s="1032"/>
      <c r="P119" s="409">
        <v>2821</v>
      </c>
      <c r="Q119" s="410" t="s">
        <v>23</v>
      </c>
      <c r="R119" s="420"/>
      <c r="S119" s="484">
        <f t="shared" si="29"/>
        <v>0</v>
      </c>
      <c r="T119" s="670"/>
      <c r="U119" s="670"/>
      <c r="V119" s="438"/>
      <c r="W119" s="773"/>
      <c r="X119" s="773"/>
      <c r="Y119" s="773"/>
      <c r="Z119" s="773"/>
      <c r="AA119" s="773"/>
      <c r="AB119" s="773"/>
      <c r="AC119" s="773"/>
      <c r="AD119" s="773"/>
      <c r="AE119" s="773"/>
      <c r="AF119" s="773"/>
      <c r="AG119" s="773"/>
      <c r="AH119" s="773"/>
      <c r="AI119" s="773"/>
      <c r="AJ119" s="773"/>
      <c r="AK119" s="773"/>
      <c r="AL119" s="773"/>
      <c r="AM119" s="773"/>
      <c r="AN119" s="773"/>
      <c r="AO119" s="773"/>
      <c r="AP119" s="773"/>
      <c r="AQ119" s="773"/>
      <c r="AR119" s="773"/>
      <c r="AS119" s="773"/>
      <c r="AT119" s="773"/>
      <c r="AU119" s="773"/>
      <c r="AV119" s="773"/>
      <c r="AW119" s="773"/>
      <c r="AX119" s="773"/>
      <c r="AY119" s="773"/>
      <c r="AZ119" s="773"/>
      <c r="BA119" s="773"/>
      <c r="BB119" s="773"/>
      <c r="BC119" s="773"/>
      <c r="BD119" s="773"/>
      <c r="BE119" s="773"/>
      <c r="BF119" s="773"/>
      <c r="BG119" s="773"/>
      <c r="BH119" s="773"/>
      <c r="BI119" s="773"/>
      <c r="BJ119" s="773"/>
      <c r="BK119" s="773"/>
      <c r="BL119" s="773"/>
      <c r="BM119" s="773"/>
      <c r="BN119" s="773"/>
      <c r="BO119" s="773"/>
      <c r="BP119" s="773"/>
      <c r="BQ119" s="773"/>
      <c r="BR119" s="773"/>
      <c r="BS119" s="773"/>
      <c r="BT119" s="773"/>
      <c r="BU119" s="773"/>
      <c r="BV119" s="773"/>
    </row>
    <row r="120" spans="1:74" s="439" customFormat="1" ht="18" x14ac:dyDescent="0.25">
      <c r="A120" s="770"/>
      <c r="B120" s="1045"/>
      <c r="C120" s="1053"/>
      <c r="D120" s="471" t="s">
        <v>97</v>
      </c>
      <c r="E120" s="1032"/>
      <c r="F120" s="389">
        <v>2395</v>
      </c>
      <c r="G120" s="389" t="s">
        <v>22</v>
      </c>
      <c r="H120" s="420"/>
      <c r="I120" s="706">
        <f t="shared" si="28"/>
        <v>0</v>
      </c>
      <c r="J120" s="696"/>
      <c r="K120" s="696"/>
      <c r="L120" s="660"/>
      <c r="M120" s="1053"/>
      <c r="N120" s="471" t="s">
        <v>97</v>
      </c>
      <c r="O120" s="1032"/>
      <c r="P120" s="409">
        <v>2821</v>
      </c>
      <c r="Q120" s="410" t="s">
        <v>23</v>
      </c>
      <c r="R120" s="420"/>
      <c r="S120" s="484">
        <f t="shared" si="29"/>
        <v>0</v>
      </c>
      <c r="T120" s="670"/>
      <c r="U120" s="670"/>
      <c r="V120" s="436"/>
      <c r="W120" s="773"/>
      <c r="X120" s="773"/>
      <c r="Y120" s="773"/>
      <c r="Z120" s="773"/>
      <c r="AA120" s="773"/>
      <c r="AB120" s="773"/>
      <c r="AC120" s="773"/>
      <c r="AD120" s="773"/>
      <c r="AE120" s="773"/>
      <c r="AF120" s="773"/>
      <c r="AG120" s="773"/>
      <c r="AH120" s="773"/>
      <c r="AI120" s="773"/>
      <c r="AJ120" s="773"/>
      <c r="AK120" s="773"/>
      <c r="AL120" s="773"/>
      <c r="AM120" s="773"/>
      <c r="AN120" s="773"/>
      <c r="AO120" s="773"/>
      <c r="AP120" s="773"/>
      <c r="AQ120" s="773"/>
      <c r="AR120" s="773"/>
      <c r="AS120" s="773"/>
      <c r="AT120" s="773"/>
      <c r="AU120" s="773"/>
      <c r="AV120" s="773"/>
      <c r="AW120" s="773"/>
      <c r="AX120" s="773"/>
      <c r="AY120" s="773"/>
      <c r="AZ120" s="773"/>
      <c r="BA120" s="773"/>
      <c r="BB120" s="773"/>
      <c r="BC120" s="773"/>
      <c r="BD120" s="773"/>
      <c r="BE120" s="773"/>
      <c r="BF120" s="773"/>
      <c r="BG120" s="773"/>
      <c r="BH120" s="773"/>
      <c r="BI120" s="773"/>
      <c r="BJ120" s="773"/>
      <c r="BK120" s="773"/>
      <c r="BL120" s="773"/>
      <c r="BM120" s="773"/>
      <c r="BN120" s="773"/>
      <c r="BO120" s="773"/>
      <c r="BP120" s="773"/>
      <c r="BQ120" s="773"/>
      <c r="BR120" s="773"/>
      <c r="BS120" s="773"/>
      <c r="BT120" s="773"/>
      <c r="BU120" s="773"/>
      <c r="BV120" s="773"/>
    </row>
    <row r="121" spans="1:74" s="439" customFormat="1" ht="18" x14ac:dyDescent="0.25">
      <c r="A121" s="770"/>
      <c r="B121" s="1045"/>
      <c r="C121" s="1053"/>
      <c r="D121" s="472" t="s">
        <v>98</v>
      </c>
      <c r="E121" s="1033"/>
      <c r="F121" s="404">
        <v>2395</v>
      </c>
      <c r="G121" s="404" t="s">
        <v>22</v>
      </c>
      <c r="H121" s="420"/>
      <c r="I121" s="706">
        <f t="shared" si="28"/>
        <v>0</v>
      </c>
      <c r="J121" s="696"/>
      <c r="K121" s="696"/>
      <c r="L121" s="660"/>
      <c r="M121" s="1053"/>
      <c r="N121" s="472" t="s">
        <v>98</v>
      </c>
      <c r="O121" s="1033"/>
      <c r="P121" s="411">
        <v>2821</v>
      </c>
      <c r="Q121" s="412" t="s">
        <v>23</v>
      </c>
      <c r="R121" s="440"/>
      <c r="S121" s="484">
        <f t="shared" si="29"/>
        <v>0</v>
      </c>
      <c r="T121" s="670"/>
      <c r="U121" s="670"/>
      <c r="V121" s="438"/>
      <c r="W121" s="773"/>
      <c r="X121" s="773"/>
      <c r="Y121" s="773"/>
      <c r="Z121" s="773"/>
      <c r="AA121" s="773"/>
      <c r="AB121" s="773"/>
      <c r="AC121" s="773"/>
      <c r="AD121" s="773"/>
      <c r="AE121" s="773"/>
      <c r="AF121" s="773"/>
      <c r="AG121" s="773"/>
      <c r="AH121" s="773"/>
      <c r="AI121" s="773"/>
      <c r="AJ121" s="773"/>
      <c r="AK121" s="773"/>
      <c r="AL121" s="773"/>
      <c r="AM121" s="773"/>
      <c r="AN121" s="773"/>
      <c r="AO121" s="773"/>
      <c r="AP121" s="773"/>
      <c r="AQ121" s="773"/>
      <c r="AR121" s="773"/>
      <c r="AS121" s="773"/>
      <c r="AT121" s="773"/>
      <c r="AU121" s="773"/>
      <c r="AV121" s="773"/>
      <c r="AW121" s="773"/>
      <c r="AX121" s="773"/>
      <c r="AY121" s="773"/>
      <c r="AZ121" s="773"/>
      <c r="BA121" s="773"/>
      <c r="BB121" s="773"/>
      <c r="BC121" s="773"/>
      <c r="BD121" s="773"/>
      <c r="BE121" s="773"/>
      <c r="BF121" s="773"/>
      <c r="BG121" s="773"/>
      <c r="BH121" s="773"/>
      <c r="BI121" s="773"/>
      <c r="BJ121" s="773"/>
      <c r="BK121" s="773"/>
      <c r="BL121" s="773"/>
      <c r="BM121" s="773"/>
      <c r="BN121" s="773"/>
      <c r="BO121" s="773"/>
      <c r="BP121" s="773"/>
      <c r="BQ121" s="773"/>
      <c r="BR121" s="773"/>
      <c r="BS121" s="773"/>
      <c r="BT121" s="773"/>
      <c r="BU121" s="773"/>
      <c r="BV121" s="773"/>
    </row>
    <row r="122" spans="1:74" s="439" customFormat="1" ht="18" x14ac:dyDescent="0.25">
      <c r="A122" s="770"/>
      <c r="B122" s="1045"/>
      <c r="C122" s="1048" t="s">
        <v>99</v>
      </c>
      <c r="D122" s="1054"/>
      <c r="E122" s="804">
        <f>E114*12*0.62/100</f>
        <v>1116</v>
      </c>
      <c r="F122" s="1056" t="s">
        <v>100</v>
      </c>
      <c r="G122" s="1056"/>
      <c r="H122" s="465">
        <f>+SUM(H114:H121)</f>
        <v>0</v>
      </c>
      <c r="I122" s="428">
        <f>+SUM(I114:I121)</f>
        <v>0</v>
      </c>
      <c r="J122" s="658"/>
      <c r="K122" s="658"/>
      <c r="L122" s="658"/>
      <c r="M122" s="1048" t="s">
        <v>99</v>
      </c>
      <c r="N122" s="1054"/>
      <c r="O122" s="804">
        <f>O114*12*0.65/100</f>
        <v>2223</v>
      </c>
      <c r="P122" s="1056" t="s">
        <v>100</v>
      </c>
      <c r="Q122" s="1056"/>
      <c r="R122" s="465">
        <f>+SUM(R114:R121)</f>
        <v>0</v>
      </c>
      <c r="S122" s="466">
        <f>+SUM(S114:S121)</f>
        <v>0</v>
      </c>
      <c r="T122" s="669"/>
      <c r="U122" s="671"/>
      <c r="V122" s="658"/>
      <c r="W122" s="773"/>
      <c r="X122" s="773"/>
      <c r="Y122" s="773"/>
      <c r="Z122" s="773"/>
      <c r="AA122" s="773"/>
      <c r="AB122" s="773"/>
      <c r="AC122" s="773"/>
      <c r="AD122" s="773"/>
      <c r="AE122" s="773"/>
      <c r="AF122" s="773"/>
      <c r="AG122" s="773"/>
      <c r="AH122" s="773"/>
      <c r="AI122" s="773"/>
      <c r="AJ122" s="773"/>
      <c r="AK122" s="773"/>
      <c r="AL122" s="773"/>
      <c r="AM122" s="773"/>
      <c r="AN122" s="773"/>
      <c r="AO122" s="773"/>
      <c r="AP122" s="773"/>
      <c r="AQ122" s="773"/>
      <c r="AR122" s="773"/>
      <c r="AS122" s="773"/>
      <c r="AT122" s="773"/>
      <c r="AU122" s="773"/>
      <c r="AV122" s="773"/>
      <c r="AW122" s="773"/>
      <c r="AX122" s="773"/>
      <c r="AY122" s="773"/>
      <c r="AZ122" s="773"/>
      <c r="BA122" s="773"/>
      <c r="BB122" s="773"/>
      <c r="BC122" s="773"/>
      <c r="BD122" s="773"/>
      <c r="BE122" s="773"/>
      <c r="BF122" s="773"/>
      <c r="BG122" s="773"/>
      <c r="BH122" s="773"/>
      <c r="BI122" s="773"/>
      <c r="BJ122" s="773"/>
      <c r="BK122" s="773"/>
      <c r="BL122" s="773"/>
      <c r="BM122" s="773"/>
      <c r="BN122" s="773"/>
      <c r="BO122" s="773"/>
      <c r="BP122" s="773"/>
      <c r="BQ122" s="773"/>
      <c r="BR122" s="773"/>
      <c r="BS122" s="773"/>
      <c r="BT122" s="773"/>
      <c r="BU122" s="773"/>
      <c r="BV122" s="773"/>
    </row>
    <row r="123" spans="1:74" s="439" customFormat="1" ht="18" x14ac:dyDescent="0.25">
      <c r="A123" s="770"/>
      <c r="B123" s="1045"/>
      <c r="C123" s="1010">
        <v>4</v>
      </c>
      <c r="D123" s="458" t="s">
        <v>101</v>
      </c>
      <c r="E123" s="1013">
        <v>15000</v>
      </c>
      <c r="F123" s="402">
        <v>2395</v>
      </c>
      <c r="G123" s="402" t="s">
        <v>22</v>
      </c>
      <c r="H123" s="395"/>
      <c r="I123" s="429">
        <f t="shared" ref="I123:I130" si="30">IF(F123=2395, H123*12*0.62/100, IF(F123=1564, H123*12*0.65/100, ""))</f>
        <v>0</v>
      </c>
      <c r="J123" s="695"/>
      <c r="K123" s="695"/>
      <c r="L123" s="441"/>
      <c r="M123" s="1016">
        <v>2</v>
      </c>
      <c r="N123" s="458" t="s">
        <v>141</v>
      </c>
      <c r="O123" s="1013">
        <v>28500</v>
      </c>
      <c r="P123" s="408">
        <v>2821</v>
      </c>
      <c r="Q123" s="408" t="s">
        <v>23</v>
      </c>
      <c r="R123" s="396"/>
      <c r="S123" s="484">
        <f t="shared" ref="S123:S130" si="31">IF(P123=6843, R123*12*0.62/100,IF(P123=2821, R123*12*0.63/100,IF(P123=6842, R123*12*0.63/100,IF(P123=1564, R123*12*0.65/100, ""))))</f>
        <v>0</v>
      </c>
      <c r="T123" s="684"/>
      <c r="U123" s="679"/>
      <c r="V123" s="438"/>
      <c r="W123" s="773"/>
      <c r="X123" s="773"/>
      <c r="Y123" s="773"/>
      <c r="Z123" s="773"/>
      <c r="AA123" s="773"/>
      <c r="AB123" s="773"/>
      <c r="AC123" s="773"/>
      <c r="AD123" s="773"/>
      <c r="AE123" s="773"/>
      <c r="AF123" s="773"/>
      <c r="AG123" s="773"/>
      <c r="AH123" s="773"/>
      <c r="AI123" s="773"/>
      <c r="AJ123" s="773"/>
      <c r="AK123" s="773"/>
      <c r="AL123" s="773"/>
      <c r="AM123" s="773"/>
      <c r="AN123" s="773"/>
      <c r="AO123" s="773"/>
      <c r="AP123" s="773"/>
      <c r="AQ123" s="773"/>
      <c r="AR123" s="773"/>
      <c r="AS123" s="773"/>
      <c r="AT123" s="773"/>
      <c r="AU123" s="773"/>
      <c r="AV123" s="773"/>
      <c r="AW123" s="773"/>
      <c r="AX123" s="773"/>
      <c r="AY123" s="773"/>
      <c r="AZ123" s="773"/>
      <c r="BA123" s="773"/>
      <c r="BB123" s="773"/>
      <c r="BC123" s="773"/>
      <c r="BD123" s="773"/>
      <c r="BE123" s="773"/>
      <c r="BF123" s="773"/>
      <c r="BG123" s="773"/>
      <c r="BH123" s="773"/>
      <c r="BI123" s="773"/>
      <c r="BJ123" s="773"/>
      <c r="BK123" s="773"/>
      <c r="BL123" s="773"/>
      <c r="BM123" s="773"/>
      <c r="BN123" s="773"/>
      <c r="BO123" s="773"/>
      <c r="BP123" s="773"/>
      <c r="BQ123" s="773"/>
      <c r="BR123" s="773"/>
      <c r="BS123" s="773"/>
      <c r="BT123" s="773"/>
      <c r="BU123" s="773"/>
      <c r="BV123" s="773"/>
    </row>
    <row r="124" spans="1:74" s="439" customFormat="1" ht="18" x14ac:dyDescent="0.25">
      <c r="A124" s="770"/>
      <c r="B124" s="1045"/>
      <c r="C124" s="1011"/>
      <c r="D124" s="458" t="s">
        <v>102</v>
      </c>
      <c r="E124" s="1014"/>
      <c r="F124" s="389">
        <v>2395</v>
      </c>
      <c r="G124" s="389" t="s">
        <v>22</v>
      </c>
      <c r="H124" s="391"/>
      <c r="I124" s="429">
        <f t="shared" si="30"/>
        <v>0</v>
      </c>
      <c r="J124" s="695"/>
      <c r="K124" s="695"/>
      <c r="L124" s="441"/>
      <c r="M124" s="1017"/>
      <c r="N124" s="458" t="s">
        <v>142</v>
      </c>
      <c r="O124" s="1014"/>
      <c r="P124" s="409">
        <v>2821</v>
      </c>
      <c r="Q124" s="410" t="s">
        <v>23</v>
      </c>
      <c r="R124" s="391"/>
      <c r="S124" s="484">
        <f t="shared" si="31"/>
        <v>0</v>
      </c>
      <c r="T124" s="386"/>
      <c r="U124" s="386"/>
      <c r="V124" s="441"/>
      <c r="W124" s="773"/>
      <c r="X124" s="773"/>
      <c r="Y124" s="773"/>
      <c r="Z124" s="773"/>
      <c r="AA124" s="773"/>
      <c r="AB124" s="773"/>
      <c r="AC124" s="773"/>
      <c r="AD124" s="773"/>
      <c r="AE124" s="773"/>
      <c r="AF124" s="773"/>
      <c r="AG124" s="773"/>
      <c r="AH124" s="773"/>
      <c r="AI124" s="773"/>
      <c r="AJ124" s="773"/>
      <c r="AK124" s="773"/>
      <c r="AL124" s="773"/>
      <c r="AM124" s="773"/>
      <c r="AN124" s="773"/>
      <c r="AO124" s="773"/>
      <c r="AP124" s="773"/>
      <c r="AQ124" s="773"/>
      <c r="AR124" s="773"/>
      <c r="AS124" s="773"/>
      <c r="AT124" s="773"/>
      <c r="AU124" s="773"/>
      <c r="AV124" s="773"/>
      <c r="AW124" s="773"/>
      <c r="AX124" s="773"/>
      <c r="AY124" s="773"/>
      <c r="AZ124" s="773"/>
      <c r="BA124" s="773"/>
      <c r="BB124" s="773"/>
      <c r="BC124" s="773"/>
      <c r="BD124" s="773"/>
      <c r="BE124" s="773"/>
      <c r="BF124" s="773"/>
      <c r="BG124" s="773"/>
      <c r="BH124" s="773"/>
      <c r="BI124" s="773"/>
      <c r="BJ124" s="773"/>
      <c r="BK124" s="773"/>
      <c r="BL124" s="773"/>
      <c r="BM124" s="773"/>
      <c r="BN124" s="773"/>
      <c r="BO124" s="773"/>
      <c r="BP124" s="773"/>
      <c r="BQ124" s="773"/>
      <c r="BR124" s="773"/>
      <c r="BS124" s="773"/>
      <c r="BT124" s="773"/>
      <c r="BU124" s="773"/>
      <c r="BV124" s="773"/>
    </row>
    <row r="125" spans="1:74" s="439" customFormat="1" ht="18" x14ac:dyDescent="0.25">
      <c r="A125" s="770"/>
      <c r="B125" s="1045"/>
      <c r="C125" s="1011"/>
      <c r="D125" s="458" t="s">
        <v>103</v>
      </c>
      <c r="E125" s="1014"/>
      <c r="F125" s="389">
        <v>2395</v>
      </c>
      <c r="G125" s="389" t="s">
        <v>22</v>
      </c>
      <c r="H125" s="391"/>
      <c r="I125" s="429">
        <f t="shared" si="30"/>
        <v>0</v>
      </c>
      <c r="J125" s="695"/>
      <c r="K125" s="803"/>
      <c r="L125" s="441"/>
      <c r="M125" s="1017"/>
      <c r="N125" s="458" t="s">
        <v>143</v>
      </c>
      <c r="O125" s="1014"/>
      <c r="P125" s="409">
        <v>2821</v>
      </c>
      <c r="Q125" s="410" t="s">
        <v>23</v>
      </c>
      <c r="R125" s="391"/>
      <c r="S125" s="484">
        <f t="shared" si="31"/>
        <v>0</v>
      </c>
      <c r="T125" s="386"/>
      <c r="U125" s="386"/>
      <c r="V125" s="441"/>
      <c r="W125" s="773"/>
      <c r="X125" s="773"/>
      <c r="Y125" s="773"/>
      <c r="Z125" s="773"/>
      <c r="AA125" s="773"/>
      <c r="AB125" s="773"/>
      <c r="AC125" s="773"/>
      <c r="AD125" s="773"/>
      <c r="AE125" s="773"/>
      <c r="AF125" s="773"/>
      <c r="AG125" s="773"/>
      <c r="AH125" s="773"/>
      <c r="AI125" s="773"/>
      <c r="AJ125" s="773"/>
      <c r="AK125" s="773"/>
      <c r="AL125" s="773"/>
      <c r="AM125" s="773"/>
      <c r="AN125" s="773"/>
      <c r="AO125" s="773"/>
      <c r="AP125" s="773"/>
      <c r="AQ125" s="773"/>
      <c r="AR125" s="773"/>
      <c r="AS125" s="773"/>
      <c r="AT125" s="773"/>
      <c r="AU125" s="773"/>
      <c r="AV125" s="773"/>
      <c r="AW125" s="773"/>
      <c r="AX125" s="773"/>
      <c r="AY125" s="773"/>
      <c r="AZ125" s="773"/>
      <c r="BA125" s="773"/>
      <c r="BB125" s="773"/>
      <c r="BC125" s="773"/>
      <c r="BD125" s="773"/>
      <c r="BE125" s="773"/>
      <c r="BF125" s="773"/>
      <c r="BG125" s="773"/>
      <c r="BH125" s="773"/>
      <c r="BI125" s="773"/>
      <c r="BJ125" s="773"/>
      <c r="BK125" s="773"/>
      <c r="BL125" s="773"/>
      <c r="BM125" s="773"/>
      <c r="BN125" s="773"/>
      <c r="BO125" s="773"/>
      <c r="BP125" s="773"/>
      <c r="BQ125" s="773"/>
      <c r="BR125" s="773"/>
      <c r="BS125" s="773"/>
      <c r="BT125" s="773"/>
      <c r="BU125" s="773"/>
      <c r="BV125" s="773"/>
    </row>
    <row r="126" spans="1:74" s="439" customFormat="1" ht="18" x14ac:dyDescent="0.25">
      <c r="A126" s="770"/>
      <c r="B126" s="1045"/>
      <c r="C126" s="1011"/>
      <c r="D126" s="458" t="s">
        <v>104</v>
      </c>
      <c r="E126" s="1014"/>
      <c r="F126" s="389">
        <v>2395</v>
      </c>
      <c r="G126" s="389" t="s">
        <v>22</v>
      </c>
      <c r="H126" s="391"/>
      <c r="I126" s="429">
        <f t="shared" si="30"/>
        <v>0</v>
      </c>
      <c r="J126" s="695"/>
      <c r="K126" s="723"/>
      <c r="L126" s="441"/>
      <c r="M126" s="1017"/>
      <c r="N126" s="458" t="s">
        <v>144</v>
      </c>
      <c r="O126" s="1014"/>
      <c r="P126" s="409">
        <v>2821</v>
      </c>
      <c r="Q126" s="410" t="s">
        <v>23</v>
      </c>
      <c r="R126" s="391"/>
      <c r="S126" s="484">
        <f t="shared" si="31"/>
        <v>0</v>
      </c>
      <c r="T126" s="386"/>
      <c r="U126" s="386"/>
      <c r="V126" s="441"/>
      <c r="W126" s="773"/>
      <c r="X126" s="773"/>
      <c r="Y126" s="773"/>
      <c r="Z126" s="773"/>
      <c r="AA126" s="773"/>
      <c r="AB126" s="773"/>
      <c r="AC126" s="773"/>
      <c r="AD126" s="773"/>
      <c r="AE126" s="773"/>
      <c r="AF126" s="773"/>
      <c r="AG126" s="773"/>
      <c r="AH126" s="773"/>
      <c r="AI126" s="773"/>
      <c r="AJ126" s="773"/>
      <c r="AK126" s="773"/>
      <c r="AL126" s="773"/>
      <c r="AM126" s="773"/>
      <c r="AN126" s="773"/>
      <c r="AO126" s="773"/>
      <c r="AP126" s="773"/>
      <c r="AQ126" s="773"/>
      <c r="AR126" s="773"/>
      <c r="AS126" s="773"/>
      <c r="AT126" s="773"/>
      <c r="AU126" s="773"/>
      <c r="AV126" s="773"/>
      <c r="AW126" s="773"/>
      <c r="AX126" s="773"/>
      <c r="AY126" s="773"/>
      <c r="AZ126" s="773"/>
      <c r="BA126" s="773"/>
      <c r="BB126" s="773"/>
      <c r="BC126" s="773"/>
      <c r="BD126" s="773"/>
      <c r="BE126" s="773"/>
      <c r="BF126" s="773"/>
      <c r="BG126" s="773"/>
      <c r="BH126" s="773"/>
      <c r="BI126" s="773"/>
      <c r="BJ126" s="773"/>
      <c r="BK126" s="773"/>
      <c r="BL126" s="773"/>
      <c r="BM126" s="773"/>
      <c r="BN126" s="773"/>
      <c r="BO126" s="773"/>
      <c r="BP126" s="773"/>
      <c r="BQ126" s="773"/>
      <c r="BR126" s="773"/>
      <c r="BS126" s="773"/>
      <c r="BT126" s="773"/>
      <c r="BU126" s="773"/>
      <c r="BV126" s="773"/>
    </row>
    <row r="127" spans="1:74" s="439" customFormat="1" ht="18" x14ac:dyDescent="0.25">
      <c r="A127" s="770"/>
      <c r="B127" s="1045"/>
      <c r="C127" s="1011"/>
      <c r="D127" s="458" t="s">
        <v>105</v>
      </c>
      <c r="E127" s="1014"/>
      <c r="F127" s="389">
        <v>2395</v>
      </c>
      <c r="G127" s="389" t="s">
        <v>22</v>
      </c>
      <c r="H127" s="391"/>
      <c r="I127" s="429">
        <f t="shared" si="30"/>
        <v>0</v>
      </c>
      <c r="J127" s="695"/>
      <c r="K127" s="803"/>
      <c r="L127" s="441"/>
      <c r="M127" s="1017"/>
      <c r="N127" s="458" t="s">
        <v>145</v>
      </c>
      <c r="O127" s="1014"/>
      <c r="P127" s="409">
        <v>2821</v>
      </c>
      <c r="Q127" s="410" t="s">
        <v>23</v>
      </c>
      <c r="R127" s="391"/>
      <c r="S127" s="484">
        <f t="shared" si="31"/>
        <v>0</v>
      </c>
      <c r="T127" s="386"/>
      <c r="U127" s="386"/>
      <c r="V127" s="441"/>
      <c r="W127" s="773"/>
      <c r="X127" s="773"/>
      <c r="Y127" s="773"/>
      <c r="Z127" s="773"/>
      <c r="AA127" s="773"/>
      <c r="AB127" s="773"/>
      <c r="AC127" s="773"/>
      <c r="AD127" s="773"/>
      <c r="AE127" s="773"/>
      <c r="AF127" s="773"/>
      <c r="AG127" s="773"/>
      <c r="AH127" s="773"/>
      <c r="AI127" s="773"/>
      <c r="AJ127" s="773"/>
      <c r="AK127" s="773"/>
      <c r="AL127" s="773"/>
      <c r="AM127" s="773"/>
      <c r="AN127" s="773"/>
      <c r="AO127" s="773"/>
      <c r="AP127" s="773"/>
      <c r="AQ127" s="773"/>
      <c r="AR127" s="773"/>
      <c r="AS127" s="773"/>
      <c r="AT127" s="773"/>
      <c r="AU127" s="773"/>
      <c r="AV127" s="773"/>
      <c r="AW127" s="773"/>
      <c r="AX127" s="773"/>
      <c r="AY127" s="773"/>
      <c r="AZ127" s="773"/>
      <c r="BA127" s="773"/>
      <c r="BB127" s="773"/>
      <c r="BC127" s="773"/>
      <c r="BD127" s="773"/>
      <c r="BE127" s="773"/>
      <c r="BF127" s="773"/>
      <c r="BG127" s="773"/>
      <c r="BH127" s="773"/>
      <c r="BI127" s="773"/>
      <c r="BJ127" s="773"/>
      <c r="BK127" s="773"/>
      <c r="BL127" s="773"/>
      <c r="BM127" s="773"/>
      <c r="BN127" s="773"/>
      <c r="BO127" s="773"/>
      <c r="BP127" s="773"/>
      <c r="BQ127" s="773"/>
      <c r="BR127" s="773"/>
      <c r="BS127" s="773"/>
      <c r="BT127" s="773"/>
      <c r="BU127" s="773"/>
      <c r="BV127" s="773"/>
    </row>
    <row r="128" spans="1:74" s="439" customFormat="1" ht="18" x14ac:dyDescent="0.25">
      <c r="A128" s="770"/>
      <c r="B128" s="1045"/>
      <c r="C128" s="1011"/>
      <c r="D128" s="458" t="s">
        <v>106</v>
      </c>
      <c r="E128" s="1014"/>
      <c r="F128" s="389">
        <v>2395</v>
      </c>
      <c r="G128" s="389" t="s">
        <v>22</v>
      </c>
      <c r="H128" s="391"/>
      <c r="I128" s="429">
        <f t="shared" si="30"/>
        <v>0</v>
      </c>
      <c r="J128" s="695"/>
      <c r="K128" s="803"/>
      <c r="L128" s="441"/>
      <c r="M128" s="1017"/>
      <c r="N128" s="458" t="s">
        <v>146</v>
      </c>
      <c r="O128" s="1014"/>
      <c r="P128" s="409">
        <v>2821</v>
      </c>
      <c r="Q128" s="410" t="s">
        <v>23</v>
      </c>
      <c r="R128" s="391"/>
      <c r="S128" s="484">
        <f t="shared" si="31"/>
        <v>0</v>
      </c>
      <c r="T128" s="385"/>
      <c r="U128" s="670"/>
      <c r="V128" s="438"/>
      <c r="W128" s="773"/>
      <c r="X128" s="773"/>
      <c r="Y128" s="773"/>
      <c r="Z128" s="773"/>
      <c r="AA128" s="773"/>
      <c r="AB128" s="773"/>
      <c r="AC128" s="773"/>
      <c r="AD128" s="773"/>
      <c r="AE128" s="773"/>
      <c r="AF128" s="773"/>
      <c r="AG128" s="773"/>
      <c r="AH128" s="773"/>
      <c r="AI128" s="773"/>
      <c r="AJ128" s="773"/>
      <c r="AK128" s="773"/>
      <c r="AL128" s="773"/>
      <c r="AM128" s="773"/>
      <c r="AN128" s="773"/>
      <c r="AO128" s="773"/>
      <c r="AP128" s="773"/>
      <c r="AQ128" s="773"/>
      <c r="AR128" s="773"/>
      <c r="AS128" s="773"/>
      <c r="AT128" s="773"/>
      <c r="AU128" s="773"/>
      <c r="AV128" s="773"/>
      <c r="AW128" s="773"/>
      <c r="AX128" s="773"/>
      <c r="AY128" s="773"/>
      <c r="AZ128" s="773"/>
      <c r="BA128" s="773"/>
      <c r="BB128" s="773"/>
      <c r="BC128" s="773"/>
      <c r="BD128" s="773"/>
      <c r="BE128" s="773"/>
      <c r="BF128" s="773"/>
      <c r="BG128" s="773"/>
      <c r="BH128" s="773"/>
      <c r="BI128" s="773"/>
      <c r="BJ128" s="773"/>
      <c r="BK128" s="773"/>
      <c r="BL128" s="773"/>
      <c r="BM128" s="773"/>
      <c r="BN128" s="773"/>
      <c r="BO128" s="773"/>
      <c r="BP128" s="773"/>
      <c r="BQ128" s="773"/>
      <c r="BR128" s="773"/>
      <c r="BS128" s="773"/>
      <c r="BT128" s="773"/>
      <c r="BU128" s="773"/>
      <c r="BV128" s="773"/>
    </row>
    <row r="129" spans="1:74" s="439" customFormat="1" ht="18" x14ac:dyDescent="0.25">
      <c r="A129" s="770"/>
      <c r="B129" s="1045"/>
      <c r="C129" s="1011"/>
      <c r="D129" s="458" t="s">
        <v>107</v>
      </c>
      <c r="E129" s="1014"/>
      <c r="F129" s="389">
        <v>2395</v>
      </c>
      <c r="G129" s="389" t="s">
        <v>22</v>
      </c>
      <c r="H129" s="391"/>
      <c r="I129" s="429">
        <f t="shared" si="30"/>
        <v>0</v>
      </c>
      <c r="J129" s="695"/>
      <c r="K129" s="803"/>
      <c r="L129" s="441"/>
      <c r="M129" s="1017"/>
      <c r="N129" s="458" t="s">
        <v>147</v>
      </c>
      <c r="O129" s="1014"/>
      <c r="P129" s="409">
        <v>2821</v>
      </c>
      <c r="Q129" s="410" t="s">
        <v>23</v>
      </c>
      <c r="R129" s="391"/>
      <c r="S129" s="484">
        <f t="shared" si="31"/>
        <v>0</v>
      </c>
      <c r="T129" s="386"/>
      <c r="U129" s="386"/>
      <c r="V129" s="441"/>
      <c r="W129" s="773"/>
      <c r="X129" s="773"/>
      <c r="Y129" s="773"/>
      <c r="Z129" s="773"/>
      <c r="AA129" s="773"/>
      <c r="AB129" s="773"/>
      <c r="AC129" s="773"/>
      <c r="AD129" s="773"/>
      <c r="AE129" s="773"/>
      <c r="AF129" s="773"/>
      <c r="AG129" s="773"/>
      <c r="AH129" s="773"/>
      <c r="AI129" s="773"/>
      <c r="AJ129" s="773"/>
      <c r="AK129" s="773"/>
      <c r="AL129" s="773"/>
      <c r="AM129" s="773"/>
      <c r="AN129" s="773"/>
      <c r="AO129" s="773"/>
      <c r="AP129" s="773"/>
      <c r="AQ129" s="773"/>
      <c r="AR129" s="773"/>
      <c r="AS129" s="773"/>
      <c r="AT129" s="773"/>
      <c r="AU129" s="773"/>
      <c r="AV129" s="773"/>
      <c r="AW129" s="773"/>
      <c r="AX129" s="773"/>
      <c r="AY129" s="773"/>
      <c r="AZ129" s="773"/>
      <c r="BA129" s="773"/>
      <c r="BB129" s="773"/>
      <c r="BC129" s="773"/>
      <c r="BD129" s="773"/>
      <c r="BE129" s="773"/>
      <c r="BF129" s="773"/>
      <c r="BG129" s="773"/>
      <c r="BH129" s="773"/>
      <c r="BI129" s="773"/>
      <c r="BJ129" s="773"/>
      <c r="BK129" s="773"/>
      <c r="BL129" s="773"/>
      <c r="BM129" s="773"/>
      <c r="BN129" s="773"/>
      <c r="BO129" s="773"/>
      <c r="BP129" s="773"/>
      <c r="BQ129" s="773"/>
      <c r="BR129" s="773"/>
      <c r="BS129" s="773"/>
      <c r="BT129" s="773"/>
      <c r="BU129" s="773"/>
      <c r="BV129" s="773"/>
    </row>
    <row r="130" spans="1:74" s="439" customFormat="1" ht="18" x14ac:dyDescent="0.25">
      <c r="A130" s="770"/>
      <c r="B130" s="1045"/>
      <c r="C130" s="1012"/>
      <c r="D130" s="467" t="s">
        <v>108</v>
      </c>
      <c r="E130" s="1015"/>
      <c r="F130" s="404">
        <v>2395</v>
      </c>
      <c r="G130" s="404" t="s">
        <v>22</v>
      </c>
      <c r="H130" s="426"/>
      <c r="I130" s="429">
        <f t="shared" si="30"/>
        <v>0</v>
      </c>
      <c r="J130" s="695"/>
      <c r="K130" s="695"/>
      <c r="L130" s="441"/>
      <c r="M130" s="1018"/>
      <c r="N130" s="467" t="s">
        <v>148</v>
      </c>
      <c r="O130" s="1015"/>
      <c r="P130" s="411">
        <v>2821</v>
      </c>
      <c r="Q130" s="412" t="s">
        <v>23</v>
      </c>
      <c r="R130" s="426"/>
      <c r="S130" s="484">
        <f t="shared" si="31"/>
        <v>0</v>
      </c>
      <c r="T130" s="385"/>
      <c r="U130" s="386"/>
      <c r="V130" s="441"/>
      <c r="W130" s="773"/>
      <c r="X130" s="773"/>
      <c r="Y130" s="773"/>
      <c r="Z130" s="773"/>
      <c r="AA130" s="773"/>
      <c r="AB130" s="773"/>
      <c r="AC130" s="773"/>
      <c r="AD130" s="773"/>
      <c r="AE130" s="773"/>
      <c r="AF130" s="773"/>
      <c r="AG130" s="773"/>
      <c r="AH130" s="773"/>
      <c r="AI130" s="773"/>
      <c r="AJ130" s="773"/>
      <c r="AK130" s="773"/>
      <c r="AL130" s="773"/>
      <c r="AM130" s="773"/>
      <c r="AN130" s="773"/>
      <c r="AO130" s="773"/>
      <c r="AP130" s="773"/>
      <c r="AQ130" s="773"/>
      <c r="AR130" s="773"/>
      <c r="AS130" s="773"/>
      <c r="AT130" s="773"/>
      <c r="AU130" s="773"/>
      <c r="AV130" s="773"/>
      <c r="AW130" s="773"/>
      <c r="AX130" s="773"/>
      <c r="AY130" s="773"/>
      <c r="AZ130" s="773"/>
      <c r="BA130" s="773"/>
      <c r="BB130" s="773"/>
      <c r="BC130" s="773"/>
      <c r="BD130" s="773"/>
      <c r="BE130" s="773"/>
      <c r="BF130" s="773"/>
      <c r="BG130" s="773"/>
      <c r="BH130" s="773"/>
      <c r="BI130" s="773"/>
      <c r="BJ130" s="773"/>
      <c r="BK130" s="773"/>
      <c r="BL130" s="773"/>
      <c r="BM130" s="773"/>
      <c r="BN130" s="773"/>
      <c r="BO130" s="773"/>
      <c r="BP130" s="773"/>
      <c r="BQ130" s="773"/>
      <c r="BR130" s="773"/>
      <c r="BS130" s="773"/>
      <c r="BT130" s="773"/>
      <c r="BU130" s="773"/>
      <c r="BV130" s="773"/>
    </row>
    <row r="131" spans="1:74" s="439" customFormat="1" ht="18" x14ac:dyDescent="0.25">
      <c r="A131" s="770"/>
      <c r="B131" s="1045"/>
      <c r="C131" s="1055" t="s">
        <v>99</v>
      </c>
      <c r="D131" s="1054"/>
      <c r="E131" s="804">
        <f>E123*12*0.62/100</f>
        <v>1116</v>
      </c>
      <c r="F131" s="1056" t="s">
        <v>100</v>
      </c>
      <c r="G131" s="1056"/>
      <c r="H131" s="465">
        <f>+SUM(H123:H130)</f>
        <v>0</v>
      </c>
      <c r="I131" s="428">
        <f>+SUM(I123:I130)</f>
        <v>0</v>
      </c>
      <c r="J131" s="658"/>
      <c r="K131" s="658"/>
      <c r="L131" s="658"/>
      <c r="M131" s="1055" t="s">
        <v>99</v>
      </c>
      <c r="N131" s="1054"/>
      <c r="O131" s="804">
        <f>O123*12*0.65/100</f>
        <v>2223</v>
      </c>
      <c r="P131" s="1056" t="s">
        <v>100</v>
      </c>
      <c r="Q131" s="1056"/>
      <c r="R131" s="465">
        <f>+SUM(R123:R130)</f>
        <v>0</v>
      </c>
      <c r="S131" s="466">
        <f>+SUM(S123:S130)</f>
        <v>0</v>
      </c>
      <c r="T131" s="669"/>
      <c r="U131" s="671"/>
      <c r="V131" s="658"/>
      <c r="W131" s="773"/>
      <c r="X131" s="773"/>
      <c r="Y131" s="773"/>
      <c r="Z131" s="773"/>
      <c r="AA131" s="773"/>
      <c r="AB131" s="773"/>
      <c r="AC131" s="773"/>
      <c r="AD131" s="773"/>
      <c r="AE131" s="773"/>
      <c r="AF131" s="773"/>
      <c r="AG131" s="773"/>
      <c r="AH131" s="773"/>
      <c r="AI131" s="773"/>
      <c r="AJ131" s="773"/>
      <c r="AK131" s="773"/>
      <c r="AL131" s="773"/>
      <c r="AM131" s="773"/>
      <c r="AN131" s="773"/>
      <c r="AO131" s="773"/>
      <c r="AP131" s="773"/>
      <c r="AQ131" s="773"/>
      <c r="AR131" s="773"/>
      <c r="AS131" s="773"/>
      <c r="AT131" s="773"/>
      <c r="AU131" s="773"/>
      <c r="AV131" s="773"/>
      <c r="AW131" s="773"/>
      <c r="AX131" s="773"/>
      <c r="AY131" s="773"/>
      <c r="AZ131" s="773"/>
      <c r="BA131" s="773"/>
      <c r="BB131" s="773"/>
      <c r="BC131" s="773"/>
      <c r="BD131" s="773"/>
      <c r="BE131" s="773"/>
      <c r="BF131" s="773"/>
      <c r="BG131" s="773"/>
      <c r="BH131" s="773"/>
      <c r="BI131" s="773"/>
      <c r="BJ131" s="773"/>
      <c r="BK131" s="773"/>
      <c r="BL131" s="773"/>
      <c r="BM131" s="773"/>
      <c r="BN131" s="773"/>
      <c r="BO131" s="773"/>
      <c r="BP131" s="773"/>
      <c r="BQ131" s="773"/>
      <c r="BR131" s="773"/>
      <c r="BS131" s="773"/>
      <c r="BT131" s="773"/>
      <c r="BU131" s="773"/>
      <c r="BV131" s="773"/>
    </row>
    <row r="132" spans="1:74" s="439" customFormat="1" ht="18.75" x14ac:dyDescent="0.25">
      <c r="A132" s="770"/>
      <c r="B132" s="1045"/>
      <c r="C132" s="1010">
        <v>3</v>
      </c>
      <c r="D132" s="458" t="s">
        <v>149</v>
      </c>
      <c r="E132" s="1013">
        <v>15000</v>
      </c>
      <c r="F132" s="402">
        <v>2395</v>
      </c>
      <c r="G132" s="402" t="s">
        <v>22</v>
      </c>
      <c r="H132" s="391"/>
      <c r="I132" s="429">
        <f t="shared" ref="I132:I139" si="32">IF(F132=2395, H132*12*0.62/100, IF(F132=1564, H132*12*0.65/100, ""))</f>
        <v>0</v>
      </c>
      <c r="J132" s="663"/>
      <c r="K132" s="663"/>
      <c r="L132" s="663"/>
      <c r="M132" s="1016">
        <v>3</v>
      </c>
      <c r="N132" s="458" t="s">
        <v>149</v>
      </c>
      <c r="O132" s="1013">
        <v>28500</v>
      </c>
      <c r="P132" s="408">
        <v>2821</v>
      </c>
      <c r="Q132" s="408" t="s">
        <v>23</v>
      </c>
      <c r="R132" s="396"/>
      <c r="S132" s="484">
        <f t="shared" ref="S132:S139" si="33">IF(P132=6843, R132*12*0.62/100,IF(P132=2821, R132*12*0.63/100,IF(P132=6842, R132*12*0.63/100,IF(P132=1564, R132*12*0.65/100, ""))))</f>
        <v>0</v>
      </c>
      <c r="T132" s="687"/>
      <c r="U132" s="710"/>
      <c r="V132" s="663"/>
      <c r="W132" s="773"/>
      <c r="X132" s="773"/>
      <c r="Y132" s="773"/>
      <c r="Z132" s="773"/>
      <c r="AA132" s="773"/>
      <c r="AB132" s="773"/>
      <c r="AC132" s="773"/>
      <c r="AD132" s="773"/>
      <c r="AE132" s="773"/>
      <c r="AF132" s="773"/>
      <c r="AG132" s="773"/>
      <c r="AH132" s="773"/>
      <c r="AI132" s="773"/>
      <c r="AJ132" s="773"/>
      <c r="AK132" s="773"/>
      <c r="AL132" s="773"/>
      <c r="AM132" s="773"/>
      <c r="AN132" s="773"/>
      <c r="AO132" s="773"/>
      <c r="AP132" s="773"/>
      <c r="AQ132" s="773"/>
      <c r="AR132" s="773"/>
      <c r="AS132" s="773"/>
      <c r="AT132" s="773"/>
      <c r="AU132" s="773"/>
      <c r="AV132" s="773"/>
      <c r="AW132" s="773"/>
      <c r="AX132" s="773"/>
      <c r="AY132" s="773"/>
      <c r="AZ132" s="773"/>
      <c r="BA132" s="773"/>
      <c r="BB132" s="773"/>
      <c r="BC132" s="773"/>
      <c r="BD132" s="773"/>
      <c r="BE132" s="773"/>
      <c r="BF132" s="773"/>
      <c r="BG132" s="773"/>
      <c r="BH132" s="773"/>
      <c r="BI132" s="773"/>
      <c r="BJ132" s="773"/>
      <c r="BK132" s="773"/>
      <c r="BL132" s="773"/>
      <c r="BM132" s="773"/>
      <c r="BN132" s="773"/>
      <c r="BO132" s="773"/>
      <c r="BP132" s="773"/>
      <c r="BQ132" s="773"/>
      <c r="BR132" s="773"/>
      <c r="BS132" s="773"/>
      <c r="BT132" s="773"/>
      <c r="BU132" s="773"/>
      <c r="BV132" s="773"/>
    </row>
    <row r="133" spans="1:74" s="439" customFormat="1" ht="18.75" x14ac:dyDescent="0.25">
      <c r="A133" s="770"/>
      <c r="B133" s="1045"/>
      <c r="C133" s="1011"/>
      <c r="D133" s="459" t="s">
        <v>150</v>
      </c>
      <c r="E133" s="1014"/>
      <c r="F133" s="389">
        <v>2395</v>
      </c>
      <c r="G133" s="389" t="s">
        <v>22</v>
      </c>
      <c r="H133" s="391"/>
      <c r="I133" s="429">
        <f t="shared" si="32"/>
        <v>0</v>
      </c>
      <c r="J133" s="663"/>
      <c r="K133" s="663"/>
      <c r="L133" s="664"/>
      <c r="M133" s="1017"/>
      <c r="N133" s="459" t="s">
        <v>150</v>
      </c>
      <c r="O133" s="1014"/>
      <c r="P133" s="409">
        <v>2821</v>
      </c>
      <c r="Q133" s="410" t="s">
        <v>23</v>
      </c>
      <c r="R133" s="391"/>
      <c r="S133" s="484">
        <f t="shared" si="33"/>
        <v>0</v>
      </c>
      <c r="T133" s="687"/>
      <c r="U133" s="686"/>
      <c r="V133" s="674"/>
      <c r="W133" s="773"/>
      <c r="X133" s="773"/>
      <c r="Y133" s="773"/>
      <c r="Z133" s="773"/>
      <c r="AA133" s="773"/>
      <c r="AB133" s="773"/>
      <c r="AC133" s="773"/>
      <c r="AD133" s="773"/>
      <c r="AE133" s="773"/>
      <c r="AF133" s="773"/>
      <c r="AG133" s="773"/>
      <c r="AH133" s="773"/>
      <c r="AI133" s="773"/>
      <c r="AJ133" s="773"/>
      <c r="AK133" s="773"/>
      <c r="AL133" s="773"/>
      <c r="AM133" s="773"/>
      <c r="AN133" s="773"/>
      <c r="AO133" s="773"/>
      <c r="AP133" s="773"/>
      <c r="AQ133" s="773"/>
      <c r="AR133" s="773"/>
      <c r="AS133" s="773"/>
      <c r="AT133" s="773"/>
      <c r="AU133" s="773"/>
      <c r="AV133" s="773"/>
      <c r="AW133" s="773"/>
      <c r="AX133" s="773"/>
      <c r="AY133" s="773"/>
      <c r="AZ133" s="773"/>
      <c r="BA133" s="773"/>
      <c r="BB133" s="773"/>
      <c r="BC133" s="773"/>
      <c r="BD133" s="773"/>
      <c r="BE133" s="773"/>
      <c r="BF133" s="773"/>
      <c r="BG133" s="773"/>
      <c r="BH133" s="773"/>
      <c r="BI133" s="773"/>
      <c r="BJ133" s="773"/>
      <c r="BK133" s="773"/>
      <c r="BL133" s="773"/>
      <c r="BM133" s="773"/>
      <c r="BN133" s="773"/>
      <c r="BO133" s="773"/>
      <c r="BP133" s="773"/>
      <c r="BQ133" s="773"/>
      <c r="BR133" s="773"/>
      <c r="BS133" s="773"/>
      <c r="BT133" s="773"/>
      <c r="BU133" s="773"/>
      <c r="BV133" s="773"/>
    </row>
    <row r="134" spans="1:74" s="439" customFormat="1" ht="18.75" x14ac:dyDescent="0.25">
      <c r="A134" s="770"/>
      <c r="B134" s="1045"/>
      <c r="C134" s="1011"/>
      <c r="D134" s="459" t="s">
        <v>151</v>
      </c>
      <c r="E134" s="1014"/>
      <c r="F134" s="389">
        <v>2395</v>
      </c>
      <c r="G134" s="389" t="s">
        <v>22</v>
      </c>
      <c r="H134" s="391"/>
      <c r="I134" s="429">
        <f t="shared" si="32"/>
        <v>0</v>
      </c>
      <c r="J134" s="663"/>
      <c r="K134" s="663"/>
      <c r="L134" s="664"/>
      <c r="M134" s="1017"/>
      <c r="N134" s="459" t="s">
        <v>151</v>
      </c>
      <c r="O134" s="1014"/>
      <c r="P134" s="409">
        <v>2821</v>
      </c>
      <c r="Q134" s="410" t="s">
        <v>23</v>
      </c>
      <c r="R134" s="391"/>
      <c r="S134" s="484">
        <f t="shared" si="33"/>
        <v>0</v>
      </c>
      <c r="T134" s="687"/>
      <c r="U134" s="710"/>
      <c r="V134" s="674"/>
      <c r="W134" s="773"/>
      <c r="X134" s="773"/>
      <c r="Y134" s="773"/>
      <c r="Z134" s="773"/>
      <c r="AA134" s="773"/>
      <c r="AB134" s="773"/>
      <c r="AC134" s="773"/>
      <c r="AD134" s="773"/>
      <c r="AE134" s="773"/>
      <c r="AF134" s="773"/>
      <c r="AG134" s="773"/>
      <c r="AH134" s="773"/>
      <c r="AI134" s="773"/>
      <c r="AJ134" s="773"/>
      <c r="AK134" s="773"/>
      <c r="AL134" s="773"/>
      <c r="AM134" s="773"/>
      <c r="AN134" s="773"/>
      <c r="AO134" s="773"/>
      <c r="AP134" s="773"/>
      <c r="AQ134" s="773"/>
      <c r="AR134" s="773"/>
      <c r="AS134" s="773"/>
      <c r="AT134" s="773"/>
      <c r="AU134" s="773"/>
      <c r="AV134" s="773"/>
      <c r="AW134" s="773"/>
      <c r="AX134" s="773"/>
      <c r="AY134" s="773"/>
      <c r="AZ134" s="773"/>
      <c r="BA134" s="773"/>
      <c r="BB134" s="773"/>
      <c r="BC134" s="773"/>
      <c r="BD134" s="773"/>
      <c r="BE134" s="773"/>
      <c r="BF134" s="773"/>
      <c r="BG134" s="773"/>
      <c r="BH134" s="773"/>
      <c r="BI134" s="773"/>
      <c r="BJ134" s="773"/>
      <c r="BK134" s="773"/>
      <c r="BL134" s="773"/>
      <c r="BM134" s="773"/>
      <c r="BN134" s="773"/>
      <c r="BO134" s="773"/>
      <c r="BP134" s="773"/>
      <c r="BQ134" s="773"/>
      <c r="BR134" s="773"/>
      <c r="BS134" s="773"/>
      <c r="BT134" s="773"/>
      <c r="BU134" s="773"/>
      <c r="BV134" s="773"/>
    </row>
    <row r="135" spans="1:74" s="439" customFormat="1" ht="18.75" x14ac:dyDescent="0.25">
      <c r="A135" s="770"/>
      <c r="B135" s="1045"/>
      <c r="C135" s="1011"/>
      <c r="D135" s="459" t="s">
        <v>152</v>
      </c>
      <c r="E135" s="1014"/>
      <c r="F135" s="389">
        <v>2395</v>
      </c>
      <c r="G135" s="389" t="s">
        <v>22</v>
      </c>
      <c r="H135" s="391"/>
      <c r="I135" s="429">
        <f t="shared" si="32"/>
        <v>0</v>
      </c>
      <c r="J135" s="673"/>
      <c r="K135" s="663"/>
      <c r="L135" s="664"/>
      <c r="M135" s="1017"/>
      <c r="N135" s="459" t="s">
        <v>152</v>
      </c>
      <c r="O135" s="1014"/>
      <c r="P135" s="409">
        <v>2821</v>
      </c>
      <c r="Q135" s="410" t="s">
        <v>23</v>
      </c>
      <c r="R135" s="391"/>
      <c r="S135" s="484">
        <f t="shared" si="33"/>
        <v>0</v>
      </c>
      <c r="T135" s="724"/>
      <c r="U135" s="687"/>
      <c r="V135" s="674"/>
      <c r="W135" s="773"/>
      <c r="X135" s="773"/>
      <c r="Y135" s="773"/>
      <c r="Z135" s="773"/>
      <c r="AA135" s="773"/>
      <c r="AB135" s="773"/>
      <c r="AC135" s="773"/>
      <c r="AD135" s="773"/>
      <c r="AE135" s="773"/>
      <c r="AF135" s="773"/>
      <c r="AG135" s="773"/>
      <c r="AH135" s="773"/>
      <c r="AI135" s="773"/>
      <c r="AJ135" s="773"/>
      <c r="AK135" s="773"/>
      <c r="AL135" s="773"/>
      <c r="AM135" s="773"/>
      <c r="AN135" s="773"/>
      <c r="AO135" s="773"/>
      <c r="AP135" s="773"/>
      <c r="AQ135" s="773"/>
      <c r="AR135" s="773"/>
      <c r="AS135" s="773"/>
      <c r="AT135" s="773"/>
      <c r="AU135" s="773"/>
      <c r="AV135" s="773"/>
      <c r="AW135" s="773"/>
      <c r="AX135" s="773"/>
      <c r="AY135" s="773"/>
      <c r="AZ135" s="773"/>
      <c r="BA135" s="773"/>
      <c r="BB135" s="773"/>
      <c r="BC135" s="773"/>
      <c r="BD135" s="773"/>
      <c r="BE135" s="773"/>
      <c r="BF135" s="773"/>
      <c r="BG135" s="773"/>
      <c r="BH135" s="773"/>
      <c r="BI135" s="773"/>
      <c r="BJ135" s="773"/>
      <c r="BK135" s="773"/>
      <c r="BL135" s="773"/>
      <c r="BM135" s="773"/>
      <c r="BN135" s="773"/>
      <c r="BO135" s="773"/>
      <c r="BP135" s="773"/>
      <c r="BQ135" s="773"/>
      <c r="BR135" s="773"/>
      <c r="BS135" s="773"/>
      <c r="BT135" s="773"/>
      <c r="BU135" s="773"/>
      <c r="BV135" s="773"/>
    </row>
    <row r="136" spans="1:74" s="439" customFormat="1" ht="18.75" x14ac:dyDescent="0.25">
      <c r="A136" s="770"/>
      <c r="B136" s="1045"/>
      <c r="C136" s="1011"/>
      <c r="D136" s="459" t="s">
        <v>153</v>
      </c>
      <c r="E136" s="1014"/>
      <c r="F136" s="389">
        <v>2395</v>
      </c>
      <c r="G136" s="389" t="s">
        <v>22</v>
      </c>
      <c r="H136" s="391"/>
      <c r="I136" s="429">
        <f t="shared" si="32"/>
        <v>0</v>
      </c>
      <c r="J136" s="663"/>
      <c r="K136" s="664"/>
      <c r="L136" s="664"/>
      <c r="M136" s="1017"/>
      <c r="N136" s="459" t="s">
        <v>153</v>
      </c>
      <c r="O136" s="1014"/>
      <c r="P136" s="409">
        <v>2821</v>
      </c>
      <c r="Q136" s="410" t="s">
        <v>23</v>
      </c>
      <c r="R136" s="391"/>
      <c r="S136" s="484">
        <f t="shared" si="33"/>
        <v>0</v>
      </c>
      <c r="T136" s="724"/>
      <c r="U136" s="724"/>
      <c r="V136" s="674"/>
      <c r="W136" s="773"/>
      <c r="X136" s="773"/>
      <c r="Y136" s="773"/>
      <c r="Z136" s="773"/>
      <c r="AA136" s="773"/>
      <c r="AB136" s="773"/>
      <c r="AC136" s="773"/>
      <c r="AD136" s="773"/>
      <c r="AE136" s="773"/>
      <c r="AF136" s="773"/>
      <c r="AG136" s="773"/>
      <c r="AH136" s="773"/>
      <c r="AI136" s="773"/>
      <c r="AJ136" s="773"/>
      <c r="AK136" s="773"/>
      <c r="AL136" s="773"/>
      <c r="AM136" s="773"/>
      <c r="AN136" s="773"/>
      <c r="AO136" s="773"/>
      <c r="AP136" s="773"/>
      <c r="AQ136" s="773"/>
      <c r="AR136" s="773"/>
      <c r="AS136" s="773"/>
      <c r="AT136" s="773"/>
      <c r="AU136" s="773"/>
      <c r="AV136" s="773"/>
      <c r="AW136" s="773"/>
      <c r="AX136" s="773"/>
      <c r="AY136" s="773"/>
      <c r="AZ136" s="773"/>
      <c r="BA136" s="773"/>
      <c r="BB136" s="773"/>
      <c r="BC136" s="773"/>
      <c r="BD136" s="773"/>
      <c r="BE136" s="773"/>
      <c r="BF136" s="773"/>
      <c r="BG136" s="773"/>
      <c r="BH136" s="773"/>
      <c r="BI136" s="773"/>
      <c r="BJ136" s="773"/>
      <c r="BK136" s="773"/>
      <c r="BL136" s="773"/>
      <c r="BM136" s="773"/>
      <c r="BN136" s="773"/>
      <c r="BO136" s="773"/>
      <c r="BP136" s="773"/>
      <c r="BQ136" s="773"/>
      <c r="BR136" s="773"/>
      <c r="BS136" s="773"/>
      <c r="BT136" s="773"/>
      <c r="BU136" s="773"/>
      <c r="BV136" s="773"/>
    </row>
    <row r="137" spans="1:74" s="439" customFormat="1" ht="18.75" x14ac:dyDescent="0.25">
      <c r="A137" s="770"/>
      <c r="B137" s="1045"/>
      <c r="C137" s="1011"/>
      <c r="D137" s="459" t="s">
        <v>154</v>
      </c>
      <c r="E137" s="1014"/>
      <c r="F137" s="389">
        <v>2395</v>
      </c>
      <c r="G137" s="389" t="s">
        <v>22</v>
      </c>
      <c r="H137" s="391"/>
      <c r="I137" s="429">
        <f t="shared" si="32"/>
        <v>0</v>
      </c>
      <c r="J137" s="663"/>
      <c r="K137" s="663"/>
      <c r="L137" s="666"/>
      <c r="M137" s="1017"/>
      <c r="N137" s="459" t="s">
        <v>154</v>
      </c>
      <c r="O137" s="1014"/>
      <c r="P137" s="409">
        <v>2821</v>
      </c>
      <c r="Q137" s="410" t="s">
        <v>23</v>
      </c>
      <c r="R137" s="391"/>
      <c r="S137" s="484">
        <f t="shared" si="33"/>
        <v>0</v>
      </c>
      <c r="T137" s="687"/>
      <c r="U137" s="724"/>
      <c r="V137" s="692"/>
      <c r="W137" s="773"/>
      <c r="X137" s="773"/>
      <c r="Y137" s="773"/>
      <c r="Z137" s="773"/>
      <c r="AA137" s="773"/>
      <c r="AB137" s="773"/>
      <c r="AC137" s="773"/>
      <c r="AD137" s="773"/>
      <c r="AE137" s="773"/>
      <c r="AF137" s="773"/>
      <c r="AG137" s="773"/>
      <c r="AH137" s="773"/>
      <c r="AI137" s="773"/>
      <c r="AJ137" s="773"/>
      <c r="AK137" s="773"/>
      <c r="AL137" s="773"/>
      <c r="AM137" s="773"/>
      <c r="AN137" s="773"/>
      <c r="AO137" s="773"/>
      <c r="AP137" s="773"/>
      <c r="AQ137" s="773"/>
      <c r="AR137" s="773"/>
      <c r="AS137" s="773"/>
      <c r="AT137" s="773"/>
      <c r="AU137" s="773"/>
      <c r="AV137" s="773"/>
      <c r="AW137" s="773"/>
      <c r="AX137" s="773"/>
      <c r="AY137" s="773"/>
      <c r="AZ137" s="773"/>
      <c r="BA137" s="773"/>
      <c r="BB137" s="773"/>
      <c r="BC137" s="773"/>
      <c r="BD137" s="773"/>
      <c r="BE137" s="773"/>
      <c r="BF137" s="773"/>
      <c r="BG137" s="773"/>
      <c r="BH137" s="773"/>
      <c r="BI137" s="773"/>
      <c r="BJ137" s="773"/>
      <c r="BK137" s="773"/>
      <c r="BL137" s="773"/>
      <c r="BM137" s="773"/>
      <c r="BN137" s="773"/>
      <c r="BO137" s="773"/>
      <c r="BP137" s="773"/>
      <c r="BQ137" s="773"/>
      <c r="BR137" s="773"/>
      <c r="BS137" s="773"/>
      <c r="BT137" s="773"/>
      <c r="BU137" s="773"/>
      <c r="BV137" s="773"/>
    </row>
    <row r="138" spans="1:74" s="439" customFormat="1" ht="18.75" x14ac:dyDescent="0.25">
      <c r="A138" s="770"/>
      <c r="B138" s="1045"/>
      <c r="C138" s="1011"/>
      <c r="D138" s="459" t="s">
        <v>155</v>
      </c>
      <c r="E138" s="1014"/>
      <c r="F138" s="389">
        <v>2395</v>
      </c>
      <c r="G138" s="389" t="s">
        <v>22</v>
      </c>
      <c r="H138" s="391"/>
      <c r="I138" s="429">
        <f t="shared" si="32"/>
        <v>0</v>
      </c>
      <c r="J138" s="663"/>
      <c r="K138" s="665"/>
      <c r="L138" s="664"/>
      <c r="M138" s="1017"/>
      <c r="N138" s="459" t="s">
        <v>155</v>
      </c>
      <c r="O138" s="1014"/>
      <c r="P138" s="409">
        <v>2821</v>
      </c>
      <c r="Q138" s="410" t="s">
        <v>23</v>
      </c>
      <c r="R138" s="391"/>
      <c r="S138" s="484">
        <f t="shared" si="33"/>
        <v>0</v>
      </c>
      <c r="T138" s="687"/>
      <c r="U138" s="687"/>
      <c r="V138" s="861"/>
      <c r="W138" s="773"/>
      <c r="X138" s="773"/>
      <c r="Y138" s="773"/>
      <c r="Z138" s="773"/>
      <c r="AA138" s="773"/>
      <c r="AB138" s="773"/>
      <c r="AC138" s="773"/>
      <c r="AD138" s="773"/>
      <c r="AE138" s="773"/>
      <c r="AF138" s="773"/>
      <c r="AG138" s="773"/>
      <c r="AH138" s="773"/>
      <c r="AI138" s="773"/>
      <c r="AJ138" s="773"/>
      <c r="AK138" s="773"/>
      <c r="AL138" s="773"/>
      <c r="AM138" s="773"/>
      <c r="AN138" s="773"/>
      <c r="AO138" s="773"/>
      <c r="AP138" s="773"/>
      <c r="AQ138" s="773"/>
      <c r="AR138" s="773"/>
      <c r="AS138" s="773"/>
      <c r="AT138" s="773"/>
      <c r="AU138" s="773"/>
      <c r="AV138" s="773"/>
      <c r="AW138" s="773"/>
      <c r="AX138" s="773"/>
      <c r="AY138" s="773"/>
      <c r="AZ138" s="773"/>
      <c r="BA138" s="773"/>
      <c r="BB138" s="773"/>
      <c r="BC138" s="773"/>
      <c r="BD138" s="773"/>
      <c r="BE138" s="773"/>
      <c r="BF138" s="773"/>
      <c r="BG138" s="773"/>
      <c r="BH138" s="773"/>
      <c r="BI138" s="773"/>
      <c r="BJ138" s="773"/>
      <c r="BK138" s="773"/>
      <c r="BL138" s="773"/>
      <c r="BM138" s="773"/>
      <c r="BN138" s="773"/>
      <c r="BO138" s="773"/>
      <c r="BP138" s="773"/>
      <c r="BQ138" s="773"/>
      <c r="BR138" s="773"/>
      <c r="BS138" s="773"/>
      <c r="BT138" s="773"/>
      <c r="BU138" s="773"/>
      <c r="BV138" s="773"/>
    </row>
    <row r="139" spans="1:74" s="439" customFormat="1" ht="18.75" x14ac:dyDescent="0.25">
      <c r="A139" s="770"/>
      <c r="B139" s="1045"/>
      <c r="C139" s="1012"/>
      <c r="D139" s="473" t="s">
        <v>156</v>
      </c>
      <c r="E139" s="1015"/>
      <c r="F139" s="404">
        <v>2395</v>
      </c>
      <c r="G139" s="404" t="s">
        <v>22</v>
      </c>
      <c r="H139" s="426"/>
      <c r="I139" s="429">
        <f t="shared" si="32"/>
        <v>0</v>
      </c>
      <c r="J139" s="663"/>
      <c r="K139" s="665"/>
      <c r="L139" s="664"/>
      <c r="M139" s="1018"/>
      <c r="N139" s="473" t="s">
        <v>156</v>
      </c>
      <c r="O139" s="1015"/>
      <c r="P139" s="413">
        <v>2821</v>
      </c>
      <c r="Q139" s="414" t="s">
        <v>23</v>
      </c>
      <c r="R139" s="391"/>
      <c r="S139" s="484">
        <f t="shared" si="33"/>
        <v>0</v>
      </c>
      <c r="T139" s="687"/>
      <c r="U139" s="724"/>
      <c r="V139" s="861"/>
      <c r="W139" s="773"/>
      <c r="X139" s="773"/>
      <c r="Y139" s="773"/>
      <c r="Z139" s="773"/>
      <c r="AA139" s="773"/>
      <c r="AB139" s="773"/>
      <c r="AC139" s="773"/>
      <c r="AD139" s="773"/>
      <c r="AE139" s="773"/>
      <c r="AF139" s="773"/>
      <c r="AG139" s="773"/>
      <c r="AH139" s="773"/>
      <c r="AI139" s="773"/>
      <c r="AJ139" s="773"/>
      <c r="AK139" s="773"/>
      <c r="AL139" s="773"/>
      <c r="AM139" s="773"/>
      <c r="AN139" s="773"/>
      <c r="AO139" s="773"/>
      <c r="AP139" s="773"/>
      <c r="AQ139" s="773"/>
      <c r="AR139" s="773"/>
      <c r="AS139" s="773"/>
      <c r="AT139" s="773"/>
      <c r="AU139" s="773"/>
      <c r="AV139" s="773"/>
      <c r="AW139" s="773"/>
      <c r="AX139" s="773"/>
      <c r="AY139" s="773"/>
      <c r="AZ139" s="773"/>
      <c r="BA139" s="773"/>
      <c r="BB139" s="773"/>
      <c r="BC139" s="773"/>
      <c r="BD139" s="773"/>
      <c r="BE139" s="773"/>
      <c r="BF139" s="773"/>
      <c r="BG139" s="773"/>
      <c r="BH139" s="773"/>
      <c r="BI139" s="773"/>
      <c r="BJ139" s="773"/>
      <c r="BK139" s="773"/>
      <c r="BL139" s="773"/>
      <c r="BM139" s="773"/>
      <c r="BN139" s="773"/>
      <c r="BO139" s="773"/>
      <c r="BP139" s="773"/>
      <c r="BQ139" s="773"/>
      <c r="BR139" s="773"/>
      <c r="BS139" s="773"/>
      <c r="BT139" s="773"/>
      <c r="BU139" s="773"/>
      <c r="BV139" s="773"/>
    </row>
    <row r="140" spans="1:74" s="439" customFormat="1" ht="18" x14ac:dyDescent="0.25">
      <c r="A140" s="770"/>
      <c r="B140" s="1046"/>
      <c r="C140" s="1041" t="s">
        <v>99</v>
      </c>
      <c r="D140" s="1041"/>
      <c r="E140" s="805">
        <f>E132*12*0.62/100</f>
        <v>1116</v>
      </c>
      <c r="F140" s="1026" t="s">
        <v>100</v>
      </c>
      <c r="G140" s="1027"/>
      <c r="H140" s="427">
        <f>+SUM(H132:H139)</f>
        <v>0</v>
      </c>
      <c r="I140" s="428">
        <f>+SUM(I132:I139)</f>
        <v>0</v>
      </c>
      <c r="J140" s="658"/>
      <c r="K140" s="658"/>
      <c r="L140" s="658"/>
      <c r="M140" s="1019" t="s">
        <v>99</v>
      </c>
      <c r="N140" s="1028"/>
      <c r="O140" s="688">
        <f>O132*12*0.63/100</f>
        <v>2154.6</v>
      </c>
      <c r="P140" s="1050" t="s">
        <v>100</v>
      </c>
      <c r="Q140" s="1051"/>
      <c r="R140" s="689">
        <f>+SUM(R132:R139)</f>
        <v>0</v>
      </c>
      <c r="S140" s="690">
        <f>+SUM(S132:S139)</f>
        <v>0</v>
      </c>
      <c r="T140" s="678"/>
      <c r="U140" s="671"/>
      <c r="V140" s="658"/>
      <c r="W140" s="773"/>
      <c r="X140" s="773"/>
      <c r="Y140" s="773"/>
      <c r="Z140" s="773"/>
      <c r="AA140" s="773"/>
      <c r="AB140" s="773"/>
      <c r="AC140" s="773"/>
      <c r="AD140" s="773"/>
      <c r="AE140" s="773"/>
      <c r="AF140" s="773"/>
      <c r="AG140" s="773"/>
      <c r="AH140" s="773"/>
      <c r="AI140" s="773"/>
      <c r="AJ140" s="773"/>
      <c r="AK140" s="773"/>
      <c r="AL140" s="773"/>
      <c r="AM140" s="773"/>
      <c r="AN140" s="773"/>
      <c r="AO140" s="773"/>
      <c r="AP140" s="773"/>
      <c r="AQ140" s="773"/>
      <c r="AR140" s="773"/>
      <c r="AS140" s="773"/>
      <c r="AT140" s="773"/>
      <c r="AU140" s="773"/>
      <c r="AV140" s="773"/>
      <c r="AW140" s="773"/>
      <c r="AX140" s="773"/>
      <c r="AY140" s="773"/>
      <c r="AZ140" s="773"/>
      <c r="BA140" s="773"/>
      <c r="BB140" s="773"/>
      <c r="BC140" s="773"/>
      <c r="BD140" s="773"/>
      <c r="BE140" s="773"/>
      <c r="BF140" s="773"/>
      <c r="BG140" s="773"/>
      <c r="BH140" s="773"/>
      <c r="BI140" s="773"/>
      <c r="BJ140" s="773"/>
      <c r="BK140" s="773"/>
      <c r="BL140" s="773"/>
      <c r="BM140" s="773"/>
      <c r="BN140" s="773"/>
      <c r="BO140" s="773"/>
      <c r="BP140" s="773"/>
      <c r="BQ140" s="773"/>
      <c r="BR140" s="773"/>
      <c r="BS140" s="773"/>
      <c r="BT140" s="773"/>
      <c r="BU140" s="773"/>
      <c r="BV140" s="773"/>
    </row>
    <row r="141" spans="1:74" s="439" customFormat="1" ht="18" x14ac:dyDescent="0.25">
      <c r="A141" s="770"/>
      <c r="B141" s="1044">
        <f>+B114+1</f>
        <v>46095</v>
      </c>
      <c r="C141" s="1047">
        <v>4</v>
      </c>
      <c r="D141" s="433" t="s">
        <v>91</v>
      </c>
      <c r="E141" s="1009">
        <v>15000</v>
      </c>
      <c r="F141" s="402">
        <v>2395</v>
      </c>
      <c r="G141" s="402" t="s">
        <v>22</v>
      </c>
      <c r="H141" s="393"/>
      <c r="I141" s="429">
        <f t="shared" ref="I141:I148" si="34">IF(F141=2395, H141*12*0.62/100, IF(F141=1564, H141*12*0.65/100, ""))</f>
        <v>0</v>
      </c>
      <c r="J141" s="791"/>
      <c r="K141" s="698"/>
      <c r="L141" s="660"/>
      <c r="M141" s="1047">
        <v>1</v>
      </c>
      <c r="N141" s="433" t="s">
        <v>91</v>
      </c>
      <c r="O141" s="1009">
        <v>28500</v>
      </c>
      <c r="P141" s="410">
        <v>2821</v>
      </c>
      <c r="Q141" s="410" t="s">
        <v>23</v>
      </c>
      <c r="R141" s="391"/>
      <c r="S141" s="484">
        <f t="shared" ref="S141:S148" si="35">IF(P141=6843, R141*12*0.62/100,IF(P141=2821, R141*12*0.63/100,IF(P141=6842, R141*12*0.63/100,IF(P141=1564, R141*12*0.65/100, ""))))</f>
        <v>0</v>
      </c>
      <c r="T141" s="687"/>
      <c r="U141" s="687"/>
      <c r="V141" s="438"/>
      <c r="W141" s="773"/>
      <c r="X141" s="773"/>
      <c r="Y141" s="773"/>
      <c r="Z141" s="773"/>
      <c r="AA141" s="773"/>
      <c r="AB141" s="773"/>
      <c r="AC141" s="773"/>
      <c r="AD141" s="773"/>
      <c r="AE141" s="773"/>
      <c r="AF141" s="773"/>
      <c r="AG141" s="773"/>
      <c r="AH141" s="773"/>
      <c r="AI141" s="773"/>
      <c r="AJ141" s="773"/>
      <c r="AK141" s="773"/>
      <c r="AL141" s="773"/>
      <c r="AM141" s="773"/>
      <c r="AN141" s="773"/>
      <c r="AO141" s="773"/>
      <c r="AP141" s="773"/>
      <c r="AQ141" s="773"/>
      <c r="AR141" s="773"/>
      <c r="AS141" s="773"/>
      <c r="AT141" s="773"/>
      <c r="AU141" s="773"/>
      <c r="AV141" s="773"/>
      <c r="AW141" s="773"/>
      <c r="AX141" s="773"/>
      <c r="AY141" s="773"/>
      <c r="AZ141" s="773"/>
      <c r="BA141" s="773"/>
      <c r="BB141" s="773"/>
      <c r="BC141" s="773"/>
      <c r="BD141" s="773"/>
      <c r="BE141" s="773"/>
      <c r="BF141" s="773"/>
      <c r="BG141" s="773"/>
      <c r="BH141" s="773"/>
      <c r="BI141" s="773"/>
      <c r="BJ141" s="773"/>
      <c r="BK141" s="773"/>
      <c r="BL141" s="773"/>
      <c r="BM141" s="773"/>
      <c r="BN141" s="773"/>
      <c r="BO141" s="773"/>
      <c r="BP141" s="773"/>
      <c r="BQ141" s="773"/>
      <c r="BR141" s="773"/>
      <c r="BS141" s="773"/>
      <c r="BT141" s="773"/>
      <c r="BU141" s="773"/>
      <c r="BV141" s="773"/>
    </row>
    <row r="142" spans="1:74" s="439" customFormat="1" ht="18" x14ac:dyDescent="0.25">
      <c r="A142" s="770"/>
      <c r="B142" s="1045"/>
      <c r="C142" s="1047"/>
      <c r="D142" s="433" t="s">
        <v>92</v>
      </c>
      <c r="E142" s="1009"/>
      <c r="F142" s="389">
        <v>2395</v>
      </c>
      <c r="G142" s="389" t="s">
        <v>22</v>
      </c>
      <c r="H142" s="391"/>
      <c r="I142" s="429">
        <f t="shared" si="34"/>
        <v>0</v>
      </c>
      <c r="J142" s="791"/>
      <c r="K142" s="698"/>
      <c r="L142" s="660"/>
      <c r="M142" s="1047"/>
      <c r="N142" s="433" t="s">
        <v>92</v>
      </c>
      <c r="O142" s="1009"/>
      <c r="P142" s="410">
        <v>2821</v>
      </c>
      <c r="Q142" s="410" t="s">
        <v>23</v>
      </c>
      <c r="R142" s="391"/>
      <c r="S142" s="484">
        <f t="shared" si="35"/>
        <v>0</v>
      </c>
      <c r="T142" s="724"/>
      <c r="U142" s="724"/>
      <c r="V142" s="438"/>
      <c r="W142" s="773"/>
      <c r="X142" s="773"/>
      <c r="Y142" s="773"/>
      <c r="Z142" s="773"/>
      <c r="AA142" s="773"/>
      <c r="AB142" s="773"/>
      <c r="AC142" s="773"/>
      <c r="AD142" s="773"/>
      <c r="AE142" s="773"/>
      <c r="AF142" s="773"/>
      <c r="AG142" s="773"/>
      <c r="AH142" s="773"/>
      <c r="AI142" s="773"/>
      <c r="AJ142" s="773"/>
      <c r="AK142" s="773"/>
      <c r="AL142" s="773"/>
      <c r="AM142" s="773"/>
      <c r="AN142" s="773"/>
      <c r="AO142" s="773"/>
      <c r="AP142" s="773"/>
      <c r="AQ142" s="773"/>
      <c r="AR142" s="773"/>
      <c r="AS142" s="773"/>
      <c r="AT142" s="773"/>
      <c r="AU142" s="773"/>
      <c r="AV142" s="773"/>
      <c r="AW142" s="773"/>
      <c r="AX142" s="773"/>
      <c r="AY142" s="773"/>
      <c r="AZ142" s="773"/>
      <c r="BA142" s="773"/>
      <c r="BB142" s="773"/>
      <c r="BC142" s="773"/>
      <c r="BD142" s="773"/>
      <c r="BE142" s="773"/>
      <c r="BF142" s="773"/>
      <c r="BG142" s="773"/>
      <c r="BH142" s="773"/>
      <c r="BI142" s="773"/>
      <c r="BJ142" s="773"/>
      <c r="BK142" s="773"/>
      <c r="BL142" s="773"/>
      <c r="BM142" s="773"/>
      <c r="BN142" s="773"/>
      <c r="BO142" s="773"/>
      <c r="BP142" s="773"/>
      <c r="BQ142" s="773"/>
      <c r="BR142" s="773"/>
      <c r="BS142" s="773"/>
      <c r="BT142" s="773"/>
      <c r="BU142" s="773"/>
      <c r="BV142" s="773"/>
    </row>
    <row r="143" spans="1:74" s="439" customFormat="1" ht="18" x14ac:dyDescent="0.25">
      <c r="A143" s="770"/>
      <c r="B143" s="1045"/>
      <c r="C143" s="1047"/>
      <c r="D143" s="433" t="s">
        <v>93</v>
      </c>
      <c r="E143" s="1009"/>
      <c r="F143" s="389">
        <v>2395</v>
      </c>
      <c r="G143" s="389" t="s">
        <v>22</v>
      </c>
      <c r="H143" s="391"/>
      <c r="I143" s="429">
        <f t="shared" si="34"/>
        <v>0</v>
      </c>
      <c r="J143" s="691"/>
      <c r="K143" s="698"/>
      <c r="L143" s="660"/>
      <c r="M143" s="1047"/>
      <c r="N143" s="433" t="s">
        <v>93</v>
      </c>
      <c r="O143" s="1009"/>
      <c r="P143" s="410">
        <v>2821</v>
      </c>
      <c r="Q143" s="410" t="s">
        <v>23</v>
      </c>
      <c r="R143" s="391"/>
      <c r="S143" s="484">
        <f t="shared" si="35"/>
        <v>0</v>
      </c>
      <c r="T143" s="687"/>
      <c r="U143" s="687"/>
      <c r="V143" s="438"/>
      <c r="W143" s="773"/>
      <c r="X143" s="773"/>
      <c r="Y143" s="773"/>
      <c r="Z143" s="773"/>
      <c r="AA143" s="773"/>
      <c r="AB143" s="773"/>
      <c r="AC143" s="773"/>
      <c r="AD143" s="773"/>
      <c r="AE143" s="773"/>
      <c r="AF143" s="773"/>
      <c r="AG143" s="773"/>
      <c r="AH143" s="773"/>
      <c r="AI143" s="773"/>
      <c r="AJ143" s="773"/>
      <c r="AK143" s="773"/>
      <c r="AL143" s="773"/>
      <c r="AM143" s="773"/>
      <c r="AN143" s="773"/>
      <c r="AO143" s="773"/>
      <c r="AP143" s="773"/>
      <c r="AQ143" s="773"/>
      <c r="AR143" s="773"/>
      <c r="AS143" s="773"/>
      <c r="AT143" s="773"/>
      <c r="AU143" s="773"/>
      <c r="AV143" s="773"/>
      <c r="AW143" s="773"/>
      <c r="AX143" s="773"/>
      <c r="AY143" s="773"/>
      <c r="AZ143" s="773"/>
      <c r="BA143" s="773"/>
      <c r="BB143" s="773"/>
      <c r="BC143" s="773"/>
      <c r="BD143" s="773"/>
      <c r="BE143" s="773"/>
      <c r="BF143" s="773"/>
      <c r="BG143" s="773"/>
      <c r="BH143" s="773"/>
      <c r="BI143" s="773"/>
      <c r="BJ143" s="773"/>
      <c r="BK143" s="773"/>
      <c r="BL143" s="773"/>
      <c r="BM143" s="773"/>
      <c r="BN143" s="773"/>
      <c r="BO143" s="773"/>
      <c r="BP143" s="773"/>
      <c r="BQ143" s="773"/>
      <c r="BR143" s="773"/>
      <c r="BS143" s="773"/>
      <c r="BT143" s="773"/>
      <c r="BU143" s="773"/>
      <c r="BV143" s="773"/>
    </row>
    <row r="144" spans="1:74" s="439" customFormat="1" ht="18" x14ac:dyDescent="0.25">
      <c r="A144" s="770"/>
      <c r="B144" s="1045"/>
      <c r="C144" s="1047"/>
      <c r="D144" s="433" t="s">
        <v>94</v>
      </c>
      <c r="E144" s="1009"/>
      <c r="F144" s="389">
        <v>2395</v>
      </c>
      <c r="G144" s="389" t="s">
        <v>22</v>
      </c>
      <c r="H144" s="391"/>
      <c r="I144" s="429">
        <f t="shared" si="34"/>
        <v>0</v>
      </c>
      <c r="J144" s="691"/>
      <c r="K144" s="698"/>
      <c r="L144" s="660"/>
      <c r="M144" s="1047"/>
      <c r="N144" s="433" t="s">
        <v>94</v>
      </c>
      <c r="O144" s="1009"/>
      <c r="P144" s="410">
        <v>2821</v>
      </c>
      <c r="Q144" s="410" t="s">
        <v>23</v>
      </c>
      <c r="R144" s="391"/>
      <c r="S144" s="484">
        <f t="shared" si="35"/>
        <v>0</v>
      </c>
      <c r="T144" s="687"/>
      <c r="U144" s="687"/>
      <c r="V144" s="438"/>
      <c r="W144" s="773"/>
      <c r="X144" s="773"/>
      <c r="Y144" s="773"/>
      <c r="Z144" s="773"/>
      <c r="AA144" s="773"/>
      <c r="AB144" s="773"/>
      <c r="AC144" s="773"/>
      <c r="AD144" s="773"/>
      <c r="AE144" s="773"/>
      <c r="AF144" s="773"/>
      <c r="AG144" s="773"/>
      <c r="AH144" s="773"/>
      <c r="AI144" s="773"/>
      <c r="AJ144" s="773"/>
      <c r="AK144" s="773"/>
      <c r="AL144" s="773"/>
      <c r="AM144" s="773"/>
      <c r="AN144" s="773"/>
      <c r="AO144" s="773"/>
      <c r="AP144" s="773"/>
      <c r="AQ144" s="773"/>
      <c r="AR144" s="773"/>
      <c r="AS144" s="773"/>
      <c r="AT144" s="773"/>
      <c r="AU144" s="773"/>
      <c r="AV144" s="773"/>
      <c r="AW144" s="773"/>
      <c r="AX144" s="773"/>
      <c r="AY144" s="773"/>
      <c r="AZ144" s="773"/>
      <c r="BA144" s="773"/>
      <c r="BB144" s="773"/>
      <c r="BC144" s="773"/>
      <c r="BD144" s="773"/>
      <c r="BE144" s="773"/>
      <c r="BF144" s="773"/>
      <c r="BG144" s="773"/>
      <c r="BH144" s="773"/>
      <c r="BI144" s="773"/>
      <c r="BJ144" s="773"/>
      <c r="BK144" s="773"/>
      <c r="BL144" s="773"/>
      <c r="BM144" s="773"/>
      <c r="BN144" s="773"/>
      <c r="BO144" s="773"/>
      <c r="BP144" s="773"/>
      <c r="BQ144" s="773"/>
      <c r="BR144" s="773"/>
      <c r="BS144" s="773"/>
      <c r="BT144" s="773"/>
      <c r="BU144" s="773"/>
      <c r="BV144" s="773"/>
    </row>
    <row r="145" spans="1:74" s="439" customFormat="1" ht="18" x14ac:dyDescent="0.25">
      <c r="A145" s="770"/>
      <c r="B145" s="1045"/>
      <c r="C145" s="1047"/>
      <c r="D145" s="433" t="s">
        <v>95</v>
      </c>
      <c r="E145" s="1009"/>
      <c r="F145" s="389">
        <v>2395</v>
      </c>
      <c r="G145" s="389" t="s">
        <v>22</v>
      </c>
      <c r="H145" s="391"/>
      <c r="I145" s="429">
        <f t="shared" si="34"/>
        <v>0</v>
      </c>
      <c r="J145" s="791"/>
      <c r="K145" s="791"/>
      <c r="L145" s="441"/>
      <c r="M145" s="1047"/>
      <c r="N145" s="433" t="s">
        <v>95</v>
      </c>
      <c r="O145" s="1009"/>
      <c r="P145" s="410">
        <v>2821</v>
      </c>
      <c r="Q145" s="410" t="s">
        <v>23</v>
      </c>
      <c r="R145" s="391"/>
      <c r="S145" s="484">
        <f t="shared" si="35"/>
        <v>0</v>
      </c>
      <c r="T145" s="687"/>
      <c r="U145" s="687"/>
      <c r="V145" s="438"/>
      <c r="W145" s="773"/>
      <c r="X145" s="773"/>
      <c r="Y145" s="773"/>
      <c r="Z145" s="773"/>
      <c r="AA145" s="773"/>
      <c r="AB145" s="773"/>
      <c r="AC145" s="773"/>
      <c r="AD145" s="773"/>
      <c r="AE145" s="773"/>
      <c r="AF145" s="773"/>
      <c r="AG145" s="773"/>
      <c r="AH145" s="773"/>
      <c r="AI145" s="773"/>
      <c r="AJ145" s="773"/>
      <c r="AK145" s="773"/>
      <c r="AL145" s="773"/>
      <c r="AM145" s="773"/>
      <c r="AN145" s="773"/>
      <c r="AO145" s="773"/>
      <c r="AP145" s="773"/>
      <c r="AQ145" s="773"/>
      <c r="AR145" s="773"/>
      <c r="AS145" s="773"/>
      <c r="AT145" s="773"/>
      <c r="AU145" s="773"/>
      <c r="AV145" s="773"/>
      <c r="AW145" s="773"/>
      <c r="AX145" s="773"/>
      <c r="AY145" s="773"/>
      <c r="AZ145" s="773"/>
      <c r="BA145" s="773"/>
      <c r="BB145" s="773"/>
      <c r="BC145" s="773"/>
      <c r="BD145" s="773"/>
      <c r="BE145" s="773"/>
      <c r="BF145" s="773"/>
      <c r="BG145" s="773"/>
      <c r="BH145" s="773"/>
      <c r="BI145" s="773"/>
      <c r="BJ145" s="773"/>
      <c r="BK145" s="773"/>
      <c r="BL145" s="773"/>
      <c r="BM145" s="773"/>
      <c r="BN145" s="773"/>
      <c r="BO145" s="773"/>
      <c r="BP145" s="773"/>
      <c r="BQ145" s="773"/>
      <c r="BR145" s="773"/>
      <c r="BS145" s="773"/>
      <c r="BT145" s="773"/>
      <c r="BU145" s="773"/>
      <c r="BV145" s="773"/>
    </row>
    <row r="146" spans="1:74" s="439" customFormat="1" ht="18" x14ac:dyDescent="0.25">
      <c r="A146" s="770"/>
      <c r="B146" s="1045"/>
      <c r="C146" s="1047"/>
      <c r="D146" s="433" t="s">
        <v>96</v>
      </c>
      <c r="E146" s="1009"/>
      <c r="F146" s="389">
        <v>2395</v>
      </c>
      <c r="G146" s="389" t="s">
        <v>22</v>
      </c>
      <c r="H146" s="391"/>
      <c r="I146" s="429">
        <f t="shared" si="34"/>
        <v>0</v>
      </c>
      <c r="J146" s="698"/>
      <c r="K146" s="698"/>
      <c r="L146" s="660"/>
      <c r="M146" s="1047"/>
      <c r="N146" s="433" t="s">
        <v>96</v>
      </c>
      <c r="O146" s="1009"/>
      <c r="P146" s="410">
        <v>2821</v>
      </c>
      <c r="Q146" s="410" t="s">
        <v>23</v>
      </c>
      <c r="R146" s="391"/>
      <c r="S146" s="484">
        <f t="shared" si="35"/>
        <v>0</v>
      </c>
      <c r="T146" s="687"/>
      <c r="U146" s="687"/>
      <c r="V146" s="438"/>
      <c r="W146" s="773"/>
      <c r="X146" s="773"/>
      <c r="Y146" s="773"/>
      <c r="Z146" s="773"/>
      <c r="AA146" s="773"/>
      <c r="AB146" s="773"/>
      <c r="AC146" s="773"/>
      <c r="AD146" s="773"/>
      <c r="AE146" s="773"/>
      <c r="AF146" s="773"/>
      <c r="AG146" s="773"/>
      <c r="AH146" s="773"/>
      <c r="AI146" s="773"/>
      <c r="AJ146" s="773"/>
      <c r="AK146" s="773"/>
      <c r="AL146" s="773"/>
      <c r="AM146" s="773"/>
      <c r="AN146" s="773"/>
      <c r="AO146" s="773"/>
      <c r="AP146" s="773"/>
      <c r="AQ146" s="773"/>
      <c r="AR146" s="773"/>
      <c r="AS146" s="773"/>
      <c r="AT146" s="773"/>
      <c r="AU146" s="773"/>
      <c r="AV146" s="773"/>
      <c r="AW146" s="773"/>
      <c r="AX146" s="773"/>
      <c r="AY146" s="773"/>
      <c r="AZ146" s="773"/>
      <c r="BA146" s="773"/>
      <c r="BB146" s="773"/>
      <c r="BC146" s="773"/>
      <c r="BD146" s="773"/>
      <c r="BE146" s="773"/>
      <c r="BF146" s="773"/>
      <c r="BG146" s="773"/>
      <c r="BH146" s="773"/>
      <c r="BI146" s="773"/>
      <c r="BJ146" s="773"/>
      <c r="BK146" s="773"/>
      <c r="BL146" s="773"/>
      <c r="BM146" s="773"/>
      <c r="BN146" s="773"/>
      <c r="BO146" s="773"/>
      <c r="BP146" s="773"/>
      <c r="BQ146" s="773"/>
      <c r="BR146" s="773"/>
      <c r="BS146" s="773"/>
      <c r="BT146" s="773"/>
      <c r="BU146" s="773"/>
      <c r="BV146" s="773"/>
    </row>
    <row r="147" spans="1:74" s="439" customFormat="1" ht="18" x14ac:dyDescent="0.25">
      <c r="A147" s="770"/>
      <c r="B147" s="1045"/>
      <c r="C147" s="1047"/>
      <c r="D147" s="433" t="s">
        <v>97</v>
      </c>
      <c r="E147" s="1009"/>
      <c r="F147" s="389">
        <v>2395</v>
      </c>
      <c r="G147" s="389" t="s">
        <v>22</v>
      </c>
      <c r="H147" s="391"/>
      <c r="I147" s="429">
        <f t="shared" si="34"/>
        <v>0</v>
      </c>
      <c r="J147" s="698"/>
      <c r="K147" s="698"/>
      <c r="L147" s="660"/>
      <c r="M147" s="1047"/>
      <c r="N147" s="433" t="s">
        <v>97</v>
      </c>
      <c r="O147" s="1009"/>
      <c r="P147" s="410">
        <v>2821</v>
      </c>
      <c r="Q147" s="410" t="s">
        <v>23</v>
      </c>
      <c r="R147" s="391"/>
      <c r="S147" s="484">
        <f t="shared" si="35"/>
        <v>0</v>
      </c>
      <c r="T147" s="687"/>
      <c r="U147" s="687"/>
      <c r="V147" s="438"/>
      <c r="W147" s="773"/>
      <c r="X147" s="773"/>
      <c r="Y147" s="773"/>
      <c r="Z147" s="773"/>
      <c r="AA147" s="773"/>
      <c r="AB147" s="773"/>
      <c r="AC147" s="773"/>
      <c r="AD147" s="773"/>
      <c r="AE147" s="773"/>
      <c r="AF147" s="773"/>
      <c r="AG147" s="773"/>
      <c r="AH147" s="773"/>
      <c r="AI147" s="773"/>
      <c r="AJ147" s="773"/>
      <c r="AK147" s="773"/>
      <c r="AL147" s="773"/>
      <c r="AM147" s="773"/>
      <c r="AN147" s="773"/>
      <c r="AO147" s="773"/>
      <c r="AP147" s="773"/>
      <c r="AQ147" s="773"/>
      <c r="AR147" s="773"/>
      <c r="AS147" s="773"/>
      <c r="AT147" s="773"/>
      <c r="AU147" s="773"/>
      <c r="AV147" s="773"/>
      <c r="AW147" s="773"/>
      <c r="AX147" s="773"/>
      <c r="AY147" s="773"/>
      <c r="AZ147" s="773"/>
      <c r="BA147" s="773"/>
      <c r="BB147" s="773"/>
      <c r="BC147" s="773"/>
      <c r="BD147" s="773"/>
      <c r="BE147" s="773"/>
      <c r="BF147" s="773"/>
      <c r="BG147" s="773"/>
      <c r="BH147" s="773"/>
      <c r="BI147" s="773"/>
      <c r="BJ147" s="773"/>
      <c r="BK147" s="773"/>
      <c r="BL147" s="773"/>
      <c r="BM147" s="773"/>
      <c r="BN147" s="773"/>
      <c r="BO147" s="773"/>
      <c r="BP147" s="773"/>
      <c r="BQ147" s="773"/>
      <c r="BR147" s="773"/>
      <c r="BS147" s="773"/>
      <c r="BT147" s="773"/>
      <c r="BU147" s="773"/>
      <c r="BV147" s="773"/>
    </row>
    <row r="148" spans="1:74" s="439" customFormat="1" ht="18" x14ac:dyDescent="0.25">
      <c r="A148" s="770"/>
      <c r="B148" s="1045"/>
      <c r="C148" s="1047"/>
      <c r="D148" s="433" t="s">
        <v>98</v>
      </c>
      <c r="E148" s="1009"/>
      <c r="F148" s="404">
        <v>2395</v>
      </c>
      <c r="G148" s="404" t="s">
        <v>22</v>
      </c>
      <c r="H148" s="391"/>
      <c r="I148" s="429">
        <f t="shared" si="34"/>
        <v>0</v>
      </c>
      <c r="J148" s="698"/>
      <c r="K148" s="698"/>
      <c r="L148" s="660"/>
      <c r="M148" s="1047"/>
      <c r="N148" s="433" t="s">
        <v>98</v>
      </c>
      <c r="O148" s="1009"/>
      <c r="P148" s="410">
        <v>2821</v>
      </c>
      <c r="Q148" s="410" t="s">
        <v>23</v>
      </c>
      <c r="R148" s="391"/>
      <c r="S148" s="484">
        <f t="shared" si="35"/>
        <v>0</v>
      </c>
      <c r="T148" s="687"/>
      <c r="U148" s="687"/>
      <c r="V148" s="438"/>
      <c r="W148" s="773"/>
      <c r="X148" s="773"/>
      <c r="Y148" s="773"/>
      <c r="Z148" s="773"/>
      <c r="AA148" s="773"/>
      <c r="AB148" s="773"/>
      <c r="AC148" s="773"/>
      <c r="AD148" s="773"/>
      <c r="AE148" s="773"/>
      <c r="AF148" s="773"/>
      <c r="AG148" s="773"/>
      <c r="AH148" s="773"/>
      <c r="AI148" s="773"/>
      <c r="AJ148" s="773"/>
      <c r="AK148" s="773"/>
      <c r="AL148" s="773"/>
      <c r="AM148" s="773"/>
      <c r="AN148" s="773"/>
      <c r="AO148" s="773"/>
      <c r="AP148" s="773"/>
      <c r="AQ148" s="773"/>
      <c r="AR148" s="773"/>
      <c r="AS148" s="773"/>
      <c r="AT148" s="773"/>
      <c r="AU148" s="773"/>
      <c r="AV148" s="773"/>
      <c r="AW148" s="773"/>
      <c r="AX148" s="773"/>
      <c r="AY148" s="773"/>
      <c r="AZ148" s="773"/>
      <c r="BA148" s="773"/>
      <c r="BB148" s="773"/>
      <c r="BC148" s="773"/>
      <c r="BD148" s="773"/>
      <c r="BE148" s="773"/>
      <c r="BF148" s="773"/>
      <c r="BG148" s="773"/>
      <c r="BH148" s="773"/>
      <c r="BI148" s="773"/>
      <c r="BJ148" s="773"/>
      <c r="BK148" s="773"/>
      <c r="BL148" s="773"/>
      <c r="BM148" s="773"/>
      <c r="BN148" s="773"/>
      <c r="BO148" s="773"/>
      <c r="BP148" s="773"/>
      <c r="BQ148" s="773"/>
      <c r="BR148" s="773"/>
      <c r="BS148" s="773"/>
      <c r="BT148" s="773"/>
      <c r="BU148" s="773"/>
      <c r="BV148" s="773"/>
    </row>
    <row r="149" spans="1:74" s="439" customFormat="1" ht="18" customHeight="1" x14ac:dyDescent="0.25">
      <c r="A149" s="770"/>
      <c r="B149" s="1045"/>
      <c r="C149" s="1048" t="s">
        <v>99</v>
      </c>
      <c r="D149" s="1049"/>
      <c r="E149" s="794">
        <f>E141*12*0.62/100</f>
        <v>1116</v>
      </c>
      <c r="F149" s="1026" t="s">
        <v>100</v>
      </c>
      <c r="G149" s="1027"/>
      <c r="H149" s="463">
        <f>+SUM(H141:H148)</f>
        <v>0</v>
      </c>
      <c r="I149" s="705">
        <f>+SUM(I141:I148)</f>
        <v>0</v>
      </c>
      <c r="J149" s="658"/>
      <c r="K149" s="658"/>
      <c r="L149" s="658"/>
      <c r="M149" s="1048" t="s">
        <v>99</v>
      </c>
      <c r="N149" s="1049"/>
      <c r="O149" s="794">
        <f>O141*12*0.65/100</f>
        <v>2223</v>
      </c>
      <c r="P149" s="1040" t="s">
        <v>100</v>
      </c>
      <c r="Q149" s="1040"/>
      <c r="R149" s="463">
        <f>+SUM(R141:R148)</f>
        <v>0</v>
      </c>
      <c r="S149" s="464">
        <f>+SUM(S141:S148)</f>
        <v>0</v>
      </c>
      <c r="T149" s="667"/>
      <c r="U149" s="671"/>
      <c r="V149" s="658"/>
      <c r="W149" s="773"/>
      <c r="X149" s="773"/>
      <c r="Y149" s="773"/>
      <c r="Z149" s="773"/>
      <c r="AA149" s="773"/>
      <c r="AB149" s="773"/>
      <c r="AC149" s="773"/>
      <c r="AD149" s="773"/>
      <c r="AE149" s="773"/>
      <c r="AF149" s="773"/>
      <c r="AG149" s="773"/>
      <c r="AH149" s="773"/>
      <c r="AI149" s="773"/>
      <c r="AJ149" s="773"/>
      <c r="AK149" s="773"/>
      <c r="AL149" s="773"/>
      <c r="AM149" s="773"/>
      <c r="AN149" s="773"/>
      <c r="AO149" s="773"/>
      <c r="AP149" s="773"/>
      <c r="AQ149" s="773"/>
      <c r="AR149" s="773"/>
      <c r="AS149" s="773"/>
      <c r="AT149" s="773"/>
      <c r="AU149" s="773"/>
      <c r="AV149" s="773"/>
      <c r="AW149" s="773"/>
      <c r="AX149" s="773"/>
      <c r="AY149" s="773"/>
      <c r="AZ149" s="773"/>
      <c r="BA149" s="773"/>
      <c r="BB149" s="773"/>
      <c r="BC149" s="773"/>
      <c r="BD149" s="773"/>
      <c r="BE149" s="773"/>
      <c r="BF149" s="773"/>
      <c r="BG149" s="773"/>
      <c r="BH149" s="773"/>
      <c r="BI149" s="773"/>
      <c r="BJ149" s="773"/>
      <c r="BK149" s="773"/>
      <c r="BL149" s="773"/>
      <c r="BM149" s="773"/>
      <c r="BN149" s="773"/>
      <c r="BO149" s="773"/>
      <c r="BP149" s="773"/>
      <c r="BQ149" s="773"/>
      <c r="BR149" s="773"/>
      <c r="BS149" s="773"/>
      <c r="BT149" s="773"/>
      <c r="BU149" s="773"/>
      <c r="BV149" s="773"/>
    </row>
    <row r="150" spans="1:74" s="439" customFormat="1" ht="18" x14ac:dyDescent="0.25">
      <c r="A150" s="770"/>
      <c r="B150" s="1045"/>
      <c r="C150" s="1010">
        <v>2</v>
      </c>
      <c r="D150" s="458" t="s">
        <v>101</v>
      </c>
      <c r="E150" s="1013">
        <v>8000</v>
      </c>
      <c r="F150" s="402">
        <v>2395</v>
      </c>
      <c r="G150" s="402" t="s">
        <v>22</v>
      </c>
      <c r="H150" s="391"/>
      <c r="I150" s="429">
        <f t="shared" ref="I150:I157" si="36">IF(F150=2395, H150*12*0.62/100, IF(F150=1564, H150*12*0.65/100, ""))</f>
        <v>0</v>
      </c>
      <c r="J150" s="739"/>
      <c r="K150" s="739"/>
      <c r="L150" s="441"/>
      <c r="M150" s="1016">
        <f>+C150</f>
        <v>2</v>
      </c>
      <c r="N150" s="458" t="s">
        <v>157</v>
      </c>
      <c r="O150" s="1013">
        <v>28500</v>
      </c>
      <c r="P150" s="408">
        <v>2821</v>
      </c>
      <c r="Q150" s="408" t="s">
        <v>23</v>
      </c>
      <c r="R150" s="869"/>
      <c r="S150" s="484">
        <f t="shared" ref="S150:S157" si="37">IF(P150=6843, R150*12*0.62/100,IF(P150=2821, R150*12*0.63/100,IF(P150=6842, R150*12*0.63/100,IF(P150=1564, R150*12*0.65/100, ""))))</f>
        <v>0</v>
      </c>
      <c r="T150" s="386"/>
      <c r="U150" s="386"/>
      <c r="V150" s="438"/>
      <c r="W150" s="773"/>
      <c r="X150" s="773"/>
      <c r="Y150" s="773"/>
      <c r="Z150" s="773"/>
      <c r="AA150" s="773"/>
      <c r="AB150" s="773"/>
      <c r="AC150" s="773"/>
      <c r="AD150" s="773"/>
      <c r="AE150" s="773"/>
      <c r="AF150" s="773"/>
      <c r="AG150" s="773"/>
      <c r="AH150" s="773"/>
      <c r="AI150" s="773"/>
      <c r="AJ150" s="773"/>
      <c r="AK150" s="773"/>
      <c r="AL150" s="773"/>
      <c r="AM150" s="773"/>
      <c r="AN150" s="773"/>
      <c r="AO150" s="773"/>
      <c r="AP150" s="773"/>
      <c r="AQ150" s="773"/>
      <c r="AR150" s="773"/>
      <c r="AS150" s="773"/>
      <c r="AT150" s="773"/>
      <c r="AU150" s="773"/>
      <c r="AV150" s="773"/>
      <c r="AW150" s="773"/>
      <c r="AX150" s="773"/>
      <c r="AY150" s="773"/>
      <c r="AZ150" s="773"/>
      <c r="BA150" s="773"/>
      <c r="BB150" s="773"/>
      <c r="BC150" s="773"/>
      <c r="BD150" s="773"/>
      <c r="BE150" s="773"/>
      <c r="BF150" s="773"/>
      <c r="BG150" s="773"/>
      <c r="BH150" s="773"/>
      <c r="BI150" s="773"/>
      <c r="BJ150" s="773"/>
      <c r="BK150" s="773"/>
      <c r="BL150" s="773"/>
      <c r="BM150" s="773"/>
      <c r="BN150" s="773"/>
      <c r="BO150" s="773"/>
      <c r="BP150" s="773"/>
      <c r="BQ150" s="773"/>
      <c r="BR150" s="773"/>
      <c r="BS150" s="773"/>
      <c r="BT150" s="773"/>
      <c r="BU150" s="773"/>
      <c r="BV150" s="773"/>
    </row>
    <row r="151" spans="1:74" s="439" customFormat="1" ht="18" x14ac:dyDescent="0.25">
      <c r="A151" s="770"/>
      <c r="B151" s="1045"/>
      <c r="C151" s="1011"/>
      <c r="D151" s="458" t="s">
        <v>102</v>
      </c>
      <c r="E151" s="1014"/>
      <c r="F151" s="389">
        <v>2395</v>
      </c>
      <c r="G151" s="389" t="s">
        <v>22</v>
      </c>
      <c r="H151" s="391"/>
      <c r="I151" s="429">
        <f t="shared" si="36"/>
        <v>0</v>
      </c>
      <c r="J151" s="739"/>
      <c r="K151" s="739"/>
      <c r="L151" s="441"/>
      <c r="M151" s="1017"/>
      <c r="N151" s="458" t="s">
        <v>158</v>
      </c>
      <c r="O151" s="1014"/>
      <c r="P151" s="409">
        <v>2821</v>
      </c>
      <c r="Q151" s="410" t="s">
        <v>23</v>
      </c>
      <c r="R151" s="870"/>
      <c r="S151" s="484">
        <f t="shared" si="37"/>
        <v>0</v>
      </c>
      <c r="T151" s="385"/>
      <c r="U151" s="670"/>
      <c r="V151" s="441"/>
      <c r="W151" s="773"/>
      <c r="X151" s="773"/>
      <c r="Y151" s="773"/>
      <c r="Z151" s="773"/>
      <c r="AA151" s="773"/>
      <c r="AB151" s="773"/>
      <c r="AC151" s="773"/>
      <c r="AD151" s="773"/>
      <c r="AE151" s="773"/>
      <c r="AF151" s="773"/>
      <c r="AG151" s="773"/>
      <c r="AH151" s="773"/>
      <c r="AI151" s="773"/>
      <c r="AJ151" s="773"/>
      <c r="AK151" s="773"/>
      <c r="AL151" s="773"/>
      <c r="AM151" s="773"/>
      <c r="AN151" s="773"/>
      <c r="AO151" s="773"/>
      <c r="AP151" s="773"/>
      <c r="AQ151" s="773"/>
      <c r="AR151" s="773"/>
      <c r="AS151" s="773"/>
      <c r="AT151" s="773"/>
      <c r="AU151" s="773"/>
      <c r="AV151" s="773"/>
      <c r="AW151" s="773"/>
      <c r="AX151" s="773"/>
      <c r="AY151" s="773"/>
      <c r="AZ151" s="773"/>
      <c r="BA151" s="773"/>
      <c r="BB151" s="773"/>
      <c r="BC151" s="773"/>
      <c r="BD151" s="773"/>
      <c r="BE151" s="773"/>
      <c r="BF151" s="773"/>
      <c r="BG151" s="773"/>
      <c r="BH151" s="773"/>
      <c r="BI151" s="773"/>
      <c r="BJ151" s="773"/>
      <c r="BK151" s="773"/>
      <c r="BL151" s="773"/>
      <c r="BM151" s="773"/>
      <c r="BN151" s="773"/>
      <c r="BO151" s="773"/>
      <c r="BP151" s="773"/>
      <c r="BQ151" s="773"/>
      <c r="BR151" s="773"/>
      <c r="BS151" s="773"/>
      <c r="BT151" s="773"/>
      <c r="BU151" s="773"/>
      <c r="BV151" s="773"/>
    </row>
    <row r="152" spans="1:74" s="439" customFormat="1" ht="18" x14ac:dyDescent="0.25">
      <c r="A152" s="770"/>
      <c r="B152" s="1045"/>
      <c r="C152" s="1011"/>
      <c r="D152" s="458" t="s">
        <v>103</v>
      </c>
      <c r="E152" s="1014"/>
      <c r="F152" s="389">
        <v>2395</v>
      </c>
      <c r="G152" s="389" t="s">
        <v>22</v>
      </c>
      <c r="H152" s="391"/>
      <c r="I152" s="429">
        <f t="shared" si="36"/>
        <v>0</v>
      </c>
      <c r="J152" s="739"/>
      <c r="K152" s="739"/>
      <c r="L152" s="441"/>
      <c r="M152" s="1017"/>
      <c r="N152" s="458" t="s">
        <v>159</v>
      </c>
      <c r="O152" s="1014"/>
      <c r="P152" s="409">
        <v>2821</v>
      </c>
      <c r="Q152" s="410" t="s">
        <v>23</v>
      </c>
      <c r="R152" s="869"/>
      <c r="S152" s="484">
        <f t="shared" si="37"/>
        <v>0</v>
      </c>
      <c r="T152" s="386"/>
      <c r="U152" s="386"/>
      <c r="V152" s="441"/>
      <c r="W152" s="773"/>
      <c r="X152" s="773"/>
      <c r="Y152" s="773"/>
      <c r="Z152" s="773"/>
      <c r="AA152" s="773"/>
      <c r="AB152" s="773"/>
      <c r="AC152" s="773"/>
      <c r="AD152" s="773"/>
      <c r="AE152" s="773"/>
      <c r="AF152" s="773"/>
      <c r="AG152" s="773"/>
      <c r="AH152" s="773"/>
      <c r="AI152" s="773"/>
      <c r="AJ152" s="773"/>
      <c r="AK152" s="773"/>
      <c r="AL152" s="773"/>
      <c r="AM152" s="773"/>
      <c r="AN152" s="773"/>
      <c r="AO152" s="773"/>
      <c r="AP152" s="773"/>
      <c r="AQ152" s="773"/>
      <c r="AR152" s="773"/>
      <c r="AS152" s="773"/>
      <c r="AT152" s="773"/>
      <c r="AU152" s="773"/>
      <c r="AV152" s="773"/>
      <c r="AW152" s="773"/>
      <c r="AX152" s="773"/>
      <c r="AY152" s="773"/>
      <c r="AZ152" s="773"/>
      <c r="BA152" s="773"/>
      <c r="BB152" s="773"/>
      <c r="BC152" s="773"/>
      <c r="BD152" s="773"/>
      <c r="BE152" s="773"/>
      <c r="BF152" s="773"/>
      <c r="BG152" s="773"/>
      <c r="BH152" s="773"/>
      <c r="BI152" s="773"/>
      <c r="BJ152" s="773"/>
      <c r="BK152" s="773"/>
      <c r="BL152" s="773"/>
      <c r="BM152" s="773"/>
      <c r="BN152" s="773"/>
      <c r="BO152" s="773"/>
      <c r="BP152" s="773"/>
      <c r="BQ152" s="773"/>
      <c r="BR152" s="773"/>
      <c r="BS152" s="773"/>
      <c r="BT152" s="773"/>
      <c r="BU152" s="773"/>
      <c r="BV152" s="773"/>
    </row>
    <row r="153" spans="1:74" s="439" customFormat="1" ht="18" x14ac:dyDescent="0.25">
      <c r="A153" s="770"/>
      <c r="B153" s="1045"/>
      <c r="C153" s="1011"/>
      <c r="D153" s="458" t="s">
        <v>160</v>
      </c>
      <c r="E153" s="1014"/>
      <c r="F153" s="389">
        <v>2395</v>
      </c>
      <c r="G153" s="389" t="s">
        <v>22</v>
      </c>
      <c r="H153" s="391"/>
      <c r="I153" s="429">
        <f t="shared" si="36"/>
        <v>0</v>
      </c>
      <c r="J153" s="739"/>
      <c r="K153" s="739"/>
      <c r="L153" s="441"/>
      <c r="M153" s="1017"/>
      <c r="N153" s="458" t="s">
        <v>160</v>
      </c>
      <c r="O153" s="1014"/>
      <c r="P153" s="409">
        <v>2821</v>
      </c>
      <c r="Q153" s="410" t="s">
        <v>23</v>
      </c>
      <c r="R153" s="391"/>
      <c r="S153" s="484">
        <f t="shared" si="37"/>
        <v>0</v>
      </c>
      <c r="T153" s="386"/>
      <c r="U153" s="386"/>
      <c r="V153" s="441"/>
      <c r="W153" s="773"/>
      <c r="X153" s="773"/>
      <c r="Y153" s="773"/>
      <c r="Z153" s="773"/>
      <c r="AA153" s="773"/>
      <c r="AB153" s="773"/>
      <c r="AC153" s="773"/>
      <c r="AD153" s="773"/>
      <c r="AE153" s="773"/>
      <c r="AF153" s="773"/>
      <c r="AG153" s="773"/>
      <c r="AH153" s="773"/>
      <c r="AI153" s="773"/>
      <c r="AJ153" s="773"/>
      <c r="AK153" s="773"/>
      <c r="AL153" s="773"/>
      <c r="AM153" s="773"/>
      <c r="AN153" s="773"/>
      <c r="AO153" s="773"/>
      <c r="AP153" s="773"/>
      <c r="AQ153" s="773"/>
      <c r="AR153" s="773"/>
      <c r="AS153" s="773"/>
      <c r="AT153" s="773"/>
      <c r="AU153" s="773"/>
      <c r="AV153" s="773"/>
      <c r="AW153" s="773"/>
      <c r="AX153" s="773"/>
      <c r="AY153" s="773"/>
      <c r="AZ153" s="773"/>
      <c r="BA153" s="773"/>
      <c r="BB153" s="773"/>
      <c r="BC153" s="773"/>
      <c r="BD153" s="773"/>
      <c r="BE153" s="773"/>
      <c r="BF153" s="773"/>
      <c r="BG153" s="773"/>
      <c r="BH153" s="773"/>
      <c r="BI153" s="773"/>
      <c r="BJ153" s="773"/>
      <c r="BK153" s="773"/>
      <c r="BL153" s="773"/>
      <c r="BM153" s="773"/>
      <c r="BN153" s="773"/>
      <c r="BO153" s="773"/>
      <c r="BP153" s="773"/>
      <c r="BQ153" s="773"/>
      <c r="BR153" s="773"/>
      <c r="BS153" s="773"/>
      <c r="BT153" s="773"/>
      <c r="BU153" s="773"/>
      <c r="BV153" s="773"/>
    </row>
    <row r="154" spans="1:74" s="439" customFormat="1" ht="18" x14ac:dyDescent="0.25">
      <c r="A154" s="770"/>
      <c r="B154" s="1045"/>
      <c r="C154" s="1011"/>
      <c r="D154" s="458" t="s">
        <v>105</v>
      </c>
      <c r="E154" s="1014"/>
      <c r="F154" s="389">
        <v>2395</v>
      </c>
      <c r="G154" s="389" t="s">
        <v>22</v>
      </c>
      <c r="H154" s="391"/>
      <c r="I154" s="429">
        <f t="shared" si="36"/>
        <v>0</v>
      </c>
      <c r="J154" s="739"/>
      <c r="K154" s="739"/>
      <c r="L154" s="441"/>
      <c r="M154" s="1017"/>
      <c r="N154" s="458" t="s">
        <v>161</v>
      </c>
      <c r="O154" s="1014"/>
      <c r="P154" s="409">
        <v>2821</v>
      </c>
      <c r="Q154" s="410" t="s">
        <v>23</v>
      </c>
      <c r="R154" s="391"/>
      <c r="S154" s="484">
        <f t="shared" si="37"/>
        <v>0</v>
      </c>
      <c r="T154" s="386"/>
      <c r="U154" s="670"/>
      <c r="V154" s="441"/>
      <c r="W154" s="773"/>
      <c r="X154" s="773"/>
      <c r="Y154" s="773"/>
      <c r="Z154" s="773"/>
      <c r="AA154" s="773"/>
      <c r="AB154" s="773"/>
      <c r="AC154" s="773"/>
      <c r="AD154" s="773"/>
      <c r="AE154" s="773"/>
      <c r="AF154" s="773"/>
      <c r="AG154" s="773"/>
      <c r="AH154" s="773"/>
      <c r="AI154" s="773"/>
      <c r="AJ154" s="773"/>
      <c r="AK154" s="773"/>
      <c r="AL154" s="773"/>
      <c r="AM154" s="773"/>
      <c r="AN154" s="773"/>
      <c r="AO154" s="773"/>
      <c r="AP154" s="773"/>
      <c r="AQ154" s="773"/>
      <c r="AR154" s="773"/>
      <c r="AS154" s="773"/>
      <c r="AT154" s="773"/>
      <c r="AU154" s="773"/>
      <c r="AV154" s="773"/>
      <c r="AW154" s="773"/>
      <c r="AX154" s="773"/>
      <c r="AY154" s="773"/>
      <c r="AZ154" s="773"/>
      <c r="BA154" s="773"/>
      <c r="BB154" s="773"/>
      <c r="BC154" s="773"/>
      <c r="BD154" s="773"/>
      <c r="BE154" s="773"/>
      <c r="BF154" s="773"/>
      <c r="BG154" s="773"/>
      <c r="BH154" s="773"/>
      <c r="BI154" s="773"/>
      <c r="BJ154" s="773"/>
      <c r="BK154" s="773"/>
      <c r="BL154" s="773"/>
      <c r="BM154" s="773"/>
      <c r="BN154" s="773"/>
      <c r="BO154" s="773"/>
      <c r="BP154" s="773"/>
      <c r="BQ154" s="773"/>
      <c r="BR154" s="773"/>
      <c r="BS154" s="773"/>
      <c r="BT154" s="773"/>
      <c r="BU154" s="773"/>
      <c r="BV154" s="773"/>
    </row>
    <row r="155" spans="1:74" s="439" customFormat="1" ht="18" x14ac:dyDescent="0.25">
      <c r="A155" s="770"/>
      <c r="B155" s="1045"/>
      <c r="C155" s="1011"/>
      <c r="D155" s="458" t="s">
        <v>106</v>
      </c>
      <c r="E155" s="1014"/>
      <c r="F155" s="389">
        <v>2395</v>
      </c>
      <c r="G155" s="389" t="s">
        <v>22</v>
      </c>
      <c r="H155" s="391"/>
      <c r="I155" s="429">
        <f t="shared" si="36"/>
        <v>0</v>
      </c>
      <c r="J155" s="739"/>
      <c r="K155" s="739"/>
      <c r="L155" s="441"/>
      <c r="M155" s="1017"/>
      <c r="N155" s="458" t="s">
        <v>162</v>
      </c>
      <c r="O155" s="1014"/>
      <c r="P155" s="409">
        <v>2821</v>
      </c>
      <c r="Q155" s="410" t="s">
        <v>23</v>
      </c>
      <c r="R155" s="870"/>
      <c r="S155" s="484">
        <f t="shared" si="37"/>
        <v>0</v>
      </c>
      <c r="T155" s="385"/>
      <c r="U155" s="679"/>
      <c r="V155" s="438"/>
      <c r="W155" s="773"/>
      <c r="X155" s="773"/>
      <c r="Y155" s="773"/>
      <c r="Z155" s="773"/>
      <c r="AA155" s="773"/>
      <c r="AB155" s="773"/>
      <c r="AC155" s="773"/>
      <c r="AD155" s="773"/>
      <c r="AE155" s="773"/>
      <c r="AF155" s="773"/>
      <c r="AG155" s="773"/>
      <c r="AH155" s="773"/>
      <c r="AI155" s="773"/>
      <c r="AJ155" s="773"/>
      <c r="AK155" s="773"/>
      <c r="AL155" s="773"/>
      <c r="AM155" s="773"/>
      <c r="AN155" s="773"/>
      <c r="AO155" s="773"/>
      <c r="AP155" s="773"/>
      <c r="AQ155" s="773"/>
      <c r="AR155" s="773"/>
      <c r="AS155" s="773"/>
      <c r="AT155" s="773"/>
      <c r="AU155" s="773"/>
      <c r="AV155" s="773"/>
      <c r="AW155" s="773"/>
      <c r="AX155" s="773"/>
      <c r="AY155" s="773"/>
      <c r="AZ155" s="773"/>
      <c r="BA155" s="773"/>
      <c r="BB155" s="773"/>
      <c r="BC155" s="773"/>
      <c r="BD155" s="773"/>
      <c r="BE155" s="773"/>
      <c r="BF155" s="773"/>
      <c r="BG155" s="773"/>
      <c r="BH155" s="773"/>
      <c r="BI155" s="773"/>
      <c r="BJ155" s="773"/>
      <c r="BK155" s="773"/>
      <c r="BL155" s="773"/>
      <c r="BM155" s="773"/>
      <c r="BN155" s="773"/>
      <c r="BO155" s="773"/>
      <c r="BP155" s="773"/>
      <c r="BQ155" s="773"/>
      <c r="BR155" s="773"/>
      <c r="BS155" s="773"/>
      <c r="BT155" s="773"/>
      <c r="BU155" s="773"/>
      <c r="BV155" s="773"/>
    </row>
    <row r="156" spans="1:74" s="439" customFormat="1" ht="18" x14ac:dyDescent="0.25">
      <c r="A156" s="770"/>
      <c r="B156" s="1045"/>
      <c r="C156" s="1011"/>
      <c r="D156" s="458" t="s">
        <v>107</v>
      </c>
      <c r="E156" s="1014"/>
      <c r="F156" s="389">
        <v>2395</v>
      </c>
      <c r="G156" s="389" t="s">
        <v>22</v>
      </c>
      <c r="H156" s="391"/>
      <c r="I156" s="429">
        <f t="shared" si="36"/>
        <v>0</v>
      </c>
      <c r="J156" s="739"/>
      <c r="K156" s="739"/>
      <c r="L156" s="441"/>
      <c r="M156" s="1017"/>
      <c r="N156" s="458" t="s">
        <v>163</v>
      </c>
      <c r="O156" s="1014"/>
      <c r="P156" s="409">
        <v>2821</v>
      </c>
      <c r="Q156" s="410" t="s">
        <v>23</v>
      </c>
      <c r="R156" s="391"/>
      <c r="S156" s="484">
        <f t="shared" si="37"/>
        <v>0</v>
      </c>
      <c r="T156" s="386"/>
      <c r="U156" s="386"/>
      <c r="V156" s="438"/>
      <c r="W156" s="773"/>
      <c r="X156" s="773"/>
      <c r="Y156" s="773"/>
      <c r="Z156" s="773"/>
      <c r="AA156" s="773"/>
      <c r="AB156" s="773"/>
      <c r="AC156" s="773"/>
      <c r="AD156" s="773"/>
      <c r="AE156" s="773"/>
      <c r="AF156" s="773"/>
      <c r="AG156" s="773"/>
      <c r="AH156" s="773"/>
      <c r="AI156" s="773"/>
      <c r="AJ156" s="773"/>
      <c r="AK156" s="773"/>
      <c r="AL156" s="773"/>
      <c r="AM156" s="773"/>
      <c r="AN156" s="773"/>
      <c r="AO156" s="773"/>
      <c r="AP156" s="773"/>
      <c r="AQ156" s="773"/>
      <c r="AR156" s="773"/>
      <c r="AS156" s="773"/>
      <c r="AT156" s="773"/>
      <c r="AU156" s="773"/>
      <c r="AV156" s="773"/>
      <c r="AW156" s="773"/>
      <c r="AX156" s="773"/>
      <c r="AY156" s="773"/>
      <c r="AZ156" s="773"/>
      <c r="BA156" s="773"/>
      <c r="BB156" s="773"/>
      <c r="BC156" s="773"/>
      <c r="BD156" s="773"/>
      <c r="BE156" s="773"/>
      <c r="BF156" s="773"/>
      <c r="BG156" s="773"/>
      <c r="BH156" s="773"/>
      <c r="BI156" s="773"/>
      <c r="BJ156" s="773"/>
      <c r="BK156" s="773"/>
      <c r="BL156" s="773"/>
      <c r="BM156" s="773"/>
      <c r="BN156" s="773"/>
      <c r="BO156" s="773"/>
      <c r="BP156" s="773"/>
      <c r="BQ156" s="773"/>
      <c r="BR156" s="773"/>
      <c r="BS156" s="773"/>
      <c r="BT156" s="773"/>
      <c r="BU156" s="773"/>
      <c r="BV156" s="773"/>
    </row>
    <row r="157" spans="1:74" s="439" customFormat="1" ht="18" x14ac:dyDescent="0.25">
      <c r="A157" s="770"/>
      <c r="B157" s="1045"/>
      <c r="C157" s="1012"/>
      <c r="D157" s="467" t="s">
        <v>108</v>
      </c>
      <c r="E157" s="1015"/>
      <c r="F157" s="404">
        <v>2395</v>
      </c>
      <c r="G157" s="404" t="s">
        <v>22</v>
      </c>
      <c r="H157" s="390"/>
      <c r="I157" s="429">
        <f t="shared" si="36"/>
        <v>0</v>
      </c>
      <c r="J157" s="739"/>
      <c r="K157" s="739"/>
      <c r="L157" s="441"/>
      <c r="M157" s="1018"/>
      <c r="N157" s="467" t="s">
        <v>164</v>
      </c>
      <c r="O157" s="1015"/>
      <c r="P157" s="413">
        <v>2821</v>
      </c>
      <c r="Q157" s="414" t="s">
        <v>23</v>
      </c>
      <c r="R157" s="426"/>
      <c r="S157" s="484">
        <f t="shared" si="37"/>
        <v>0</v>
      </c>
      <c r="T157" s="385"/>
      <c r="U157" s="670"/>
      <c r="V157" s="441"/>
      <c r="W157" s="773"/>
      <c r="X157" s="773"/>
      <c r="Y157" s="773"/>
      <c r="Z157" s="773"/>
      <c r="AA157" s="773"/>
      <c r="AB157" s="773"/>
      <c r="AC157" s="773"/>
      <c r="AD157" s="773"/>
      <c r="AE157" s="773"/>
      <c r="AF157" s="773"/>
      <c r="AG157" s="773"/>
      <c r="AH157" s="773"/>
      <c r="AI157" s="773"/>
      <c r="AJ157" s="773"/>
      <c r="AK157" s="773"/>
      <c r="AL157" s="773"/>
      <c r="AM157" s="773"/>
      <c r="AN157" s="773"/>
      <c r="AO157" s="773"/>
      <c r="AP157" s="773"/>
      <c r="AQ157" s="773"/>
      <c r="AR157" s="773"/>
      <c r="AS157" s="773"/>
      <c r="AT157" s="773"/>
      <c r="AU157" s="773"/>
      <c r="AV157" s="773"/>
      <c r="AW157" s="773"/>
      <c r="AX157" s="773"/>
      <c r="AY157" s="773"/>
      <c r="AZ157" s="773"/>
      <c r="BA157" s="773"/>
      <c r="BB157" s="773"/>
      <c r="BC157" s="773"/>
      <c r="BD157" s="773"/>
      <c r="BE157" s="773"/>
      <c r="BF157" s="773"/>
      <c r="BG157" s="773"/>
      <c r="BH157" s="773"/>
      <c r="BI157" s="773"/>
      <c r="BJ157" s="773"/>
      <c r="BK157" s="773"/>
      <c r="BL157" s="773"/>
      <c r="BM157" s="773"/>
      <c r="BN157" s="773"/>
      <c r="BO157" s="773"/>
      <c r="BP157" s="773"/>
      <c r="BQ157" s="773"/>
      <c r="BR157" s="773"/>
      <c r="BS157" s="773"/>
      <c r="BT157" s="773"/>
      <c r="BU157" s="773"/>
      <c r="BV157" s="773"/>
    </row>
    <row r="158" spans="1:74" s="439" customFormat="1" ht="18" customHeight="1" x14ac:dyDescent="0.25">
      <c r="A158" s="770"/>
      <c r="B158" s="1045"/>
      <c r="C158" s="1037" t="s">
        <v>99</v>
      </c>
      <c r="D158" s="1038"/>
      <c r="E158" s="797">
        <f>E150*12*0.62/100</f>
        <v>595.20000000000005</v>
      </c>
      <c r="F158" s="1026" t="s">
        <v>100</v>
      </c>
      <c r="G158" s="1027"/>
      <c r="H158" s="468">
        <f>+SUM(H150:H157)</f>
        <v>0</v>
      </c>
      <c r="I158" s="704">
        <f>+SUM(I150:I157)</f>
        <v>0</v>
      </c>
      <c r="J158" s="658"/>
      <c r="K158" s="658"/>
      <c r="L158" s="658"/>
      <c r="M158" s="1037" t="s">
        <v>99</v>
      </c>
      <c r="N158" s="1038"/>
      <c r="O158" s="797">
        <f>O150*12*0.65/100</f>
        <v>2223</v>
      </c>
      <c r="P158" s="1039" t="s">
        <v>100</v>
      </c>
      <c r="Q158" s="1039"/>
      <c r="R158" s="468">
        <f>+SUM(R150:R157)</f>
        <v>0</v>
      </c>
      <c r="S158" s="469">
        <f>+SUM(S150:S157)</f>
        <v>0</v>
      </c>
      <c r="T158" s="668"/>
      <c r="U158" s="671"/>
      <c r="V158" s="658"/>
      <c r="W158" s="773"/>
      <c r="X158" s="773"/>
      <c r="Y158" s="773"/>
      <c r="Z158" s="773"/>
      <c r="AA158" s="773"/>
      <c r="AB158" s="773"/>
      <c r="AC158" s="773"/>
      <c r="AD158" s="773"/>
      <c r="AE158" s="773"/>
      <c r="AF158" s="773"/>
      <c r="AG158" s="773"/>
      <c r="AH158" s="773"/>
      <c r="AI158" s="773"/>
      <c r="AJ158" s="773"/>
      <c r="AK158" s="773"/>
      <c r="AL158" s="773"/>
      <c r="AM158" s="773"/>
      <c r="AN158" s="773"/>
      <c r="AO158" s="773"/>
      <c r="AP158" s="773"/>
      <c r="AQ158" s="773"/>
      <c r="AR158" s="773"/>
      <c r="AS158" s="773"/>
      <c r="AT158" s="773"/>
      <c r="AU158" s="773"/>
      <c r="AV158" s="773"/>
      <c r="AW158" s="773"/>
      <c r="AX158" s="773"/>
      <c r="AY158" s="773"/>
      <c r="AZ158" s="773"/>
      <c r="BA158" s="773"/>
      <c r="BB158" s="773"/>
      <c r="BC158" s="773"/>
      <c r="BD158" s="773"/>
      <c r="BE158" s="773"/>
      <c r="BF158" s="773"/>
      <c r="BG158" s="773"/>
      <c r="BH158" s="773"/>
      <c r="BI158" s="773"/>
      <c r="BJ158" s="773"/>
      <c r="BK158" s="773"/>
      <c r="BL158" s="773"/>
      <c r="BM158" s="773"/>
      <c r="BN158" s="773"/>
      <c r="BO158" s="773"/>
      <c r="BP158" s="773"/>
      <c r="BQ158" s="773"/>
      <c r="BR158" s="773"/>
      <c r="BS158" s="773"/>
      <c r="BT158" s="773"/>
      <c r="BU158" s="773"/>
      <c r="BV158" s="773"/>
    </row>
    <row r="159" spans="1:74" s="439" customFormat="1" ht="18" x14ac:dyDescent="0.25">
      <c r="A159" s="770"/>
      <c r="B159" s="1045"/>
      <c r="C159" s="1016">
        <v>6</v>
      </c>
      <c r="D159" s="458" t="s">
        <v>109</v>
      </c>
      <c r="E159" s="1013">
        <v>15000</v>
      </c>
      <c r="F159" s="402">
        <v>2395</v>
      </c>
      <c r="G159" s="402" t="s">
        <v>22</v>
      </c>
      <c r="H159" s="396"/>
      <c r="I159" s="429">
        <f t="shared" ref="I159:I166" si="38">IF(F159=2395, H159*12*0.62/100, IF(F159=1564, H159*12*0.65/100, ""))</f>
        <v>0</v>
      </c>
      <c r="J159" s="660"/>
      <c r="K159" s="660"/>
      <c r="L159" s="660"/>
      <c r="M159" s="1016">
        <f>+C159</f>
        <v>6</v>
      </c>
      <c r="N159" s="458" t="s">
        <v>165</v>
      </c>
      <c r="O159" s="1013">
        <v>28500</v>
      </c>
      <c r="P159" s="408">
        <v>2821</v>
      </c>
      <c r="Q159" s="408" t="s">
        <v>23</v>
      </c>
      <c r="R159" s="396"/>
      <c r="S159" s="484">
        <f t="shared" ref="S159:S166" si="39">IF(P159=6843, R159*12*0.62/100,IF(P159=2821, R159*12*0.63/100,IF(P159=6842, R159*12*0.63/100,IF(P159=1564, R159*12*0.65/100, ""))))</f>
        <v>0</v>
      </c>
      <c r="T159" s="871"/>
      <c r="U159" s="670"/>
      <c r="V159" s="441"/>
      <c r="W159" s="773"/>
      <c r="X159" s="773"/>
      <c r="Y159" s="773"/>
      <c r="Z159" s="773"/>
      <c r="AA159" s="773"/>
      <c r="AB159" s="773"/>
      <c r="AC159" s="773"/>
      <c r="AD159" s="773"/>
      <c r="AE159" s="773"/>
      <c r="AF159" s="773"/>
      <c r="AG159" s="773"/>
      <c r="AH159" s="773"/>
      <c r="AI159" s="773"/>
      <c r="AJ159" s="773"/>
      <c r="AK159" s="773"/>
      <c r="AL159" s="773"/>
      <c r="AM159" s="773"/>
      <c r="AN159" s="773"/>
      <c r="AO159" s="773"/>
      <c r="AP159" s="773"/>
      <c r="AQ159" s="773"/>
      <c r="AR159" s="773"/>
      <c r="AS159" s="773"/>
      <c r="AT159" s="773"/>
      <c r="AU159" s="773"/>
      <c r="AV159" s="773"/>
      <c r="AW159" s="773"/>
      <c r="AX159" s="773"/>
      <c r="AY159" s="773"/>
      <c r="AZ159" s="773"/>
      <c r="BA159" s="773"/>
      <c r="BB159" s="773"/>
      <c r="BC159" s="773"/>
      <c r="BD159" s="773"/>
      <c r="BE159" s="773"/>
      <c r="BF159" s="773"/>
      <c r="BG159" s="773"/>
      <c r="BH159" s="773"/>
      <c r="BI159" s="773"/>
      <c r="BJ159" s="773"/>
      <c r="BK159" s="773"/>
      <c r="BL159" s="773"/>
      <c r="BM159" s="773"/>
      <c r="BN159" s="773"/>
      <c r="BO159" s="773"/>
      <c r="BP159" s="773"/>
      <c r="BQ159" s="773"/>
      <c r="BR159" s="773"/>
      <c r="BS159" s="773"/>
      <c r="BT159" s="773"/>
      <c r="BU159" s="773"/>
      <c r="BV159" s="773"/>
    </row>
    <row r="160" spans="1:74" s="439" customFormat="1" ht="18" x14ac:dyDescent="0.25">
      <c r="A160" s="770"/>
      <c r="B160" s="1045"/>
      <c r="C160" s="1017"/>
      <c r="D160" s="459" t="s">
        <v>110</v>
      </c>
      <c r="E160" s="1014"/>
      <c r="F160" s="389">
        <v>2395</v>
      </c>
      <c r="G160" s="389" t="s">
        <v>22</v>
      </c>
      <c r="H160" s="391"/>
      <c r="I160" s="429">
        <f t="shared" si="38"/>
        <v>0</v>
      </c>
      <c r="J160" s="660"/>
      <c r="K160" s="695"/>
      <c r="L160" s="660"/>
      <c r="M160" s="1017"/>
      <c r="N160" s="459" t="s">
        <v>166</v>
      </c>
      <c r="O160" s="1014"/>
      <c r="P160" s="409">
        <v>2821</v>
      </c>
      <c r="Q160" s="410" t="s">
        <v>23</v>
      </c>
      <c r="R160" s="391"/>
      <c r="S160" s="760">
        <f t="shared" si="39"/>
        <v>0</v>
      </c>
      <c r="T160" s="386"/>
      <c r="U160" s="416"/>
      <c r="V160" s="441"/>
      <c r="W160" s="773"/>
      <c r="X160" s="773"/>
      <c r="Y160" s="773"/>
      <c r="Z160" s="773"/>
      <c r="AA160" s="773"/>
      <c r="AB160" s="773"/>
      <c r="AC160" s="773"/>
      <c r="AD160" s="773"/>
      <c r="AE160" s="773"/>
      <c r="AF160" s="773"/>
      <c r="AG160" s="773"/>
      <c r="AH160" s="773"/>
      <c r="AI160" s="773"/>
      <c r="AJ160" s="773"/>
      <c r="AK160" s="773"/>
      <c r="AL160" s="773"/>
      <c r="AM160" s="773"/>
      <c r="AN160" s="773"/>
      <c r="AO160" s="773"/>
      <c r="AP160" s="773"/>
      <c r="AQ160" s="773"/>
      <c r="AR160" s="773"/>
      <c r="AS160" s="773"/>
      <c r="AT160" s="773"/>
      <c r="AU160" s="773"/>
      <c r="AV160" s="773"/>
      <c r="AW160" s="773"/>
      <c r="AX160" s="773"/>
      <c r="AY160" s="773"/>
      <c r="AZ160" s="773"/>
      <c r="BA160" s="773"/>
      <c r="BB160" s="773"/>
      <c r="BC160" s="773"/>
      <c r="BD160" s="773"/>
      <c r="BE160" s="773"/>
      <c r="BF160" s="773"/>
      <c r="BG160" s="773"/>
      <c r="BH160" s="773"/>
      <c r="BI160" s="773"/>
      <c r="BJ160" s="773"/>
      <c r="BK160" s="773"/>
      <c r="BL160" s="773"/>
      <c r="BM160" s="773"/>
      <c r="BN160" s="773"/>
      <c r="BO160" s="773"/>
      <c r="BP160" s="773"/>
      <c r="BQ160" s="773"/>
      <c r="BR160" s="773"/>
      <c r="BS160" s="773"/>
      <c r="BT160" s="773"/>
      <c r="BU160" s="773"/>
      <c r="BV160" s="773"/>
    </row>
    <row r="161" spans="1:74" s="439" customFormat="1" ht="18" x14ac:dyDescent="0.25">
      <c r="A161" s="770"/>
      <c r="B161" s="1045"/>
      <c r="C161" s="1017"/>
      <c r="D161" s="459" t="s">
        <v>111</v>
      </c>
      <c r="E161" s="1014"/>
      <c r="F161" s="389">
        <v>2395</v>
      </c>
      <c r="G161" s="389" t="s">
        <v>22</v>
      </c>
      <c r="H161" s="391"/>
      <c r="I161" s="429">
        <f t="shared" si="38"/>
        <v>0</v>
      </c>
      <c r="J161" s="660"/>
      <c r="K161" s="699"/>
      <c r="L161" s="660"/>
      <c r="M161" s="1017"/>
      <c r="N161" s="459" t="s">
        <v>167</v>
      </c>
      <c r="O161" s="1014"/>
      <c r="P161" s="409">
        <v>2821</v>
      </c>
      <c r="Q161" s="410" t="s">
        <v>23</v>
      </c>
      <c r="R161" s="391"/>
      <c r="S161" s="484">
        <f t="shared" si="39"/>
        <v>0</v>
      </c>
      <c r="T161" s="386"/>
      <c r="U161" s="416"/>
      <c r="V161" s="441"/>
      <c r="W161" s="773"/>
      <c r="X161" s="773"/>
      <c r="Y161" s="773"/>
      <c r="Z161" s="773"/>
      <c r="AA161" s="773"/>
      <c r="AB161" s="773"/>
      <c r="AC161" s="773"/>
      <c r="AD161" s="773"/>
      <c r="AE161" s="773"/>
      <c r="AF161" s="773"/>
      <c r="AG161" s="773"/>
      <c r="AH161" s="773"/>
      <c r="AI161" s="773"/>
      <c r="AJ161" s="773"/>
      <c r="AK161" s="773"/>
      <c r="AL161" s="773"/>
      <c r="AM161" s="773"/>
      <c r="AN161" s="773"/>
      <c r="AO161" s="773"/>
      <c r="AP161" s="773"/>
      <c r="AQ161" s="773"/>
      <c r="AR161" s="773"/>
      <c r="AS161" s="773"/>
      <c r="AT161" s="773"/>
      <c r="AU161" s="773"/>
      <c r="AV161" s="773"/>
      <c r="AW161" s="773"/>
      <c r="AX161" s="773"/>
      <c r="AY161" s="773"/>
      <c r="AZ161" s="773"/>
      <c r="BA161" s="773"/>
      <c r="BB161" s="773"/>
      <c r="BC161" s="773"/>
      <c r="BD161" s="773"/>
      <c r="BE161" s="773"/>
      <c r="BF161" s="773"/>
      <c r="BG161" s="773"/>
      <c r="BH161" s="773"/>
      <c r="BI161" s="773"/>
      <c r="BJ161" s="773"/>
      <c r="BK161" s="773"/>
      <c r="BL161" s="773"/>
      <c r="BM161" s="773"/>
      <c r="BN161" s="773"/>
      <c r="BO161" s="773"/>
      <c r="BP161" s="773"/>
      <c r="BQ161" s="773"/>
      <c r="BR161" s="773"/>
      <c r="BS161" s="773"/>
      <c r="BT161" s="773"/>
      <c r="BU161" s="773"/>
      <c r="BV161" s="773"/>
    </row>
    <row r="162" spans="1:74" s="439" customFormat="1" ht="18" x14ac:dyDescent="0.25">
      <c r="A162" s="770"/>
      <c r="B162" s="1045"/>
      <c r="C162" s="1017"/>
      <c r="D162" s="459" t="s">
        <v>112</v>
      </c>
      <c r="E162" s="1014"/>
      <c r="F162" s="389">
        <v>2395</v>
      </c>
      <c r="G162" s="389" t="s">
        <v>22</v>
      </c>
      <c r="H162" s="391"/>
      <c r="I162" s="429">
        <f t="shared" si="38"/>
        <v>0</v>
      </c>
      <c r="J162" s="660"/>
      <c r="K162" s="699"/>
      <c r="L162" s="660"/>
      <c r="M162" s="1017"/>
      <c r="N162" s="459" t="s">
        <v>168</v>
      </c>
      <c r="O162" s="1014"/>
      <c r="P162" s="409">
        <v>2821</v>
      </c>
      <c r="Q162" s="410" t="s">
        <v>23</v>
      </c>
      <c r="R162" s="391"/>
      <c r="S162" s="484">
        <f t="shared" si="39"/>
        <v>0</v>
      </c>
      <c r="T162" s="386"/>
      <c r="U162" s="416"/>
      <c r="V162" s="441"/>
      <c r="W162" s="773"/>
      <c r="X162" s="773"/>
      <c r="Y162" s="773"/>
      <c r="Z162" s="773"/>
      <c r="AA162" s="773"/>
      <c r="AB162" s="773"/>
      <c r="AC162" s="773"/>
      <c r="AD162" s="773"/>
      <c r="AE162" s="773"/>
      <c r="AF162" s="773"/>
      <c r="AG162" s="773"/>
      <c r="AH162" s="773"/>
      <c r="AI162" s="773"/>
      <c r="AJ162" s="773"/>
      <c r="AK162" s="773"/>
      <c r="AL162" s="773"/>
      <c r="AM162" s="773"/>
      <c r="AN162" s="773"/>
      <c r="AO162" s="773"/>
      <c r="AP162" s="773"/>
      <c r="AQ162" s="773"/>
      <c r="AR162" s="773"/>
      <c r="AS162" s="773"/>
      <c r="AT162" s="773"/>
      <c r="AU162" s="773"/>
      <c r="AV162" s="773"/>
      <c r="AW162" s="773"/>
      <c r="AX162" s="773"/>
      <c r="AY162" s="773"/>
      <c r="AZ162" s="773"/>
      <c r="BA162" s="773"/>
      <c r="BB162" s="773"/>
      <c r="BC162" s="773"/>
      <c r="BD162" s="773"/>
      <c r="BE162" s="773"/>
      <c r="BF162" s="773"/>
      <c r="BG162" s="773"/>
      <c r="BH162" s="773"/>
      <c r="BI162" s="773"/>
      <c r="BJ162" s="773"/>
      <c r="BK162" s="773"/>
      <c r="BL162" s="773"/>
      <c r="BM162" s="773"/>
      <c r="BN162" s="773"/>
      <c r="BO162" s="773"/>
      <c r="BP162" s="773"/>
      <c r="BQ162" s="773"/>
      <c r="BR162" s="773"/>
      <c r="BS162" s="773"/>
      <c r="BT162" s="773"/>
      <c r="BU162" s="773"/>
      <c r="BV162" s="773"/>
    </row>
    <row r="163" spans="1:74" s="439" customFormat="1" ht="18" x14ac:dyDescent="0.25">
      <c r="A163" s="770"/>
      <c r="B163" s="1045"/>
      <c r="C163" s="1017"/>
      <c r="D163" s="459" t="s">
        <v>113</v>
      </c>
      <c r="E163" s="1014"/>
      <c r="F163" s="389">
        <v>2395</v>
      </c>
      <c r="G163" s="389" t="s">
        <v>22</v>
      </c>
      <c r="H163" s="391"/>
      <c r="I163" s="429">
        <f t="shared" si="38"/>
        <v>0</v>
      </c>
      <c r="J163" s="660"/>
      <c r="K163" s="699"/>
      <c r="L163" s="695"/>
      <c r="M163" s="1017"/>
      <c r="N163" s="459" t="s">
        <v>169</v>
      </c>
      <c r="O163" s="1014"/>
      <c r="P163" s="409">
        <v>2821</v>
      </c>
      <c r="Q163" s="410" t="s">
        <v>23</v>
      </c>
      <c r="R163" s="391"/>
      <c r="S163" s="484">
        <f t="shared" si="39"/>
        <v>0</v>
      </c>
      <c r="T163" s="386"/>
      <c r="U163" s="416"/>
      <c r="V163" s="441"/>
      <c r="W163" s="773"/>
      <c r="X163" s="773"/>
      <c r="Y163" s="773"/>
      <c r="Z163" s="773"/>
      <c r="AA163" s="773"/>
      <c r="AB163" s="773"/>
      <c r="AC163" s="773"/>
      <c r="AD163" s="773"/>
      <c r="AE163" s="773"/>
      <c r="AF163" s="773"/>
      <c r="AG163" s="773"/>
      <c r="AH163" s="773"/>
      <c r="AI163" s="773"/>
      <c r="AJ163" s="773"/>
      <c r="AK163" s="773"/>
      <c r="AL163" s="773"/>
      <c r="AM163" s="773"/>
      <c r="AN163" s="773"/>
      <c r="AO163" s="773"/>
      <c r="AP163" s="773"/>
      <c r="AQ163" s="773"/>
      <c r="AR163" s="773"/>
      <c r="AS163" s="773"/>
      <c r="AT163" s="773"/>
      <c r="AU163" s="773"/>
      <c r="AV163" s="773"/>
      <c r="AW163" s="773"/>
      <c r="AX163" s="773"/>
      <c r="AY163" s="773"/>
      <c r="AZ163" s="773"/>
      <c r="BA163" s="773"/>
      <c r="BB163" s="773"/>
      <c r="BC163" s="773"/>
      <c r="BD163" s="773"/>
      <c r="BE163" s="773"/>
      <c r="BF163" s="773"/>
      <c r="BG163" s="773"/>
      <c r="BH163" s="773"/>
      <c r="BI163" s="773"/>
      <c r="BJ163" s="773"/>
      <c r="BK163" s="773"/>
      <c r="BL163" s="773"/>
      <c r="BM163" s="773"/>
      <c r="BN163" s="773"/>
      <c r="BO163" s="773"/>
      <c r="BP163" s="773"/>
      <c r="BQ163" s="773"/>
      <c r="BR163" s="773"/>
      <c r="BS163" s="773"/>
      <c r="BT163" s="773"/>
      <c r="BU163" s="773"/>
      <c r="BV163" s="773"/>
    </row>
    <row r="164" spans="1:74" s="439" customFormat="1" ht="18" x14ac:dyDescent="0.25">
      <c r="A164" s="770"/>
      <c r="B164" s="1045"/>
      <c r="C164" s="1017"/>
      <c r="D164" s="459" t="s">
        <v>114</v>
      </c>
      <c r="E164" s="1014"/>
      <c r="F164" s="389">
        <v>2395</v>
      </c>
      <c r="G164" s="389" t="s">
        <v>22</v>
      </c>
      <c r="H164" s="391"/>
      <c r="I164" s="429">
        <f t="shared" si="38"/>
        <v>0</v>
      </c>
      <c r="J164" s="660"/>
      <c r="K164" s="699"/>
      <c r="L164" s="695"/>
      <c r="M164" s="1017"/>
      <c r="N164" s="459" t="s">
        <v>170</v>
      </c>
      <c r="O164" s="1014"/>
      <c r="P164" s="409">
        <v>2821</v>
      </c>
      <c r="Q164" s="410" t="s">
        <v>23</v>
      </c>
      <c r="R164" s="391"/>
      <c r="S164" s="484">
        <f t="shared" si="39"/>
        <v>0</v>
      </c>
      <c r="T164" s="386"/>
      <c r="U164" s="416"/>
      <c r="V164" s="441"/>
      <c r="W164" s="773"/>
      <c r="X164" s="773"/>
      <c r="Y164" s="773"/>
      <c r="Z164" s="773"/>
      <c r="AA164" s="773"/>
      <c r="AB164" s="773"/>
      <c r="AC164" s="773"/>
      <c r="AD164" s="773"/>
      <c r="AE164" s="773"/>
      <c r="AF164" s="773"/>
      <c r="AG164" s="773"/>
      <c r="AH164" s="773"/>
      <c r="AI164" s="773"/>
      <c r="AJ164" s="773"/>
      <c r="AK164" s="773"/>
      <c r="AL164" s="773"/>
      <c r="AM164" s="773"/>
      <c r="AN164" s="773"/>
      <c r="AO164" s="773"/>
      <c r="AP164" s="773"/>
      <c r="AQ164" s="773"/>
      <c r="AR164" s="773"/>
      <c r="AS164" s="773"/>
      <c r="AT164" s="773"/>
      <c r="AU164" s="773"/>
      <c r="AV164" s="773"/>
      <c r="AW164" s="773"/>
      <c r="AX164" s="773"/>
      <c r="AY164" s="773"/>
      <c r="AZ164" s="773"/>
      <c r="BA164" s="773"/>
      <c r="BB164" s="773"/>
      <c r="BC164" s="773"/>
      <c r="BD164" s="773"/>
      <c r="BE164" s="773"/>
      <c r="BF164" s="773"/>
      <c r="BG164" s="773"/>
      <c r="BH164" s="773"/>
      <c r="BI164" s="773"/>
      <c r="BJ164" s="773"/>
      <c r="BK164" s="773"/>
      <c r="BL164" s="773"/>
      <c r="BM164" s="773"/>
      <c r="BN164" s="773"/>
      <c r="BO164" s="773"/>
      <c r="BP164" s="773"/>
      <c r="BQ164" s="773"/>
      <c r="BR164" s="773"/>
      <c r="BS164" s="773"/>
      <c r="BT164" s="773"/>
      <c r="BU164" s="773"/>
      <c r="BV164" s="773"/>
    </row>
    <row r="165" spans="1:74" s="439" customFormat="1" ht="18" x14ac:dyDescent="0.25">
      <c r="A165" s="770"/>
      <c r="B165" s="1045"/>
      <c r="C165" s="1017"/>
      <c r="D165" s="459" t="s">
        <v>115</v>
      </c>
      <c r="E165" s="1014"/>
      <c r="F165" s="389">
        <v>2395</v>
      </c>
      <c r="G165" s="389" t="s">
        <v>22</v>
      </c>
      <c r="H165" s="391"/>
      <c r="I165" s="429">
        <f t="shared" si="38"/>
        <v>0</v>
      </c>
      <c r="J165" s="660"/>
      <c r="K165" s="699"/>
      <c r="L165" s="441"/>
      <c r="M165" s="1017"/>
      <c r="N165" s="459" t="s">
        <v>171</v>
      </c>
      <c r="O165" s="1014"/>
      <c r="P165" s="409">
        <v>2821</v>
      </c>
      <c r="Q165" s="410" t="s">
        <v>23</v>
      </c>
      <c r="R165" s="391"/>
      <c r="S165" s="484">
        <f t="shared" si="39"/>
        <v>0</v>
      </c>
      <c r="T165" s="386"/>
      <c r="U165" s="416"/>
      <c r="V165" s="441"/>
      <c r="W165" s="773"/>
      <c r="X165" s="773"/>
      <c r="Y165" s="773"/>
      <c r="Z165" s="773"/>
      <c r="AA165" s="773"/>
      <c r="AB165" s="773"/>
      <c r="AC165" s="773"/>
      <c r="AD165" s="773"/>
      <c r="AE165" s="773"/>
      <c r="AF165" s="773"/>
      <c r="AG165" s="773"/>
      <c r="AH165" s="773"/>
      <c r="AI165" s="773"/>
      <c r="AJ165" s="773"/>
      <c r="AK165" s="773"/>
      <c r="AL165" s="773"/>
      <c r="AM165" s="773"/>
      <c r="AN165" s="773"/>
      <c r="AO165" s="773"/>
      <c r="AP165" s="773"/>
      <c r="AQ165" s="773"/>
      <c r="AR165" s="773"/>
      <c r="AS165" s="773"/>
      <c r="AT165" s="773"/>
      <c r="AU165" s="773"/>
      <c r="AV165" s="773"/>
      <c r="AW165" s="773"/>
      <c r="AX165" s="773"/>
      <c r="AY165" s="773"/>
      <c r="AZ165" s="773"/>
      <c r="BA165" s="773"/>
      <c r="BB165" s="773"/>
      <c r="BC165" s="773"/>
      <c r="BD165" s="773"/>
      <c r="BE165" s="773"/>
      <c r="BF165" s="773"/>
      <c r="BG165" s="773"/>
      <c r="BH165" s="773"/>
      <c r="BI165" s="773"/>
      <c r="BJ165" s="773"/>
      <c r="BK165" s="773"/>
      <c r="BL165" s="773"/>
      <c r="BM165" s="773"/>
      <c r="BN165" s="773"/>
      <c r="BO165" s="773"/>
      <c r="BP165" s="773"/>
      <c r="BQ165" s="773"/>
      <c r="BR165" s="773"/>
      <c r="BS165" s="773"/>
      <c r="BT165" s="773"/>
      <c r="BU165" s="773"/>
      <c r="BV165" s="773"/>
    </row>
    <row r="166" spans="1:74" s="439" customFormat="1" ht="18" x14ac:dyDescent="0.25">
      <c r="A166" s="770"/>
      <c r="B166" s="1045"/>
      <c r="C166" s="1018"/>
      <c r="D166" s="462" t="s">
        <v>116</v>
      </c>
      <c r="E166" s="1014"/>
      <c r="F166" s="404">
        <v>2395</v>
      </c>
      <c r="G166" s="404" t="s">
        <v>22</v>
      </c>
      <c r="H166" s="391"/>
      <c r="I166" s="429">
        <f t="shared" si="38"/>
        <v>0</v>
      </c>
      <c r="J166" s="699"/>
      <c r="K166" s="695"/>
      <c r="L166" s="441"/>
      <c r="M166" s="1018"/>
      <c r="N166" s="462" t="s">
        <v>172</v>
      </c>
      <c r="O166" s="1014"/>
      <c r="P166" s="413">
        <v>2821</v>
      </c>
      <c r="Q166" s="414" t="s">
        <v>23</v>
      </c>
      <c r="R166" s="391"/>
      <c r="S166" s="484">
        <f t="shared" si="39"/>
        <v>0</v>
      </c>
      <c r="T166" s="386"/>
      <c r="U166" s="416"/>
      <c r="V166" s="756"/>
      <c r="W166" s="773"/>
      <c r="X166" s="773"/>
      <c r="Y166" s="773"/>
      <c r="Z166" s="773"/>
      <c r="AA166" s="773"/>
      <c r="AB166" s="773"/>
      <c r="AC166" s="773"/>
      <c r="AD166" s="773"/>
      <c r="AE166" s="773"/>
      <c r="AF166" s="773"/>
      <c r="AG166" s="773"/>
      <c r="AH166" s="773"/>
      <c r="AI166" s="773"/>
      <c r="AJ166" s="773"/>
      <c r="AK166" s="773"/>
      <c r="AL166" s="773"/>
      <c r="AM166" s="773"/>
      <c r="AN166" s="773"/>
      <c r="AO166" s="773"/>
      <c r="AP166" s="773"/>
      <c r="AQ166" s="773"/>
      <c r="AR166" s="773"/>
      <c r="AS166" s="773"/>
      <c r="AT166" s="773"/>
      <c r="AU166" s="773"/>
      <c r="AV166" s="773"/>
      <c r="AW166" s="773"/>
      <c r="AX166" s="773"/>
      <c r="AY166" s="773"/>
      <c r="AZ166" s="773"/>
      <c r="BA166" s="773"/>
      <c r="BB166" s="773"/>
      <c r="BC166" s="773"/>
      <c r="BD166" s="773"/>
      <c r="BE166" s="773"/>
      <c r="BF166" s="773"/>
      <c r="BG166" s="773"/>
      <c r="BH166" s="773"/>
      <c r="BI166" s="773"/>
      <c r="BJ166" s="773"/>
      <c r="BK166" s="773"/>
      <c r="BL166" s="773"/>
      <c r="BM166" s="773"/>
      <c r="BN166" s="773"/>
      <c r="BO166" s="773"/>
      <c r="BP166" s="773"/>
      <c r="BQ166" s="773"/>
      <c r="BR166" s="773"/>
      <c r="BS166" s="773"/>
      <c r="BT166" s="773"/>
      <c r="BU166" s="773"/>
      <c r="BV166" s="773"/>
    </row>
    <row r="167" spans="1:74" s="439" customFormat="1" ht="36.75" customHeight="1" x14ac:dyDescent="0.25">
      <c r="A167" s="770"/>
      <c r="B167" s="1046"/>
      <c r="C167" s="1041" t="s">
        <v>99</v>
      </c>
      <c r="D167" s="1042"/>
      <c r="E167" s="793">
        <f>E159*12*0.62/100</f>
        <v>1116</v>
      </c>
      <c r="F167" s="1026" t="s">
        <v>100</v>
      </c>
      <c r="G167" s="1027"/>
      <c r="H167" s="397">
        <f>+SUM(H159:H166)</f>
        <v>0</v>
      </c>
      <c r="I167" s="398">
        <f>+SUM(I159:I166)</f>
        <v>0</v>
      </c>
      <c r="J167" s="658"/>
      <c r="K167" s="658"/>
      <c r="L167" s="658"/>
      <c r="M167" s="1019" t="s">
        <v>99</v>
      </c>
      <c r="N167" s="1023"/>
      <c r="O167" s="430">
        <f>O159*12*0.65/100</f>
        <v>2223</v>
      </c>
      <c r="P167" s="1007" t="s">
        <v>100</v>
      </c>
      <c r="Q167" s="1008"/>
      <c r="R167" s="431">
        <f>+SUM(R159:R166)</f>
        <v>0</v>
      </c>
      <c r="S167" s="432">
        <f>+SUM(S159:S166)</f>
        <v>0</v>
      </c>
      <c r="T167" s="678"/>
      <c r="U167" s="671"/>
      <c r="V167" s="658"/>
      <c r="W167" s="773"/>
      <c r="X167" s="773"/>
      <c r="Y167" s="773"/>
      <c r="Z167" s="773"/>
      <c r="AA167" s="773"/>
      <c r="AB167" s="773"/>
      <c r="AC167" s="773"/>
      <c r="AD167" s="773"/>
      <c r="AE167" s="773"/>
      <c r="AF167" s="773"/>
      <c r="AG167" s="773"/>
      <c r="AH167" s="773"/>
      <c r="AI167" s="773"/>
      <c r="AJ167" s="773"/>
      <c r="AK167" s="773"/>
      <c r="AL167" s="773"/>
      <c r="AM167" s="773"/>
      <c r="AN167" s="773"/>
      <c r="AO167" s="773"/>
      <c r="AP167" s="773"/>
      <c r="AQ167" s="773"/>
      <c r="AR167" s="773"/>
      <c r="AS167" s="773"/>
      <c r="AT167" s="773"/>
      <c r="AU167" s="773"/>
      <c r="AV167" s="773"/>
      <c r="AW167" s="773"/>
      <c r="AX167" s="773"/>
      <c r="AY167" s="773"/>
      <c r="AZ167" s="773"/>
      <c r="BA167" s="773"/>
      <c r="BB167" s="773"/>
      <c r="BC167" s="773"/>
      <c r="BD167" s="773"/>
      <c r="BE167" s="773"/>
      <c r="BF167" s="773"/>
      <c r="BG167" s="773"/>
      <c r="BH167" s="773"/>
      <c r="BI167" s="773"/>
      <c r="BJ167" s="773"/>
      <c r="BK167" s="773"/>
      <c r="BL167" s="773"/>
      <c r="BM167" s="773"/>
      <c r="BN167" s="773"/>
      <c r="BO167" s="773"/>
      <c r="BP167" s="773"/>
      <c r="BQ167" s="773"/>
      <c r="BR167" s="773"/>
      <c r="BS167" s="773"/>
      <c r="BT167" s="773"/>
      <c r="BU167" s="773"/>
      <c r="BV167" s="773"/>
    </row>
    <row r="168" spans="1:74" s="439" customFormat="1" ht="18" x14ac:dyDescent="0.25">
      <c r="A168" s="770"/>
      <c r="B168" s="1044">
        <f>+B141+1</f>
        <v>46096</v>
      </c>
      <c r="C168" s="1047">
        <v>5</v>
      </c>
      <c r="D168" s="433" t="s">
        <v>173</v>
      </c>
      <c r="E168" s="1009">
        <v>8000</v>
      </c>
      <c r="F168" s="405">
        <v>1564</v>
      </c>
      <c r="G168" s="405" t="s">
        <v>11</v>
      </c>
      <c r="H168" s="391"/>
      <c r="I168" s="429">
        <f t="shared" ref="I168:I175" si="40">IF(F168=2395, H168*12*0.62/100, IF(F168=1564, H168*12*0.65/100, ""))</f>
        <v>0</v>
      </c>
      <c r="J168" s="698"/>
      <c r="K168" s="698"/>
      <c r="L168" s="660"/>
      <c r="M168" s="1047">
        <f>+C168</f>
        <v>5</v>
      </c>
      <c r="N168" s="433" t="s">
        <v>91</v>
      </c>
      <c r="O168" s="1009">
        <v>12000</v>
      </c>
      <c r="P168" s="408">
        <v>2821</v>
      </c>
      <c r="Q168" s="408" t="s">
        <v>23</v>
      </c>
      <c r="R168" s="391"/>
      <c r="S168" s="484">
        <f t="shared" ref="S168:S175" si="41">IF(P168=6843, R168*12*0.62/100,IF(P168=2821, R168*12*0.63/100,IF(P168=6842, R168*12*0.63/100,IF(P168=1564, R168*12*0.65/100, ""))))</f>
        <v>0</v>
      </c>
      <c r="T168" s="386"/>
      <c r="U168" s="416"/>
      <c r="V168" s="436"/>
      <c r="W168" s="773"/>
      <c r="X168" s="773"/>
      <c r="Y168" s="773"/>
      <c r="Z168" s="773"/>
      <c r="AA168" s="773"/>
      <c r="AB168" s="773"/>
      <c r="AC168" s="773"/>
      <c r="AD168" s="773"/>
      <c r="AE168" s="773"/>
      <c r="AF168" s="773"/>
      <c r="AG168" s="773"/>
      <c r="AH168" s="773"/>
      <c r="AI168" s="773"/>
      <c r="AJ168" s="773"/>
      <c r="AK168" s="773"/>
      <c r="AL168" s="773"/>
      <c r="AM168" s="773"/>
      <c r="AN168" s="773"/>
      <c r="AO168" s="773"/>
      <c r="AP168" s="773"/>
      <c r="AQ168" s="773"/>
      <c r="AR168" s="773"/>
      <c r="AS168" s="773"/>
      <c r="AT168" s="773"/>
      <c r="AU168" s="773"/>
      <c r="AV168" s="773"/>
      <c r="AW168" s="773"/>
      <c r="AX168" s="773"/>
      <c r="AY168" s="773"/>
      <c r="AZ168" s="773"/>
      <c r="BA168" s="773"/>
      <c r="BB168" s="773"/>
      <c r="BC168" s="773"/>
      <c r="BD168" s="773"/>
      <c r="BE168" s="773"/>
      <c r="BF168" s="773"/>
      <c r="BG168" s="773"/>
      <c r="BH168" s="773"/>
      <c r="BI168" s="773"/>
      <c r="BJ168" s="773"/>
      <c r="BK168" s="773"/>
      <c r="BL168" s="773"/>
      <c r="BM168" s="773"/>
      <c r="BN168" s="773"/>
      <c r="BO168" s="773"/>
      <c r="BP168" s="773"/>
      <c r="BQ168" s="773"/>
      <c r="BR168" s="773"/>
      <c r="BS168" s="773"/>
      <c r="BT168" s="773"/>
      <c r="BU168" s="773"/>
      <c r="BV168" s="773"/>
    </row>
    <row r="169" spans="1:74" s="439" customFormat="1" ht="18" x14ac:dyDescent="0.25">
      <c r="A169" s="770"/>
      <c r="B169" s="1045"/>
      <c r="C169" s="1047"/>
      <c r="D169" s="433" t="s">
        <v>92</v>
      </c>
      <c r="E169" s="1009"/>
      <c r="F169" s="406">
        <v>1564</v>
      </c>
      <c r="G169" s="406" t="s">
        <v>11</v>
      </c>
      <c r="H169" s="391"/>
      <c r="I169" s="429">
        <f t="shared" si="40"/>
        <v>0</v>
      </c>
      <c r="J169" s="698"/>
      <c r="K169" s="698"/>
      <c r="L169" s="660"/>
      <c r="M169" s="1047"/>
      <c r="N169" s="433" t="s">
        <v>92</v>
      </c>
      <c r="O169" s="1009"/>
      <c r="P169" s="409">
        <v>2821</v>
      </c>
      <c r="Q169" s="410" t="s">
        <v>23</v>
      </c>
      <c r="R169" s="391"/>
      <c r="S169" s="484">
        <f t="shared" si="41"/>
        <v>0</v>
      </c>
      <c r="T169" s="677"/>
      <c r="U169" s="677"/>
      <c r="V169" s="438"/>
      <c r="W169" s="773"/>
      <c r="X169" s="773"/>
      <c r="Y169" s="773"/>
      <c r="Z169" s="773"/>
      <c r="AA169" s="773"/>
      <c r="AB169" s="773"/>
      <c r="AC169" s="773"/>
      <c r="AD169" s="773"/>
      <c r="AE169" s="773"/>
      <c r="AF169" s="773"/>
      <c r="AG169" s="773"/>
      <c r="AH169" s="773"/>
      <c r="AI169" s="773"/>
      <c r="AJ169" s="773"/>
      <c r="AK169" s="773"/>
      <c r="AL169" s="773"/>
      <c r="AM169" s="773"/>
      <c r="AN169" s="773"/>
      <c r="AO169" s="773"/>
      <c r="AP169" s="773"/>
      <c r="AQ169" s="773"/>
      <c r="AR169" s="773"/>
      <c r="AS169" s="773"/>
      <c r="AT169" s="773"/>
      <c r="AU169" s="773"/>
      <c r="AV169" s="773"/>
      <c r="AW169" s="773"/>
      <c r="AX169" s="773"/>
      <c r="AY169" s="773"/>
      <c r="AZ169" s="773"/>
      <c r="BA169" s="773"/>
      <c r="BB169" s="773"/>
      <c r="BC169" s="773"/>
      <c r="BD169" s="773"/>
      <c r="BE169" s="773"/>
      <c r="BF169" s="773"/>
      <c r="BG169" s="773"/>
      <c r="BH169" s="773"/>
      <c r="BI169" s="773"/>
      <c r="BJ169" s="773"/>
      <c r="BK169" s="773"/>
      <c r="BL169" s="773"/>
      <c r="BM169" s="773"/>
      <c r="BN169" s="773"/>
      <c r="BO169" s="773"/>
      <c r="BP169" s="773"/>
      <c r="BQ169" s="773"/>
      <c r="BR169" s="773"/>
      <c r="BS169" s="773"/>
      <c r="BT169" s="773"/>
      <c r="BU169" s="773"/>
      <c r="BV169" s="773"/>
    </row>
    <row r="170" spans="1:74" s="439" customFormat="1" ht="18" x14ac:dyDescent="0.25">
      <c r="A170" s="770"/>
      <c r="B170" s="1045"/>
      <c r="C170" s="1047"/>
      <c r="D170" s="433" t="s">
        <v>174</v>
      </c>
      <c r="E170" s="1009"/>
      <c r="F170" s="406">
        <v>1564</v>
      </c>
      <c r="G170" s="406" t="s">
        <v>11</v>
      </c>
      <c r="H170" s="391"/>
      <c r="I170" s="429">
        <f t="shared" si="40"/>
        <v>0</v>
      </c>
      <c r="J170" s="698"/>
      <c r="K170" s="698"/>
      <c r="L170" s="660"/>
      <c r="M170" s="1047"/>
      <c r="N170" s="433" t="s">
        <v>93</v>
      </c>
      <c r="O170" s="1009"/>
      <c r="P170" s="409">
        <v>2821</v>
      </c>
      <c r="Q170" s="410" t="s">
        <v>23</v>
      </c>
      <c r="R170" s="391"/>
      <c r="S170" s="484">
        <f t="shared" si="41"/>
        <v>0</v>
      </c>
      <c r="T170" s="675"/>
      <c r="U170" s="675"/>
      <c r="V170" s="436"/>
      <c r="W170" s="773"/>
      <c r="X170" s="773"/>
      <c r="Y170" s="773"/>
      <c r="Z170" s="773"/>
      <c r="AA170" s="773"/>
      <c r="AB170" s="773"/>
      <c r="AC170" s="773"/>
      <c r="AD170" s="773"/>
      <c r="AE170" s="773"/>
      <c r="AF170" s="773"/>
      <c r="AG170" s="773"/>
      <c r="AH170" s="773"/>
      <c r="AI170" s="773"/>
      <c r="AJ170" s="773"/>
      <c r="AK170" s="773"/>
      <c r="AL170" s="773"/>
      <c r="AM170" s="773"/>
      <c r="AN170" s="773"/>
      <c r="AO170" s="773"/>
      <c r="AP170" s="773"/>
      <c r="AQ170" s="773"/>
      <c r="AR170" s="773"/>
      <c r="AS170" s="773"/>
      <c r="AT170" s="773"/>
      <c r="AU170" s="773"/>
      <c r="AV170" s="773"/>
      <c r="AW170" s="773"/>
      <c r="AX170" s="773"/>
      <c r="AY170" s="773"/>
      <c r="AZ170" s="773"/>
      <c r="BA170" s="773"/>
      <c r="BB170" s="773"/>
      <c r="BC170" s="773"/>
      <c r="BD170" s="773"/>
      <c r="BE170" s="773"/>
      <c r="BF170" s="773"/>
      <c r="BG170" s="773"/>
      <c r="BH170" s="773"/>
      <c r="BI170" s="773"/>
      <c r="BJ170" s="773"/>
      <c r="BK170" s="773"/>
      <c r="BL170" s="773"/>
      <c r="BM170" s="773"/>
      <c r="BN170" s="773"/>
      <c r="BO170" s="773"/>
      <c r="BP170" s="773"/>
      <c r="BQ170" s="773"/>
      <c r="BR170" s="773"/>
      <c r="BS170" s="773"/>
      <c r="BT170" s="773"/>
      <c r="BU170" s="773"/>
      <c r="BV170" s="773"/>
    </row>
    <row r="171" spans="1:74" s="439" customFormat="1" ht="18" x14ac:dyDescent="0.25">
      <c r="A171" s="770"/>
      <c r="B171" s="1045"/>
      <c r="C171" s="1047"/>
      <c r="D171" s="433" t="s">
        <v>94</v>
      </c>
      <c r="E171" s="1009"/>
      <c r="F171" s="406">
        <v>1564</v>
      </c>
      <c r="G171" s="406" t="s">
        <v>11</v>
      </c>
      <c r="H171" s="391"/>
      <c r="I171" s="429">
        <f t="shared" si="40"/>
        <v>0</v>
      </c>
      <c r="J171" s="698"/>
      <c r="K171" s="698"/>
      <c r="L171" s="660"/>
      <c r="M171" s="1047"/>
      <c r="N171" s="433" t="s">
        <v>94</v>
      </c>
      <c r="O171" s="1009"/>
      <c r="P171" s="409">
        <v>2821</v>
      </c>
      <c r="Q171" s="410" t="s">
        <v>23</v>
      </c>
      <c r="R171" s="391"/>
      <c r="S171" s="484">
        <f t="shared" si="41"/>
        <v>0</v>
      </c>
      <c r="T171" s="677"/>
      <c r="U171" s="677"/>
      <c r="V171" s="438"/>
      <c r="W171" s="773"/>
      <c r="X171" s="773"/>
      <c r="Y171" s="773"/>
      <c r="Z171" s="773"/>
      <c r="AA171" s="773"/>
      <c r="AB171" s="773"/>
      <c r="AC171" s="773"/>
      <c r="AD171" s="773"/>
      <c r="AE171" s="773"/>
      <c r="AF171" s="773"/>
      <c r="AG171" s="773"/>
      <c r="AH171" s="773"/>
      <c r="AI171" s="773"/>
      <c r="AJ171" s="773"/>
      <c r="AK171" s="773"/>
      <c r="AL171" s="773"/>
      <c r="AM171" s="773"/>
      <c r="AN171" s="773"/>
      <c r="AO171" s="773"/>
      <c r="AP171" s="773"/>
      <c r="AQ171" s="773"/>
      <c r="AR171" s="773"/>
      <c r="AS171" s="773"/>
      <c r="AT171" s="773"/>
      <c r="AU171" s="773"/>
      <c r="AV171" s="773"/>
      <c r="AW171" s="773"/>
      <c r="AX171" s="773"/>
      <c r="AY171" s="773"/>
      <c r="AZ171" s="773"/>
      <c r="BA171" s="773"/>
      <c r="BB171" s="773"/>
      <c r="BC171" s="773"/>
      <c r="BD171" s="773"/>
      <c r="BE171" s="773"/>
      <c r="BF171" s="773"/>
      <c r="BG171" s="773"/>
      <c r="BH171" s="773"/>
      <c r="BI171" s="773"/>
      <c r="BJ171" s="773"/>
      <c r="BK171" s="773"/>
      <c r="BL171" s="773"/>
      <c r="BM171" s="773"/>
      <c r="BN171" s="773"/>
      <c r="BO171" s="773"/>
      <c r="BP171" s="773"/>
      <c r="BQ171" s="773"/>
      <c r="BR171" s="773"/>
      <c r="BS171" s="773"/>
      <c r="BT171" s="773"/>
      <c r="BU171" s="773"/>
      <c r="BV171" s="773"/>
    </row>
    <row r="172" spans="1:74" s="439" customFormat="1" ht="18" x14ac:dyDescent="0.25">
      <c r="A172" s="770"/>
      <c r="B172" s="1045"/>
      <c r="C172" s="1047"/>
      <c r="D172" s="433" t="s">
        <v>95</v>
      </c>
      <c r="E172" s="1009"/>
      <c r="F172" s="406">
        <v>1564</v>
      </c>
      <c r="G172" s="406" t="s">
        <v>11</v>
      </c>
      <c r="H172" s="391"/>
      <c r="I172" s="429">
        <f t="shared" si="40"/>
        <v>0</v>
      </c>
      <c r="J172" s="698"/>
      <c r="K172" s="698"/>
      <c r="L172" s="660"/>
      <c r="M172" s="1047"/>
      <c r="N172" s="433" t="s">
        <v>95</v>
      </c>
      <c r="O172" s="1009"/>
      <c r="P172" s="409">
        <v>2821</v>
      </c>
      <c r="Q172" s="410" t="s">
        <v>23</v>
      </c>
      <c r="R172" s="391"/>
      <c r="S172" s="484">
        <f t="shared" si="41"/>
        <v>0</v>
      </c>
      <c r="T172" s="675"/>
      <c r="U172" s="675"/>
      <c r="V172" s="436"/>
      <c r="W172" s="773"/>
      <c r="X172" s="773"/>
      <c r="Y172" s="773"/>
      <c r="Z172" s="773"/>
      <c r="AA172" s="773"/>
      <c r="AB172" s="773"/>
      <c r="AC172" s="773"/>
      <c r="AD172" s="773"/>
      <c r="AE172" s="773"/>
      <c r="AF172" s="773"/>
      <c r="AG172" s="773"/>
      <c r="AH172" s="773"/>
      <c r="AI172" s="773"/>
      <c r="AJ172" s="773"/>
      <c r="AK172" s="773"/>
      <c r="AL172" s="773"/>
      <c r="AM172" s="773"/>
      <c r="AN172" s="773"/>
      <c r="AO172" s="773"/>
      <c r="AP172" s="773"/>
      <c r="AQ172" s="773"/>
      <c r="AR172" s="773"/>
      <c r="AS172" s="773"/>
      <c r="AT172" s="773"/>
      <c r="AU172" s="773"/>
      <c r="AV172" s="773"/>
      <c r="AW172" s="773"/>
      <c r="AX172" s="773"/>
      <c r="AY172" s="773"/>
      <c r="AZ172" s="773"/>
      <c r="BA172" s="773"/>
      <c r="BB172" s="773"/>
      <c r="BC172" s="773"/>
      <c r="BD172" s="773"/>
      <c r="BE172" s="773"/>
      <c r="BF172" s="773"/>
      <c r="BG172" s="773"/>
      <c r="BH172" s="773"/>
      <c r="BI172" s="773"/>
      <c r="BJ172" s="773"/>
      <c r="BK172" s="773"/>
      <c r="BL172" s="773"/>
      <c r="BM172" s="773"/>
      <c r="BN172" s="773"/>
      <c r="BO172" s="773"/>
      <c r="BP172" s="773"/>
      <c r="BQ172" s="773"/>
      <c r="BR172" s="773"/>
      <c r="BS172" s="773"/>
      <c r="BT172" s="773"/>
      <c r="BU172" s="773"/>
      <c r="BV172" s="773"/>
    </row>
    <row r="173" spans="1:74" s="439" customFormat="1" ht="18" x14ac:dyDescent="0.25">
      <c r="A173" s="770"/>
      <c r="B173" s="1045"/>
      <c r="C173" s="1047"/>
      <c r="D173" s="433" t="s">
        <v>96</v>
      </c>
      <c r="E173" s="1009"/>
      <c r="F173" s="406">
        <v>1564</v>
      </c>
      <c r="G173" s="406" t="s">
        <v>11</v>
      </c>
      <c r="H173" s="391"/>
      <c r="I173" s="429">
        <f t="shared" si="40"/>
        <v>0</v>
      </c>
      <c r="J173" s="698"/>
      <c r="K173" s="698"/>
      <c r="L173" s="420"/>
      <c r="M173" s="1047"/>
      <c r="N173" s="433" t="s">
        <v>96</v>
      </c>
      <c r="O173" s="1009"/>
      <c r="P173" s="409">
        <v>2821</v>
      </c>
      <c r="Q173" s="410" t="s">
        <v>23</v>
      </c>
      <c r="R173" s="391"/>
      <c r="S173" s="484">
        <f t="shared" si="41"/>
        <v>0</v>
      </c>
      <c r="T173" s="677"/>
      <c r="U173" s="677"/>
      <c r="V173" s="438"/>
      <c r="W173" s="773"/>
      <c r="X173" s="773"/>
      <c r="Y173" s="773"/>
      <c r="Z173" s="773"/>
      <c r="AA173" s="773"/>
      <c r="AB173" s="773"/>
      <c r="AC173" s="773"/>
      <c r="AD173" s="773"/>
      <c r="AE173" s="773"/>
      <c r="AF173" s="773"/>
      <c r="AG173" s="773"/>
      <c r="AH173" s="773"/>
      <c r="AI173" s="773"/>
      <c r="AJ173" s="773"/>
      <c r="AK173" s="773"/>
      <c r="AL173" s="773"/>
      <c r="AM173" s="773"/>
      <c r="AN173" s="773"/>
      <c r="AO173" s="773"/>
      <c r="AP173" s="773"/>
      <c r="AQ173" s="773"/>
      <c r="AR173" s="773"/>
      <c r="AS173" s="773"/>
      <c r="AT173" s="773"/>
      <c r="AU173" s="773"/>
      <c r="AV173" s="773"/>
      <c r="AW173" s="773"/>
      <c r="AX173" s="773"/>
      <c r="AY173" s="773"/>
      <c r="AZ173" s="773"/>
      <c r="BA173" s="773"/>
      <c r="BB173" s="773"/>
      <c r="BC173" s="773"/>
      <c r="BD173" s="773"/>
      <c r="BE173" s="773"/>
      <c r="BF173" s="773"/>
      <c r="BG173" s="773"/>
      <c r="BH173" s="773"/>
      <c r="BI173" s="773"/>
      <c r="BJ173" s="773"/>
      <c r="BK173" s="773"/>
      <c r="BL173" s="773"/>
      <c r="BM173" s="773"/>
      <c r="BN173" s="773"/>
      <c r="BO173" s="773"/>
      <c r="BP173" s="773"/>
      <c r="BQ173" s="773"/>
      <c r="BR173" s="773"/>
      <c r="BS173" s="773"/>
      <c r="BT173" s="773"/>
      <c r="BU173" s="773"/>
      <c r="BV173" s="773"/>
    </row>
    <row r="174" spans="1:74" s="439" customFormat="1" ht="18" x14ac:dyDescent="0.25">
      <c r="A174" s="770"/>
      <c r="B174" s="1045"/>
      <c r="C174" s="1047"/>
      <c r="D174" s="433" t="s">
        <v>97</v>
      </c>
      <c r="E174" s="1009"/>
      <c r="F174" s="406">
        <v>1564</v>
      </c>
      <c r="G174" s="406" t="s">
        <v>11</v>
      </c>
      <c r="H174" s="391"/>
      <c r="I174" s="429">
        <f t="shared" si="40"/>
        <v>0</v>
      </c>
      <c r="J174" s="698"/>
      <c r="K174" s="698"/>
      <c r="L174" s="660"/>
      <c r="M174" s="1047"/>
      <c r="N174" s="433" t="s">
        <v>97</v>
      </c>
      <c r="O174" s="1009"/>
      <c r="P174" s="409">
        <v>2821</v>
      </c>
      <c r="Q174" s="410" t="s">
        <v>23</v>
      </c>
      <c r="R174" s="391"/>
      <c r="S174" s="484">
        <f t="shared" si="41"/>
        <v>0</v>
      </c>
      <c r="T174" s="675"/>
      <c r="U174" s="675"/>
      <c r="V174" s="436"/>
      <c r="W174" s="773"/>
      <c r="X174" s="773"/>
      <c r="Y174" s="773"/>
      <c r="Z174" s="773"/>
      <c r="AA174" s="773"/>
      <c r="AB174" s="773"/>
      <c r="AC174" s="773"/>
      <c r="AD174" s="773"/>
      <c r="AE174" s="773"/>
      <c r="AF174" s="773"/>
      <c r="AG174" s="773"/>
      <c r="AH174" s="773"/>
      <c r="AI174" s="773"/>
      <c r="AJ174" s="773"/>
      <c r="AK174" s="773"/>
      <c r="AL174" s="773"/>
      <c r="AM174" s="773"/>
      <c r="AN174" s="773"/>
      <c r="AO174" s="773"/>
      <c r="AP174" s="773"/>
      <c r="AQ174" s="773"/>
      <c r="AR174" s="773"/>
      <c r="AS174" s="773"/>
      <c r="AT174" s="773"/>
      <c r="AU174" s="773"/>
      <c r="AV174" s="773"/>
      <c r="AW174" s="773"/>
      <c r="AX174" s="773"/>
      <c r="AY174" s="773"/>
      <c r="AZ174" s="773"/>
      <c r="BA174" s="773"/>
      <c r="BB174" s="773"/>
      <c r="BC174" s="773"/>
      <c r="BD174" s="773"/>
      <c r="BE174" s="773"/>
      <c r="BF174" s="773"/>
      <c r="BG174" s="773"/>
      <c r="BH174" s="773"/>
      <c r="BI174" s="773"/>
      <c r="BJ174" s="773"/>
      <c r="BK174" s="773"/>
      <c r="BL174" s="773"/>
      <c r="BM174" s="773"/>
      <c r="BN174" s="773"/>
      <c r="BO174" s="773"/>
      <c r="BP174" s="773"/>
      <c r="BQ174" s="773"/>
      <c r="BR174" s="773"/>
      <c r="BS174" s="773"/>
      <c r="BT174" s="773"/>
      <c r="BU174" s="773"/>
      <c r="BV174" s="773"/>
    </row>
    <row r="175" spans="1:74" s="439" customFormat="1" ht="18" x14ac:dyDescent="0.25">
      <c r="A175" s="770"/>
      <c r="B175" s="1045"/>
      <c r="C175" s="1047"/>
      <c r="D175" s="433" t="s">
        <v>98</v>
      </c>
      <c r="E175" s="1009"/>
      <c r="F175" s="407">
        <v>1564</v>
      </c>
      <c r="G175" s="407" t="s">
        <v>11</v>
      </c>
      <c r="H175" s="391"/>
      <c r="I175" s="429">
        <f t="shared" si="40"/>
        <v>0</v>
      </c>
      <c r="J175" s="698"/>
      <c r="K175" s="698"/>
      <c r="L175" s="660"/>
      <c r="M175" s="1047"/>
      <c r="N175" s="433" t="s">
        <v>98</v>
      </c>
      <c r="O175" s="1009"/>
      <c r="P175" s="413">
        <v>2821</v>
      </c>
      <c r="Q175" s="414" t="s">
        <v>23</v>
      </c>
      <c r="R175" s="391"/>
      <c r="S175" s="484">
        <f t="shared" si="41"/>
        <v>0</v>
      </c>
      <c r="T175" s="677"/>
      <c r="U175" s="677"/>
      <c r="V175" s="438"/>
      <c r="W175" s="773"/>
      <c r="X175" s="773"/>
      <c r="Y175" s="773"/>
      <c r="Z175" s="773"/>
      <c r="AA175" s="773"/>
      <c r="AB175" s="773"/>
      <c r="AC175" s="773"/>
      <c r="AD175" s="773"/>
      <c r="AE175" s="773"/>
      <c r="AF175" s="773"/>
      <c r="AG175" s="773"/>
      <c r="AH175" s="773"/>
      <c r="AI175" s="773"/>
      <c r="AJ175" s="773"/>
      <c r="AK175" s="773"/>
      <c r="AL175" s="773"/>
      <c r="AM175" s="773"/>
      <c r="AN175" s="773"/>
      <c r="AO175" s="773"/>
      <c r="AP175" s="773"/>
      <c r="AQ175" s="773"/>
      <c r="AR175" s="773"/>
      <c r="AS175" s="773"/>
      <c r="AT175" s="773"/>
      <c r="AU175" s="773"/>
      <c r="AV175" s="773"/>
      <c r="AW175" s="773"/>
      <c r="AX175" s="773"/>
      <c r="AY175" s="773"/>
      <c r="AZ175" s="773"/>
      <c r="BA175" s="773"/>
      <c r="BB175" s="773"/>
      <c r="BC175" s="773"/>
      <c r="BD175" s="773"/>
      <c r="BE175" s="773"/>
      <c r="BF175" s="773"/>
      <c r="BG175" s="773"/>
      <c r="BH175" s="773"/>
      <c r="BI175" s="773"/>
      <c r="BJ175" s="773"/>
      <c r="BK175" s="773"/>
      <c r="BL175" s="773"/>
      <c r="BM175" s="773"/>
      <c r="BN175" s="773"/>
      <c r="BO175" s="773"/>
      <c r="BP175" s="773"/>
      <c r="BQ175" s="773"/>
      <c r="BR175" s="773"/>
      <c r="BS175" s="773"/>
      <c r="BT175" s="773"/>
      <c r="BU175" s="773"/>
      <c r="BV175" s="773"/>
    </row>
    <row r="176" spans="1:74" s="439" customFormat="1" ht="18" customHeight="1" x14ac:dyDescent="0.25">
      <c r="A176" s="770"/>
      <c r="B176" s="1045"/>
      <c r="C176" s="1048" t="s">
        <v>99</v>
      </c>
      <c r="D176" s="1049"/>
      <c r="E176" s="794">
        <f>E168*12*0.62/100</f>
        <v>595.20000000000005</v>
      </c>
      <c r="F176" s="1026" t="s">
        <v>100</v>
      </c>
      <c r="G176" s="1027"/>
      <c r="H176" s="463">
        <f>+SUM(H168:H175)</f>
        <v>0</v>
      </c>
      <c r="I176" s="705">
        <f>+SUM(I168:I175)</f>
        <v>0</v>
      </c>
      <c r="J176" s="658"/>
      <c r="K176" s="658"/>
      <c r="L176" s="658"/>
      <c r="M176" s="1048" t="s">
        <v>99</v>
      </c>
      <c r="N176" s="1049"/>
      <c r="O176" s="794">
        <f>O168*12*0.65/100</f>
        <v>936</v>
      </c>
      <c r="P176" s="1024" t="s">
        <v>100</v>
      </c>
      <c r="Q176" s="1025"/>
      <c r="R176" s="463">
        <f>+SUM(R168:R175)</f>
        <v>0</v>
      </c>
      <c r="S176" s="464">
        <f>+SUM(S168:S175)</f>
        <v>0</v>
      </c>
      <c r="T176" s="667"/>
      <c r="U176" s="671"/>
      <c r="V176" s="658"/>
      <c r="W176" s="773"/>
      <c r="X176" s="773"/>
      <c r="Y176" s="773"/>
      <c r="Z176" s="773"/>
      <c r="AA176" s="773"/>
      <c r="AB176" s="773"/>
      <c r="AC176" s="773"/>
      <c r="AD176" s="773"/>
      <c r="AE176" s="773"/>
      <c r="AF176" s="773"/>
      <c r="AG176" s="773"/>
      <c r="AH176" s="773"/>
      <c r="AI176" s="773"/>
      <c r="AJ176" s="773"/>
      <c r="AK176" s="773"/>
      <c r="AL176" s="773"/>
      <c r="AM176" s="773"/>
      <c r="AN176" s="773"/>
      <c r="AO176" s="773"/>
      <c r="AP176" s="773"/>
      <c r="AQ176" s="773"/>
      <c r="AR176" s="773"/>
      <c r="AS176" s="773"/>
      <c r="AT176" s="773"/>
      <c r="AU176" s="773"/>
      <c r="AV176" s="773"/>
      <c r="AW176" s="773"/>
      <c r="AX176" s="773"/>
      <c r="AY176" s="773"/>
      <c r="AZ176" s="773"/>
      <c r="BA176" s="773"/>
      <c r="BB176" s="773"/>
      <c r="BC176" s="773"/>
      <c r="BD176" s="773"/>
      <c r="BE176" s="773"/>
      <c r="BF176" s="773"/>
      <c r="BG176" s="773"/>
      <c r="BH176" s="773"/>
      <c r="BI176" s="773"/>
      <c r="BJ176" s="773"/>
      <c r="BK176" s="773"/>
      <c r="BL176" s="773"/>
      <c r="BM176" s="773"/>
      <c r="BN176" s="773"/>
      <c r="BO176" s="773"/>
      <c r="BP176" s="773"/>
      <c r="BQ176" s="773"/>
      <c r="BR176" s="773"/>
      <c r="BS176" s="773"/>
      <c r="BT176" s="773"/>
      <c r="BU176" s="773"/>
      <c r="BV176" s="773"/>
    </row>
    <row r="177" spans="1:74" s="439" customFormat="1" ht="18" x14ac:dyDescent="0.25">
      <c r="A177" s="770"/>
      <c r="B177" s="1045"/>
      <c r="C177" s="1010">
        <v>6</v>
      </c>
      <c r="D177" s="458" t="s">
        <v>175</v>
      </c>
      <c r="E177" s="1013">
        <v>15000</v>
      </c>
      <c r="F177" s="405">
        <v>1564</v>
      </c>
      <c r="G177" s="405" t="s">
        <v>11</v>
      </c>
      <c r="H177" s="396"/>
      <c r="I177" s="864">
        <f t="shared" ref="I177:I184" si="42">IF(F177=2395, H177*12*0.62/100, IF(F177=1564, H177*12*0.65/100, ""))</f>
        <v>0</v>
      </c>
      <c r="J177" s="725"/>
      <c r="K177" s="725"/>
      <c r="L177" s="441"/>
      <c r="M177" s="1016">
        <v>2</v>
      </c>
      <c r="N177" s="458" t="s">
        <v>101</v>
      </c>
      <c r="O177" s="1013">
        <v>28500</v>
      </c>
      <c r="P177" s="406">
        <v>1564</v>
      </c>
      <c r="Q177" s="406" t="s">
        <v>11</v>
      </c>
      <c r="R177" s="396"/>
      <c r="S177" s="484">
        <f t="shared" ref="S177:S184" si="43">IF(P177=6843, R177*12*0.62/100,IF(P177=2821, R177*12*0.63/100,IF(P177=6842, R177*12*0.63/100,IF(P177=1564, R177*12*0.65/100, ""))))</f>
        <v>0</v>
      </c>
      <c r="T177" s="801"/>
      <c r="U177" s="679"/>
      <c r="V177" s="438"/>
      <c r="W177" s="773"/>
      <c r="X177" s="773"/>
      <c r="Y177" s="773"/>
      <c r="Z177" s="773"/>
      <c r="AA177" s="773"/>
      <c r="AB177" s="773"/>
      <c r="AC177" s="773"/>
      <c r="AD177" s="773"/>
      <c r="AE177" s="773"/>
      <c r="AF177" s="773"/>
      <c r="AG177" s="773"/>
      <c r="AH177" s="773"/>
      <c r="AI177" s="773"/>
      <c r="AJ177" s="773"/>
      <c r="AK177" s="773"/>
      <c r="AL177" s="773"/>
      <c r="AM177" s="773"/>
      <c r="AN177" s="773"/>
      <c r="AO177" s="773"/>
      <c r="AP177" s="773"/>
      <c r="AQ177" s="773"/>
      <c r="AR177" s="773"/>
      <c r="AS177" s="773"/>
      <c r="AT177" s="773"/>
      <c r="AU177" s="773"/>
      <c r="AV177" s="773"/>
      <c r="AW177" s="773"/>
      <c r="AX177" s="773"/>
      <c r="AY177" s="773"/>
      <c r="AZ177" s="773"/>
      <c r="BA177" s="773"/>
      <c r="BB177" s="773"/>
      <c r="BC177" s="773"/>
      <c r="BD177" s="773"/>
      <c r="BE177" s="773"/>
      <c r="BF177" s="773"/>
      <c r="BG177" s="773"/>
      <c r="BH177" s="773"/>
      <c r="BI177" s="773"/>
      <c r="BJ177" s="773"/>
      <c r="BK177" s="773"/>
      <c r="BL177" s="773"/>
      <c r="BM177" s="773"/>
      <c r="BN177" s="773"/>
      <c r="BO177" s="773"/>
      <c r="BP177" s="773"/>
      <c r="BQ177" s="773"/>
      <c r="BR177" s="773"/>
      <c r="BS177" s="773"/>
      <c r="BT177" s="773"/>
      <c r="BU177" s="773"/>
      <c r="BV177" s="773"/>
    </row>
    <row r="178" spans="1:74" s="439" customFormat="1" ht="18" x14ac:dyDescent="0.25">
      <c r="A178" s="770"/>
      <c r="B178" s="1045"/>
      <c r="C178" s="1011"/>
      <c r="D178" s="458" t="s">
        <v>176</v>
      </c>
      <c r="E178" s="1014"/>
      <c r="F178" s="406">
        <v>1564</v>
      </c>
      <c r="G178" s="406" t="s">
        <v>11</v>
      </c>
      <c r="H178" s="417"/>
      <c r="I178" s="419">
        <f t="shared" si="42"/>
        <v>0</v>
      </c>
      <c r="J178" s="725"/>
      <c r="K178" s="758"/>
      <c r="L178" s="726"/>
      <c r="M178" s="1017"/>
      <c r="N178" s="458" t="s">
        <v>102</v>
      </c>
      <c r="O178" s="1014"/>
      <c r="P178" s="406">
        <v>1564</v>
      </c>
      <c r="Q178" s="406" t="s">
        <v>11</v>
      </c>
      <c r="R178" s="391"/>
      <c r="S178" s="484">
        <f t="shared" si="43"/>
        <v>0</v>
      </c>
      <c r="T178" s="801"/>
      <c r="U178" s="801"/>
      <c r="V178" s="441"/>
      <c r="W178" s="773"/>
      <c r="X178" s="773"/>
      <c r="Y178" s="773"/>
      <c r="Z178" s="773"/>
      <c r="AA178" s="773"/>
      <c r="AB178" s="773"/>
      <c r="AC178" s="773"/>
      <c r="AD178" s="773"/>
      <c r="AE178" s="773"/>
      <c r="AF178" s="773"/>
      <c r="AG178" s="773"/>
      <c r="AH178" s="773"/>
      <c r="AI178" s="773"/>
      <c r="AJ178" s="773"/>
      <c r="AK178" s="773"/>
      <c r="AL178" s="773"/>
      <c r="AM178" s="773"/>
      <c r="AN178" s="773"/>
      <c r="AO178" s="773"/>
      <c r="AP178" s="773"/>
      <c r="AQ178" s="773"/>
      <c r="AR178" s="773"/>
      <c r="AS178" s="773"/>
      <c r="AT178" s="773"/>
      <c r="AU178" s="773"/>
      <c r="AV178" s="773"/>
      <c r="AW178" s="773"/>
      <c r="AX178" s="773"/>
      <c r="AY178" s="773"/>
      <c r="AZ178" s="773"/>
      <c r="BA178" s="773"/>
      <c r="BB178" s="773"/>
      <c r="BC178" s="773"/>
      <c r="BD178" s="773"/>
      <c r="BE178" s="773"/>
      <c r="BF178" s="773"/>
      <c r="BG178" s="773"/>
      <c r="BH178" s="773"/>
      <c r="BI178" s="773"/>
      <c r="BJ178" s="773"/>
      <c r="BK178" s="773"/>
      <c r="BL178" s="773"/>
      <c r="BM178" s="773"/>
      <c r="BN178" s="773"/>
      <c r="BO178" s="773"/>
      <c r="BP178" s="773"/>
      <c r="BQ178" s="773"/>
      <c r="BR178" s="773"/>
      <c r="BS178" s="773"/>
      <c r="BT178" s="773"/>
      <c r="BU178" s="773"/>
      <c r="BV178" s="773"/>
    </row>
    <row r="179" spans="1:74" s="439" customFormat="1" ht="18" x14ac:dyDescent="0.25">
      <c r="A179" s="770"/>
      <c r="B179" s="1045"/>
      <c r="C179" s="1011"/>
      <c r="D179" s="458" t="s">
        <v>177</v>
      </c>
      <c r="E179" s="1014"/>
      <c r="F179" s="406">
        <v>1564</v>
      </c>
      <c r="G179" s="406" t="s">
        <v>11</v>
      </c>
      <c r="H179" s="417"/>
      <c r="I179" s="419">
        <f t="shared" si="42"/>
        <v>0</v>
      </c>
      <c r="J179" s="725"/>
      <c r="K179" s="725"/>
      <c r="L179" s="726"/>
      <c r="M179" s="1017"/>
      <c r="N179" s="458" t="s">
        <v>103</v>
      </c>
      <c r="O179" s="1014"/>
      <c r="P179" s="406">
        <v>1564</v>
      </c>
      <c r="Q179" s="406" t="s">
        <v>11</v>
      </c>
      <c r="R179" s="391"/>
      <c r="S179" s="484">
        <f t="shared" si="43"/>
        <v>0</v>
      </c>
      <c r="T179" s="757"/>
      <c r="U179" s="670"/>
      <c r="V179" s="441"/>
      <c r="W179" s="773"/>
      <c r="X179" s="773"/>
      <c r="Y179" s="773"/>
      <c r="Z179" s="773"/>
      <c r="AA179" s="773"/>
      <c r="AB179" s="773"/>
      <c r="AC179" s="773"/>
      <c r="AD179" s="773"/>
      <c r="AE179" s="773"/>
      <c r="AF179" s="773"/>
      <c r="AG179" s="773"/>
      <c r="AH179" s="773"/>
      <c r="AI179" s="773"/>
      <c r="AJ179" s="773"/>
      <c r="AK179" s="773"/>
      <c r="AL179" s="773"/>
      <c r="AM179" s="773"/>
      <c r="AN179" s="773"/>
      <c r="AO179" s="773"/>
      <c r="AP179" s="773"/>
      <c r="AQ179" s="773"/>
      <c r="AR179" s="773"/>
      <c r="AS179" s="773"/>
      <c r="AT179" s="773"/>
      <c r="AU179" s="773"/>
      <c r="AV179" s="773"/>
      <c r="AW179" s="773"/>
      <c r="AX179" s="773"/>
      <c r="AY179" s="773"/>
      <c r="AZ179" s="773"/>
      <c r="BA179" s="773"/>
      <c r="BB179" s="773"/>
      <c r="BC179" s="773"/>
      <c r="BD179" s="773"/>
      <c r="BE179" s="773"/>
      <c r="BF179" s="773"/>
      <c r="BG179" s="773"/>
      <c r="BH179" s="773"/>
      <c r="BI179" s="773"/>
      <c r="BJ179" s="773"/>
      <c r="BK179" s="773"/>
      <c r="BL179" s="773"/>
      <c r="BM179" s="773"/>
      <c r="BN179" s="773"/>
      <c r="BO179" s="773"/>
      <c r="BP179" s="773"/>
      <c r="BQ179" s="773"/>
      <c r="BR179" s="773"/>
      <c r="BS179" s="773"/>
      <c r="BT179" s="773"/>
      <c r="BU179" s="773"/>
      <c r="BV179" s="773"/>
    </row>
    <row r="180" spans="1:74" s="439" customFormat="1" ht="18" x14ac:dyDescent="0.25">
      <c r="A180" s="770"/>
      <c r="B180" s="1045"/>
      <c r="C180" s="1011"/>
      <c r="D180" s="458" t="s">
        <v>178</v>
      </c>
      <c r="E180" s="1014"/>
      <c r="F180" s="406">
        <v>1564</v>
      </c>
      <c r="G180" s="406" t="s">
        <v>11</v>
      </c>
      <c r="H180" s="417"/>
      <c r="I180" s="419">
        <f t="shared" si="42"/>
        <v>0</v>
      </c>
      <c r="J180" s="725"/>
      <c r="K180" s="698"/>
      <c r="L180" s="726"/>
      <c r="M180" s="1017"/>
      <c r="N180" s="458" t="s">
        <v>104</v>
      </c>
      <c r="O180" s="1014"/>
      <c r="P180" s="406">
        <v>1564</v>
      </c>
      <c r="Q180" s="406" t="s">
        <v>11</v>
      </c>
      <c r="R180" s="391"/>
      <c r="S180" s="760">
        <f t="shared" si="43"/>
        <v>0</v>
      </c>
      <c r="T180" s="759"/>
      <c r="U180" s="681"/>
      <c r="V180" s="441"/>
      <c r="W180" s="773"/>
      <c r="X180" s="773"/>
      <c r="Y180" s="773"/>
      <c r="Z180" s="773"/>
      <c r="AA180" s="773"/>
      <c r="AB180" s="773"/>
      <c r="AC180" s="773"/>
      <c r="AD180" s="773"/>
      <c r="AE180" s="773"/>
      <c r="AF180" s="773"/>
      <c r="AG180" s="773"/>
      <c r="AH180" s="773"/>
      <c r="AI180" s="773"/>
      <c r="AJ180" s="773"/>
      <c r="AK180" s="773"/>
      <c r="AL180" s="773"/>
      <c r="AM180" s="773"/>
      <c r="AN180" s="773"/>
      <c r="AO180" s="773"/>
      <c r="AP180" s="773"/>
      <c r="AQ180" s="773"/>
      <c r="AR180" s="773"/>
      <c r="AS180" s="773"/>
      <c r="AT180" s="773"/>
      <c r="AU180" s="773"/>
      <c r="AV180" s="773"/>
      <c r="AW180" s="773"/>
      <c r="AX180" s="773"/>
      <c r="AY180" s="773"/>
      <c r="AZ180" s="773"/>
      <c r="BA180" s="773"/>
      <c r="BB180" s="773"/>
      <c r="BC180" s="773"/>
      <c r="BD180" s="773"/>
      <c r="BE180" s="773"/>
      <c r="BF180" s="773"/>
      <c r="BG180" s="773"/>
      <c r="BH180" s="773"/>
      <c r="BI180" s="773"/>
      <c r="BJ180" s="773"/>
      <c r="BK180" s="773"/>
      <c r="BL180" s="773"/>
      <c r="BM180" s="773"/>
      <c r="BN180" s="773"/>
      <c r="BO180" s="773"/>
      <c r="BP180" s="773"/>
      <c r="BQ180" s="773"/>
      <c r="BR180" s="773"/>
      <c r="BS180" s="773"/>
      <c r="BT180" s="773"/>
      <c r="BU180" s="773"/>
      <c r="BV180" s="773"/>
    </row>
    <row r="181" spans="1:74" s="439" customFormat="1" ht="18" x14ac:dyDescent="0.25">
      <c r="A181" s="770"/>
      <c r="B181" s="1045"/>
      <c r="C181" s="1011"/>
      <c r="D181" s="458" t="s">
        <v>179</v>
      </c>
      <c r="E181" s="1014"/>
      <c r="F181" s="406">
        <v>1564</v>
      </c>
      <c r="G181" s="406" t="s">
        <v>11</v>
      </c>
      <c r="H181" s="417"/>
      <c r="I181" s="419">
        <f t="shared" si="42"/>
        <v>0</v>
      </c>
      <c r="J181" s="725"/>
      <c r="K181" s="698"/>
      <c r="L181" s="726"/>
      <c r="M181" s="1017"/>
      <c r="N181" s="458" t="s">
        <v>105</v>
      </c>
      <c r="O181" s="1014"/>
      <c r="P181" s="406">
        <v>1564</v>
      </c>
      <c r="Q181" s="406" t="s">
        <v>11</v>
      </c>
      <c r="R181" s="391"/>
      <c r="S181" s="484">
        <f t="shared" si="43"/>
        <v>0</v>
      </c>
      <c r="T181" s="806"/>
      <c r="U181" s="806"/>
      <c r="V181" s="441"/>
      <c r="W181" s="773"/>
      <c r="X181" s="773"/>
      <c r="Y181" s="773"/>
      <c r="Z181" s="773"/>
      <c r="AA181" s="773"/>
      <c r="AB181" s="773"/>
      <c r="AC181" s="773"/>
      <c r="AD181" s="773"/>
      <c r="AE181" s="773"/>
      <c r="AF181" s="773"/>
      <c r="AG181" s="773"/>
      <c r="AH181" s="773"/>
      <c r="AI181" s="773"/>
      <c r="AJ181" s="773"/>
      <c r="AK181" s="773"/>
      <c r="AL181" s="773"/>
      <c r="AM181" s="773"/>
      <c r="AN181" s="773"/>
      <c r="AO181" s="773"/>
      <c r="AP181" s="773"/>
      <c r="AQ181" s="773"/>
      <c r="AR181" s="773"/>
      <c r="AS181" s="773"/>
      <c r="AT181" s="773"/>
      <c r="AU181" s="773"/>
      <c r="AV181" s="773"/>
      <c r="AW181" s="773"/>
      <c r="AX181" s="773"/>
      <c r="AY181" s="773"/>
      <c r="AZ181" s="773"/>
      <c r="BA181" s="773"/>
      <c r="BB181" s="773"/>
      <c r="BC181" s="773"/>
      <c r="BD181" s="773"/>
      <c r="BE181" s="773"/>
      <c r="BF181" s="773"/>
      <c r="BG181" s="773"/>
      <c r="BH181" s="773"/>
      <c r="BI181" s="773"/>
      <c r="BJ181" s="773"/>
      <c r="BK181" s="773"/>
      <c r="BL181" s="773"/>
      <c r="BM181" s="773"/>
      <c r="BN181" s="773"/>
      <c r="BO181" s="773"/>
      <c r="BP181" s="773"/>
      <c r="BQ181" s="773"/>
      <c r="BR181" s="773"/>
      <c r="BS181" s="773"/>
      <c r="BT181" s="773"/>
      <c r="BU181" s="773"/>
      <c r="BV181" s="773"/>
    </row>
    <row r="182" spans="1:74" s="439" customFormat="1" ht="18" x14ac:dyDescent="0.25">
      <c r="A182" s="770"/>
      <c r="B182" s="1045"/>
      <c r="C182" s="1011"/>
      <c r="D182" s="458" t="s">
        <v>180</v>
      </c>
      <c r="E182" s="1014"/>
      <c r="F182" s="406">
        <v>1564</v>
      </c>
      <c r="G182" s="406" t="s">
        <v>11</v>
      </c>
      <c r="H182" s="417"/>
      <c r="I182" s="419">
        <f t="shared" si="42"/>
        <v>0</v>
      </c>
      <c r="J182" s="725"/>
      <c r="K182" s="698"/>
      <c r="L182" s="726"/>
      <c r="M182" s="1017"/>
      <c r="N182" s="458" t="s">
        <v>106</v>
      </c>
      <c r="O182" s="1014"/>
      <c r="P182" s="406">
        <v>1564</v>
      </c>
      <c r="Q182" s="406" t="s">
        <v>11</v>
      </c>
      <c r="R182" s="391"/>
      <c r="S182" s="484">
        <f t="shared" si="43"/>
        <v>0</v>
      </c>
      <c r="T182" s="762"/>
      <c r="U182" s="670"/>
      <c r="V182" s="438"/>
      <c r="W182" s="773"/>
      <c r="X182" s="773"/>
      <c r="Y182" s="773"/>
      <c r="Z182" s="773"/>
      <c r="AA182" s="773"/>
      <c r="AB182" s="773"/>
      <c r="AC182" s="773"/>
      <c r="AD182" s="773"/>
      <c r="AE182" s="773"/>
      <c r="AF182" s="773"/>
      <c r="AG182" s="773"/>
      <c r="AH182" s="773"/>
      <c r="AI182" s="773"/>
      <c r="AJ182" s="773"/>
      <c r="AK182" s="773"/>
      <c r="AL182" s="773"/>
      <c r="AM182" s="773"/>
      <c r="AN182" s="773"/>
      <c r="AO182" s="773"/>
      <c r="AP182" s="773"/>
      <c r="AQ182" s="773"/>
      <c r="AR182" s="773"/>
      <c r="AS182" s="773"/>
      <c r="AT182" s="773"/>
      <c r="AU182" s="773"/>
      <c r="AV182" s="773"/>
      <c r="AW182" s="773"/>
      <c r="AX182" s="773"/>
      <c r="AY182" s="773"/>
      <c r="AZ182" s="773"/>
      <c r="BA182" s="773"/>
      <c r="BB182" s="773"/>
      <c r="BC182" s="773"/>
      <c r="BD182" s="773"/>
      <c r="BE182" s="773"/>
      <c r="BF182" s="773"/>
      <c r="BG182" s="773"/>
      <c r="BH182" s="773"/>
      <c r="BI182" s="773"/>
      <c r="BJ182" s="773"/>
      <c r="BK182" s="773"/>
      <c r="BL182" s="773"/>
      <c r="BM182" s="773"/>
      <c r="BN182" s="773"/>
      <c r="BO182" s="773"/>
      <c r="BP182" s="773"/>
      <c r="BQ182" s="773"/>
      <c r="BR182" s="773"/>
      <c r="BS182" s="773"/>
      <c r="BT182" s="773"/>
      <c r="BU182" s="773"/>
      <c r="BV182" s="773"/>
    </row>
    <row r="183" spans="1:74" s="439" customFormat="1" ht="18" x14ac:dyDescent="0.25">
      <c r="A183" s="770"/>
      <c r="B183" s="1045"/>
      <c r="C183" s="1011"/>
      <c r="D183" s="458" t="s">
        <v>181</v>
      </c>
      <c r="E183" s="1014"/>
      <c r="F183" s="406">
        <v>1564</v>
      </c>
      <c r="G183" s="406" t="s">
        <v>11</v>
      </c>
      <c r="H183" s="417"/>
      <c r="I183" s="419">
        <f t="shared" si="42"/>
        <v>0</v>
      </c>
      <c r="J183" s="725"/>
      <c r="K183" s="698"/>
      <c r="L183" s="726"/>
      <c r="M183" s="1017"/>
      <c r="N183" s="458" t="s">
        <v>107</v>
      </c>
      <c r="O183" s="1014"/>
      <c r="P183" s="406">
        <v>1564</v>
      </c>
      <c r="Q183" s="406" t="s">
        <v>11</v>
      </c>
      <c r="R183" s="391"/>
      <c r="S183" s="760">
        <f t="shared" si="43"/>
        <v>0</v>
      </c>
      <c r="T183" s="761"/>
      <c r="U183" s="682"/>
      <c r="V183" s="438"/>
      <c r="W183" s="773"/>
      <c r="X183" s="773"/>
      <c r="Y183" s="773"/>
      <c r="Z183" s="773"/>
      <c r="AA183" s="773"/>
      <c r="AB183" s="773"/>
      <c r="AC183" s="773"/>
      <c r="AD183" s="773"/>
      <c r="AE183" s="773"/>
      <c r="AF183" s="773"/>
      <c r="AG183" s="773"/>
      <c r="AH183" s="773"/>
      <c r="AI183" s="773"/>
      <c r="AJ183" s="773"/>
      <c r="AK183" s="773"/>
      <c r="AL183" s="773"/>
      <c r="AM183" s="773"/>
      <c r="AN183" s="773"/>
      <c r="AO183" s="773"/>
      <c r="AP183" s="773"/>
      <c r="AQ183" s="773"/>
      <c r="AR183" s="773"/>
      <c r="AS183" s="773"/>
      <c r="AT183" s="773"/>
      <c r="AU183" s="773"/>
      <c r="AV183" s="773"/>
      <c r="AW183" s="773"/>
      <c r="AX183" s="773"/>
      <c r="AY183" s="773"/>
      <c r="AZ183" s="773"/>
      <c r="BA183" s="773"/>
      <c r="BB183" s="773"/>
      <c r="BC183" s="773"/>
      <c r="BD183" s="773"/>
      <c r="BE183" s="773"/>
      <c r="BF183" s="773"/>
      <c r="BG183" s="773"/>
      <c r="BH183" s="773"/>
      <c r="BI183" s="773"/>
      <c r="BJ183" s="773"/>
      <c r="BK183" s="773"/>
      <c r="BL183" s="773"/>
      <c r="BM183" s="773"/>
      <c r="BN183" s="773"/>
      <c r="BO183" s="773"/>
      <c r="BP183" s="773"/>
      <c r="BQ183" s="773"/>
      <c r="BR183" s="773"/>
      <c r="BS183" s="773"/>
      <c r="BT183" s="773"/>
      <c r="BU183" s="773"/>
      <c r="BV183" s="773"/>
    </row>
    <row r="184" spans="1:74" s="439" customFormat="1" ht="18" x14ac:dyDescent="0.25">
      <c r="A184" s="770"/>
      <c r="B184" s="1045"/>
      <c r="C184" s="1012"/>
      <c r="D184" s="467" t="s">
        <v>182</v>
      </c>
      <c r="E184" s="1015"/>
      <c r="F184" s="407">
        <v>1564</v>
      </c>
      <c r="G184" s="407" t="s">
        <v>11</v>
      </c>
      <c r="H184" s="728"/>
      <c r="I184" s="419">
        <f t="shared" si="42"/>
        <v>0</v>
      </c>
      <c r="J184" s="725"/>
      <c r="K184" s="698"/>
      <c r="L184" s="726"/>
      <c r="M184" s="1018"/>
      <c r="N184" s="467" t="s">
        <v>108</v>
      </c>
      <c r="O184" s="1015"/>
      <c r="P184" s="406">
        <v>1564</v>
      </c>
      <c r="Q184" s="406" t="s">
        <v>11</v>
      </c>
      <c r="R184" s="426"/>
      <c r="S184" s="484">
        <f t="shared" si="43"/>
        <v>0</v>
      </c>
      <c r="T184" s="758"/>
      <c r="U184" s="806"/>
      <c r="V184" s="807"/>
      <c r="W184" s="773"/>
      <c r="X184" s="773"/>
      <c r="Y184" s="773"/>
      <c r="Z184" s="773"/>
      <c r="AA184" s="773"/>
      <c r="AB184" s="773"/>
      <c r="AC184" s="773"/>
      <c r="AD184" s="773"/>
      <c r="AE184" s="773"/>
      <c r="AF184" s="773"/>
      <c r="AG184" s="773"/>
      <c r="AH184" s="773"/>
      <c r="AI184" s="773"/>
      <c r="AJ184" s="773"/>
      <c r="AK184" s="773"/>
      <c r="AL184" s="773"/>
      <c r="AM184" s="773"/>
      <c r="AN184" s="773"/>
      <c r="AO184" s="773"/>
      <c r="AP184" s="773"/>
      <c r="AQ184" s="773"/>
      <c r="AR184" s="773"/>
      <c r="AS184" s="773"/>
      <c r="AT184" s="773"/>
      <c r="AU184" s="773"/>
      <c r="AV184" s="773"/>
      <c r="AW184" s="773"/>
      <c r="AX184" s="773"/>
      <c r="AY184" s="773"/>
      <c r="AZ184" s="773"/>
      <c r="BA184" s="773"/>
      <c r="BB184" s="773"/>
      <c r="BC184" s="773"/>
      <c r="BD184" s="773"/>
      <c r="BE184" s="773"/>
      <c r="BF184" s="773"/>
      <c r="BG184" s="773"/>
      <c r="BH184" s="773"/>
      <c r="BI184" s="773"/>
      <c r="BJ184" s="773"/>
      <c r="BK184" s="773"/>
      <c r="BL184" s="773"/>
      <c r="BM184" s="773"/>
      <c r="BN184" s="773"/>
      <c r="BO184" s="773"/>
      <c r="BP184" s="773"/>
      <c r="BQ184" s="773"/>
      <c r="BR184" s="773"/>
      <c r="BS184" s="773"/>
      <c r="BT184" s="773"/>
      <c r="BU184" s="773"/>
      <c r="BV184" s="773"/>
    </row>
    <row r="185" spans="1:74" s="439" customFormat="1" ht="34.5" customHeight="1" x14ac:dyDescent="0.25">
      <c r="A185" s="770"/>
      <c r="B185" s="1045"/>
      <c r="C185" s="1037" t="s">
        <v>99</v>
      </c>
      <c r="D185" s="1038"/>
      <c r="E185" s="797">
        <f>E177*12*0.62/100</f>
        <v>1116</v>
      </c>
      <c r="F185" s="1026" t="s">
        <v>100</v>
      </c>
      <c r="G185" s="1027"/>
      <c r="H185" s="468">
        <f>SUM(H177:H184)</f>
        <v>0</v>
      </c>
      <c r="I185" s="704">
        <f>+SUM(I177:I184)</f>
        <v>0</v>
      </c>
      <c r="J185" s="767"/>
      <c r="K185" s="767"/>
      <c r="L185" s="658"/>
      <c r="M185" s="1101" t="s">
        <v>99</v>
      </c>
      <c r="N185" s="1102"/>
      <c r="O185" s="798">
        <f>O177*12*0.65/100</f>
        <v>2223</v>
      </c>
      <c r="P185" s="1007" t="s">
        <v>100</v>
      </c>
      <c r="Q185" s="1008"/>
      <c r="R185" s="716">
        <f>+SUM(R177:R184)</f>
        <v>0</v>
      </c>
      <c r="S185" s="717">
        <f>+SUM(S177:S184)</f>
        <v>0</v>
      </c>
      <c r="T185" s="668"/>
      <c r="U185" s="671"/>
      <c r="V185" s="658"/>
      <c r="W185" s="773"/>
      <c r="X185" s="773"/>
      <c r="Y185" s="773"/>
      <c r="Z185" s="773"/>
      <c r="AA185" s="773"/>
      <c r="AB185" s="773"/>
      <c r="AC185" s="773"/>
      <c r="AD185" s="773"/>
      <c r="AE185" s="773"/>
      <c r="AF185" s="773"/>
      <c r="AG185" s="773"/>
      <c r="AH185" s="773"/>
      <c r="AI185" s="773"/>
      <c r="AJ185" s="773"/>
      <c r="AK185" s="773"/>
      <c r="AL185" s="773"/>
      <c r="AM185" s="773"/>
      <c r="AN185" s="773"/>
      <c r="AO185" s="773"/>
      <c r="AP185" s="773"/>
      <c r="AQ185" s="773"/>
      <c r="AR185" s="773"/>
      <c r="AS185" s="773"/>
      <c r="AT185" s="773"/>
      <c r="AU185" s="773"/>
      <c r="AV185" s="773"/>
      <c r="AW185" s="773"/>
      <c r="AX185" s="773"/>
      <c r="AY185" s="773"/>
      <c r="AZ185" s="773"/>
      <c r="BA185" s="773"/>
      <c r="BB185" s="773"/>
      <c r="BC185" s="773"/>
      <c r="BD185" s="773"/>
      <c r="BE185" s="773"/>
      <c r="BF185" s="773"/>
      <c r="BG185" s="773"/>
      <c r="BH185" s="773"/>
      <c r="BI185" s="773"/>
      <c r="BJ185" s="773"/>
      <c r="BK185" s="773"/>
      <c r="BL185" s="773"/>
      <c r="BM185" s="773"/>
      <c r="BN185" s="773"/>
      <c r="BO185" s="773"/>
      <c r="BP185" s="773"/>
      <c r="BQ185" s="773"/>
      <c r="BR185" s="773"/>
      <c r="BS185" s="773"/>
      <c r="BT185" s="773"/>
      <c r="BU185" s="773"/>
      <c r="BV185" s="773"/>
    </row>
    <row r="186" spans="1:74" s="439" customFormat="1" ht="18" x14ac:dyDescent="0.25">
      <c r="A186" s="770"/>
      <c r="B186" s="1045"/>
      <c r="C186" s="1016">
        <v>3</v>
      </c>
      <c r="D186" s="458" t="s">
        <v>109</v>
      </c>
      <c r="E186" s="1013">
        <v>15000</v>
      </c>
      <c r="F186" s="405">
        <v>1564</v>
      </c>
      <c r="G186" s="405" t="s">
        <v>11</v>
      </c>
      <c r="H186" s="395"/>
      <c r="I186" s="429">
        <f t="shared" ref="I186:I193" si="44">IF(F186=2395, H186*12*0.62/100, IF(F186=1564, H186*12*0.65/100, ""))</f>
        <v>0</v>
      </c>
      <c r="J186" s="763"/>
      <c r="K186" s="764"/>
      <c r="L186" s="726"/>
      <c r="M186" s="1016">
        <f>+C186</f>
        <v>3</v>
      </c>
      <c r="N186" s="458" t="s">
        <v>109</v>
      </c>
      <c r="O186" s="1013">
        <v>28500</v>
      </c>
      <c r="P186" s="406">
        <v>1564</v>
      </c>
      <c r="Q186" s="406" t="s">
        <v>11</v>
      </c>
      <c r="R186" s="694"/>
      <c r="S186" s="484">
        <f t="shared" ref="S186:S193" si="45">IF(P186=6843, R186*12*0.62/100,IF(P186=2821, R186*12*0.63/100,IF(P186=6842, R186*12*0.63/100,IF(P186=1564, R186*12*0.65/100, ""))))</f>
        <v>0</v>
      </c>
      <c r="T186" s="386"/>
      <c r="U186" s="710"/>
      <c r="V186" s="441"/>
      <c r="W186" s="773"/>
      <c r="X186" s="773"/>
      <c r="Y186" s="773"/>
      <c r="Z186" s="773"/>
      <c r="AA186" s="773"/>
      <c r="AB186" s="773"/>
      <c r="AC186" s="773"/>
      <c r="AD186" s="773"/>
      <c r="AE186" s="773"/>
      <c r="AF186" s="773"/>
      <c r="AG186" s="773"/>
      <c r="AH186" s="773"/>
      <c r="AI186" s="773"/>
      <c r="AJ186" s="773"/>
      <c r="AK186" s="773"/>
      <c r="AL186" s="773"/>
      <c r="AM186" s="773"/>
      <c r="AN186" s="773"/>
      <c r="AO186" s="773"/>
      <c r="AP186" s="773"/>
      <c r="AQ186" s="773"/>
      <c r="AR186" s="773"/>
      <c r="AS186" s="773"/>
      <c r="AT186" s="773"/>
      <c r="AU186" s="773"/>
      <c r="AV186" s="773"/>
      <c r="AW186" s="773"/>
      <c r="AX186" s="773"/>
      <c r="AY186" s="773"/>
      <c r="AZ186" s="773"/>
      <c r="BA186" s="773"/>
      <c r="BB186" s="773"/>
      <c r="BC186" s="773"/>
      <c r="BD186" s="773"/>
      <c r="BE186" s="773"/>
      <c r="BF186" s="773"/>
      <c r="BG186" s="773"/>
      <c r="BH186" s="773"/>
      <c r="BI186" s="773"/>
      <c r="BJ186" s="773"/>
      <c r="BK186" s="773"/>
      <c r="BL186" s="773"/>
      <c r="BM186" s="773"/>
      <c r="BN186" s="773"/>
      <c r="BO186" s="773"/>
      <c r="BP186" s="773"/>
      <c r="BQ186" s="773"/>
      <c r="BR186" s="773"/>
      <c r="BS186" s="773"/>
      <c r="BT186" s="773"/>
      <c r="BU186" s="773"/>
      <c r="BV186" s="773"/>
    </row>
    <row r="187" spans="1:74" s="439" customFormat="1" ht="18" x14ac:dyDescent="0.25">
      <c r="A187" s="770"/>
      <c r="B187" s="1045"/>
      <c r="C187" s="1017"/>
      <c r="D187" s="459" t="s">
        <v>110</v>
      </c>
      <c r="E187" s="1014"/>
      <c r="F187" s="406">
        <v>1564</v>
      </c>
      <c r="G187" s="406" t="s">
        <v>11</v>
      </c>
      <c r="H187" s="391"/>
      <c r="I187" s="429">
        <f t="shared" si="44"/>
        <v>0</v>
      </c>
      <c r="J187" s="659"/>
      <c r="K187" s="765"/>
      <c r="L187" s="766"/>
      <c r="M187" s="1017"/>
      <c r="N187" s="459" t="s">
        <v>110</v>
      </c>
      <c r="O187" s="1014"/>
      <c r="P187" s="406">
        <v>1564</v>
      </c>
      <c r="Q187" s="406" t="s">
        <v>11</v>
      </c>
      <c r="R187" s="694"/>
      <c r="S187" s="484">
        <f t="shared" si="45"/>
        <v>0</v>
      </c>
      <c r="T187" s="386"/>
      <c r="U187" s="710"/>
      <c r="V187" s="438"/>
      <c r="W187" s="773"/>
      <c r="X187" s="773"/>
      <c r="Y187" s="773"/>
      <c r="Z187" s="773"/>
      <c r="AA187" s="773"/>
      <c r="AB187" s="773"/>
      <c r="AC187" s="773"/>
      <c r="AD187" s="773"/>
      <c r="AE187" s="773"/>
      <c r="AF187" s="773"/>
      <c r="AG187" s="773"/>
      <c r="AH187" s="773"/>
      <c r="AI187" s="773"/>
      <c r="AJ187" s="773"/>
      <c r="AK187" s="773"/>
      <c r="AL187" s="773"/>
      <c r="AM187" s="773"/>
      <c r="AN187" s="773"/>
      <c r="AO187" s="773"/>
      <c r="AP187" s="773"/>
      <c r="AQ187" s="773"/>
      <c r="AR187" s="773"/>
      <c r="AS187" s="773"/>
      <c r="AT187" s="773"/>
      <c r="AU187" s="773"/>
      <c r="AV187" s="773"/>
      <c r="AW187" s="773"/>
      <c r="AX187" s="773"/>
      <c r="AY187" s="773"/>
      <c r="AZ187" s="773"/>
      <c r="BA187" s="773"/>
      <c r="BB187" s="773"/>
      <c r="BC187" s="773"/>
      <c r="BD187" s="773"/>
      <c r="BE187" s="773"/>
      <c r="BF187" s="773"/>
      <c r="BG187" s="773"/>
      <c r="BH187" s="773"/>
      <c r="BI187" s="773"/>
      <c r="BJ187" s="773"/>
      <c r="BK187" s="773"/>
      <c r="BL187" s="773"/>
      <c r="BM187" s="773"/>
      <c r="BN187" s="773"/>
      <c r="BO187" s="773"/>
      <c r="BP187" s="773"/>
      <c r="BQ187" s="773"/>
      <c r="BR187" s="773"/>
      <c r="BS187" s="773"/>
      <c r="BT187" s="773"/>
      <c r="BU187" s="773"/>
      <c r="BV187" s="773"/>
    </row>
    <row r="188" spans="1:74" s="439" customFormat="1" ht="18" x14ac:dyDescent="0.25">
      <c r="A188" s="770"/>
      <c r="B188" s="1045"/>
      <c r="C188" s="1017"/>
      <c r="D188" s="459" t="s">
        <v>111</v>
      </c>
      <c r="E188" s="1014"/>
      <c r="F188" s="406">
        <v>1564</v>
      </c>
      <c r="G188" s="406" t="s">
        <v>11</v>
      </c>
      <c r="H188" s="391"/>
      <c r="I188" s="429">
        <f t="shared" si="44"/>
        <v>0</v>
      </c>
      <c r="J188" s="763"/>
      <c r="K188" s="764"/>
      <c r="L188" s="726"/>
      <c r="M188" s="1017"/>
      <c r="N188" s="459" t="s">
        <v>111</v>
      </c>
      <c r="O188" s="1014"/>
      <c r="P188" s="406">
        <v>1564</v>
      </c>
      <c r="Q188" s="406" t="s">
        <v>11</v>
      </c>
      <c r="R188" s="694"/>
      <c r="S188" s="484">
        <f t="shared" si="45"/>
        <v>0</v>
      </c>
      <c r="T188" s="386"/>
      <c r="U188" s="710"/>
      <c r="V188" s="436"/>
      <c r="W188" s="773"/>
      <c r="X188" s="773"/>
      <c r="Y188" s="773"/>
      <c r="Z188" s="773"/>
      <c r="AA188" s="773"/>
      <c r="AB188" s="773"/>
      <c r="AC188" s="773"/>
      <c r="AD188" s="773"/>
      <c r="AE188" s="773"/>
      <c r="AF188" s="773"/>
      <c r="AG188" s="773"/>
      <c r="AH188" s="773"/>
      <c r="AI188" s="773"/>
      <c r="AJ188" s="773"/>
      <c r="AK188" s="773"/>
      <c r="AL188" s="773"/>
      <c r="AM188" s="773"/>
      <c r="AN188" s="773"/>
      <c r="AO188" s="773"/>
      <c r="AP188" s="773"/>
      <c r="AQ188" s="773"/>
      <c r="AR188" s="773"/>
      <c r="AS188" s="773"/>
      <c r="AT188" s="773"/>
      <c r="AU188" s="773"/>
      <c r="AV188" s="773"/>
      <c r="AW188" s="773"/>
      <c r="AX188" s="773"/>
      <c r="AY188" s="773"/>
      <c r="AZ188" s="773"/>
      <c r="BA188" s="773"/>
      <c r="BB188" s="773"/>
      <c r="BC188" s="773"/>
      <c r="BD188" s="773"/>
      <c r="BE188" s="773"/>
      <c r="BF188" s="773"/>
      <c r="BG188" s="773"/>
      <c r="BH188" s="773"/>
      <c r="BI188" s="773"/>
      <c r="BJ188" s="773"/>
      <c r="BK188" s="773"/>
      <c r="BL188" s="773"/>
      <c r="BM188" s="773"/>
      <c r="BN188" s="773"/>
      <c r="BO188" s="773"/>
      <c r="BP188" s="773"/>
      <c r="BQ188" s="773"/>
      <c r="BR188" s="773"/>
      <c r="BS188" s="773"/>
      <c r="BT188" s="773"/>
      <c r="BU188" s="773"/>
      <c r="BV188" s="773"/>
    </row>
    <row r="189" spans="1:74" s="439" customFormat="1" ht="18" x14ac:dyDescent="0.25">
      <c r="A189" s="770"/>
      <c r="B189" s="1045"/>
      <c r="C189" s="1017"/>
      <c r="D189" s="459" t="s">
        <v>112</v>
      </c>
      <c r="E189" s="1014"/>
      <c r="F189" s="406">
        <v>1564</v>
      </c>
      <c r="G189" s="406" t="s">
        <v>11</v>
      </c>
      <c r="H189" s="391"/>
      <c r="I189" s="429">
        <f t="shared" si="44"/>
        <v>0</v>
      </c>
      <c r="J189" s="763"/>
      <c r="K189" s="765"/>
      <c r="L189" s="726"/>
      <c r="M189" s="1017"/>
      <c r="N189" s="459" t="s">
        <v>112</v>
      </c>
      <c r="O189" s="1014"/>
      <c r="P189" s="406">
        <v>1564</v>
      </c>
      <c r="Q189" s="406" t="s">
        <v>11</v>
      </c>
      <c r="R189" s="694"/>
      <c r="S189" s="484">
        <f t="shared" si="45"/>
        <v>0</v>
      </c>
      <c r="T189" s="386"/>
      <c r="U189" s="710"/>
      <c r="V189" s="438"/>
      <c r="W189" s="773"/>
      <c r="X189" s="773"/>
      <c r="Y189" s="773"/>
      <c r="Z189" s="773"/>
      <c r="AA189" s="773"/>
      <c r="AB189" s="773"/>
      <c r="AC189" s="773"/>
      <c r="AD189" s="773"/>
      <c r="AE189" s="773"/>
      <c r="AF189" s="773"/>
      <c r="AG189" s="773"/>
      <c r="AH189" s="773"/>
      <c r="AI189" s="773"/>
      <c r="AJ189" s="773"/>
      <c r="AK189" s="773"/>
      <c r="AL189" s="773"/>
      <c r="AM189" s="773"/>
      <c r="AN189" s="773"/>
      <c r="AO189" s="773"/>
      <c r="AP189" s="773"/>
      <c r="AQ189" s="773"/>
      <c r="AR189" s="773"/>
      <c r="AS189" s="773"/>
      <c r="AT189" s="773"/>
      <c r="AU189" s="773"/>
      <c r="AV189" s="773"/>
      <c r="AW189" s="773"/>
      <c r="AX189" s="773"/>
      <c r="AY189" s="773"/>
      <c r="AZ189" s="773"/>
      <c r="BA189" s="773"/>
      <c r="BB189" s="773"/>
      <c r="BC189" s="773"/>
      <c r="BD189" s="773"/>
      <c r="BE189" s="773"/>
      <c r="BF189" s="773"/>
      <c r="BG189" s="773"/>
      <c r="BH189" s="773"/>
      <c r="BI189" s="773"/>
      <c r="BJ189" s="773"/>
      <c r="BK189" s="773"/>
      <c r="BL189" s="773"/>
      <c r="BM189" s="773"/>
      <c r="BN189" s="773"/>
      <c r="BO189" s="773"/>
      <c r="BP189" s="773"/>
      <c r="BQ189" s="773"/>
      <c r="BR189" s="773"/>
      <c r="BS189" s="773"/>
      <c r="BT189" s="773"/>
      <c r="BU189" s="773"/>
      <c r="BV189" s="773"/>
    </row>
    <row r="190" spans="1:74" s="439" customFormat="1" ht="18" x14ac:dyDescent="0.25">
      <c r="A190" s="770"/>
      <c r="B190" s="1045"/>
      <c r="C190" s="1017"/>
      <c r="D190" s="459" t="s">
        <v>113</v>
      </c>
      <c r="E190" s="1014"/>
      <c r="F190" s="406">
        <v>1564</v>
      </c>
      <c r="G190" s="406" t="s">
        <v>11</v>
      </c>
      <c r="H190" s="391"/>
      <c r="I190" s="429">
        <f t="shared" si="44"/>
        <v>0</v>
      </c>
      <c r="J190" s="763"/>
      <c r="K190" s="764"/>
      <c r="L190" s="726"/>
      <c r="M190" s="1017"/>
      <c r="N190" s="459" t="s">
        <v>113</v>
      </c>
      <c r="O190" s="1014"/>
      <c r="P190" s="406">
        <v>1564</v>
      </c>
      <c r="Q190" s="406" t="s">
        <v>11</v>
      </c>
      <c r="R190" s="694"/>
      <c r="S190" s="484">
        <f t="shared" si="45"/>
        <v>0</v>
      </c>
      <c r="T190" s="386"/>
      <c r="U190" s="710"/>
      <c r="V190" s="436"/>
      <c r="W190" s="773"/>
      <c r="X190" s="773"/>
      <c r="Y190" s="773"/>
      <c r="Z190" s="773"/>
      <c r="AA190" s="773"/>
      <c r="AB190" s="773"/>
      <c r="AC190" s="773"/>
      <c r="AD190" s="773"/>
      <c r="AE190" s="773"/>
      <c r="AF190" s="773"/>
      <c r="AG190" s="773"/>
      <c r="AH190" s="773"/>
      <c r="AI190" s="773"/>
      <c r="AJ190" s="773"/>
      <c r="AK190" s="773"/>
      <c r="AL190" s="773"/>
      <c r="AM190" s="773"/>
      <c r="AN190" s="773"/>
      <c r="AO190" s="773"/>
      <c r="AP190" s="773"/>
      <c r="AQ190" s="773"/>
      <c r="AR190" s="773"/>
      <c r="AS190" s="773"/>
      <c r="AT190" s="773"/>
      <c r="AU190" s="773"/>
      <c r="AV190" s="773"/>
      <c r="AW190" s="773"/>
      <c r="AX190" s="773"/>
      <c r="AY190" s="773"/>
      <c r="AZ190" s="773"/>
      <c r="BA190" s="773"/>
      <c r="BB190" s="773"/>
      <c r="BC190" s="773"/>
      <c r="BD190" s="773"/>
      <c r="BE190" s="773"/>
      <c r="BF190" s="773"/>
      <c r="BG190" s="773"/>
      <c r="BH190" s="773"/>
      <c r="BI190" s="773"/>
      <c r="BJ190" s="773"/>
      <c r="BK190" s="773"/>
      <c r="BL190" s="773"/>
      <c r="BM190" s="773"/>
      <c r="BN190" s="773"/>
      <c r="BO190" s="773"/>
      <c r="BP190" s="773"/>
      <c r="BQ190" s="773"/>
      <c r="BR190" s="773"/>
      <c r="BS190" s="773"/>
      <c r="BT190" s="773"/>
      <c r="BU190" s="773"/>
      <c r="BV190" s="773"/>
    </row>
    <row r="191" spans="1:74" s="439" customFormat="1" ht="18" x14ac:dyDescent="0.25">
      <c r="A191" s="770"/>
      <c r="B191" s="1045"/>
      <c r="C191" s="1017"/>
      <c r="D191" s="459" t="s">
        <v>114</v>
      </c>
      <c r="E191" s="1014"/>
      <c r="F191" s="406">
        <v>1564</v>
      </c>
      <c r="G191" s="406" t="s">
        <v>11</v>
      </c>
      <c r="H191" s="391"/>
      <c r="I191" s="429">
        <f t="shared" si="44"/>
        <v>0</v>
      </c>
      <c r="J191" s="659"/>
      <c r="K191" s="765"/>
      <c r="L191" s="726"/>
      <c r="M191" s="1017"/>
      <c r="N191" s="459" t="s">
        <v>114</v>
      </c>
      <c r="O191" s="1014"/>
      <c r="P191" s="406">
        <v>1564</v>
      </c>
      <c r="Q191" s="406" t="s">
        <v>11</v>
      </c>
      <c r="R191" s="694"/>
      <c r="S191" s="484">
        <f t="shared" si="45"/>
        <v>0</v>
      </c>
      <c r="T191" s="386"/>
      <c r="U191" s="386"/>
      <c r="V191" s="438"/>
      <c r="W191" s="773"/>
      <c r="X191" s="773"/>
      <c r="Y191" s="773"/>
      <c r="Z191" s="773"/>
      <c r="AA191" s="773"/>
      <c r="AB191" s="773"/>
      <c r="AC191" s="773"/>
      <c r="AD191" s="773"/>
      <c r="AE191" s="773"/>
      <c r="AF191" s="773"/>
      <c r="AG191" s="773"/>
      <c r="AH191" s="773"/>
      <c r="AI191" s="773"/>
      <c r="AJ191" s="773"/>
      <c r="AK191" s="773"/>
      <c r="AL191" s="773"/>
      <c r="AM191" s="773"/>
      <c r="AN191" s="773"/>
      <c r="AO191" s="773"/>
      <c r="AP191" s="773"/>
      <c r="AQ191" s="773"/>
      <c r="AR191" s="773"/>
      <c r="AS191" s="773"/>
      <c r="AT191" s="773"/>
      <c r="AU191" s="773"/>
      <c r="AV191" s="773"/>
      <c r="AW191" s="773"/>
      <c r="AX191" s="773"/>
      <c r="AY191" s="773"/>
      <c r="AZ191" s="773"/>
      <c r="BA191" s="773"/>
      <c r="BB191" s="773"/>
      <c r="BC191" s="773"/>
      <c r="BD191" s="773"/>
      <c r="BE191" s="773"/>
      <c r="BF191" s="773"/>
      <c r="BG191" s="773"/>
      <c r="BH191" s="773"/>
      <c r="BI191" s="773"/>
      <c r="BJ191" s="773"/>
      <c r="BK191" s="773"/>
      <c r="BL191" s="773"/>
      <c r="BM191" s="773"/>
      <c r="BN191" s="773"/>
      <c r="BO191" s="773"/>
      <c r="BP191" s="773"/>
      <c r="BQ191" s="773"/>
      <c r="BR191" s="773"/>
      <c r="BS191" s="773"/>
      <c r="BT191" s="773"/>
      <c r="BU191" s="773"/>
      <c r="BV191" s="773"/>
    </row>
    <row r="192" spans="1:74" s="439" customFormat="1" ht="18" x14ac:dyDescent="0.25">
      <c r="A192" s="770"/>
      <c r="B192" s="1045"/>
      <c r="C192" s="1017"/>
      <c r="D192" s="459" t="s">
        <v>115</v>
      </c>
      <c r="E192" s="1014"/>
      <c r="F192" s="406">
        <v>1564</v>
      </c>
      <c r="G192" s="406" t="s">
        <v>11</v>
      </c>
      <c r="H192" s="391"/>
      <c r="I192" s="429">
        <f t="shared" si="44"/>
        <v>0</v>
      </c>
      <c r="J192" s="763"/>
      <c r="K192" s="764"/>
      <c r="L192" s="726"/>
      <c r="M192" s="1017"/>
      <c r="N192" s="459" t="s">
        <v>115</v>
      </c>
      <c r="O192" s="1014"/>
      <c r="P192" s="406">
        <v>1564</v>
      </c>
      <c r="Q192" s="406" t="s">
        <v>11</v>
      </c>
      <c r="R192" s="694"/>
      <c r="S192" s="484">
        <f t="shared" si="45"/>
        <v>0</v>
      </c>
      <c r="T192" s="386"/>
      <c r="U192" s="710"/>
      <c r="V192" s="436"/>
      <c r="W192" s="773"/>
      <c r="X192" s="773"/>
      <c r="Y192" s="773"/>
      <c r="Z192" s="773"/>
      <c r="AA192" s="773"/>
      <c r="AB192" s="773"/>
      <c r="AC192" s="773"/>
      <c r="AD192" s="773"/>
      <c r="AE192" s="773"/>
      <c r="AF192" s="773"/>
      <c r="AG192" s="773"/>
      <c r="AH192" s="773"/>
      <c r="AI192" s="773"/>
      <c r="AJ192" s="773"/>
      <c r="AK192" s="773"/>
      <c r="AL192" s="773"/>
      <c r="AM192" s="773"/>
      <c r="AN192" s="773"/>
      <c r="AO192" s="773"/>
      <c r="AP192" s="773"/>
      <c r="AQ192" s="773"/>
      <c r="AR192" s="773"/>
      <c r="AS192" s="773"/>
      <c r="AT192" s="773"/>
      <c r="AU192" s="773"/>
      <c r="AV192" s="773"/>
      <c r="AW192" s="773"/>
      <c r="AX192" s="773"/>
      <c r="AY192" s="773"/>
      <c r="AZ192" s="773"/>
      <c r="BA192" s="773"/>
      <c r="BB192" s="773"/>
      <c r="BC192" s="773"/>
      <c r="BD192" s="773"/>
      <c r="BE192" s="773"/>
      <c r="BF192" s="773"/>
      <c r="BG192" s="773"/>
      <c r="BH192" s="773"/>
      <c r="BI192" s="773"/>
      <c r="BJ192" s="773"/>
      <c r="BK192" s="773"/>
      <c r="BL192" s="773"/>
      <c r="BM192" s="773"/>
      <c r="BN192" s="773"/>
      <c r="BO192" s="773"/>
      <c r="BP192" s="773"/>
      <c r="BQ192" s="773"/>
      <c r="BR192" s="773"/>
      <c r="BS192" s="773"/>
      <c r="BT192" s="773"/>
      <c r="BU192" s="773"/>
      <c r="BV192" s="773"/>
    </row>
    <row r="193" spans="1:74" s="439" customFormat="1" ht="18" x14ac:dyDescent="0.25">
      <c r="A193" s="770"/>
      <c r="B193" s="1045"/>
      <c r="C193" s="1018"/>
      <c r="D193" s="462" t="s">
        <v>116</v>
      </c>
      <c r="E193" s="1014"/>
      <c r="F193" s="407">
        <v>1564</v>
      </c>
      <c r="G193" s="407" t="s">
        <v>11</v>
      </c>
      <c r="H193" s="391"/>
      <c r="I193" s="429">
        <f t="shared" si="44"/>
        <v>0</v>
      </c>
      <c r="J193" s="659"/>
      <c r="K193" s="765"/>
      <c r="L193" s="726"/>
      <c r="M193" s="1018"/>
      <c r="N193" s="462" t="s">
        <v>116</v>
      </c>
      <c r="O193" s="1014"/>
      <c r="P193" s="406">
        <v>1564</v>
      </c>
      <c r="Q193" s="406" t="s">
        <v>11</v>
      </c>
      <c r="R193" s="768"/>
      <c r="S193" s="484">
        <f t="shared" si="45"/>
        <v>0</v>
      </c>
      <c r="T193" s="415"/>
      <c r="U193" s="769"/>
      <c r="V193" s="436"/>
      <c r="W193" s="773"/>
      <c r="X193" s="773"/>
      <c r="Y193" s="773"/>
      <c r="Z193" s="773"/>
      <c r="AA193" s="773"/>
      <c r="AB193" s="773"/>
      <c r="AC193" s="773"/>
      <c r="AD193" s="773"/>
      <c r="AE193" s="773"/>
      <c r="AF193" s="773"/>
      <c r="AG193" s="773"/>
      <c r="AH193" s="773"/>
      <c r="AI193" s="773"/>
      <c r="AJ193" s="773"/>
      <c r="AK193" s="773"/>
      <c r="AL193" s="773"/>
      <c r="AM193" s="773"/>
      <c r="AN193" s="773"/>
      <c r="AO193" s="773"/>
      <c r="AP193" s="773"/>
      <c r="AQ193" s="773"/>
      <c r="AR193" s="773"/>
      <c r="AS193" s="773"/>
      <c r="AT193" s="773"/>
      <c r="AU193" s="773"/>
      <c r="AV193" s="773"/>
      <c r="AW193" s="773"/>
      <c r="AX193" s="773"/>
      <c r="AY193" s="773"/>
      <c r="AZ193" s="773"/>
      <c r="BA193" s="773"/>
      <c r="BB193" s="773"/>
      <c r="BC193" s="773"/>
      <c r="BD193" s="773"/>
      <c r="BE193" s="773"/>
      <c r="BF193" s="773"/>
      <c r="BG193" s="773"/>
      <c r="BH193" s="773"/>
      <c r="BI193" s="773"/>
      <c r="BJ193" s="773"/>
      <c r="BK193" s="773"/>
      <c r="BL193" s="773"/>
      <c r="BM193" s="773"/>
      <c r="BN193" s="773"/>
      <c r="BO193" s="773"/>
      <c r="BP193" s="773"/>
      <c r="BQ193" s="773"/>
      <c r="BR193" s="773"/>
      <c r="BS193" s="773"/>
      <c r="BT193" s="773"/>
      <c r="BU193" s="773"/>
      <c r="BV193" s="773"/>
    </row>
    <row r="194" spans="1:74" s="439" customFormat="1" ht="18" customHeight="1" x14ac:dyDescent="0.25">
      <c r="A194" s="770"/>
      <c r="B194" s="1046"/>
      <c r="C194" s="1041" t="s">
        <v>99</v>
      </c>
      <c r="D194" s="1042"/>
      <c r="E194" s="793">
        <f>E186*12*0.62/100</f>
        <v>1116</v>
      </c>
      <c r="F194" s="1026" t="s">
        <v>100</v>
      </c>
      <c r="G194" s="1027"/>
      <c r="H194" s="397">
        <f>+SUM(H186:H193)</f>
        <v>0</v>
      </c>
      <c r="I194" s="398">
        <f>+SUM(I186:I193)</f>
        <v>0</v>
      </c>
      <c r="J194" s="727" t="s">
        <v>394</v>
      </c>
      <c r="K194" s="727"/>
      <c r="L194" s="658"/>
      <c r="M194" s="1041" t="s">
        <v>99</v>
      </c>
      <c r="N194" s="1043"/>
      <c r="O194" s="399">
        <f>O186*12*0.65/100</f>
        <v>2223</v>
      </c>
      <c r="P194" s="1024" t="s">
        <v>100</v>
      </c>
      <c r="Q194" s="1025"/>
      <c r="R194" s="400">
        <f>+SUM(R186:R193)</f>
        <v>0</v>
      </c>
      <c r="S194" s="398">
        <f>+SUM(S186:S193)</f>
        <v>0</v>
      </c>
      <c r="T194" s="678"/>
      <c r="U194" s="671"/>
      <c r="V194" s="658"/>
      <c r="W194" s="773"/>
      <c r="X194" s="773"/>
      <c r="Y194" s="773"/>
      <c r="Z194" s="773"/>
      <c r="AA194" s="773"/>
      <c r="AB194" s="773"/>
      <c r="AC194" s="773"/>
      <c r="AD194" s="773"/>
      <c r="AE194" s="773"/>
      <c r="AF194" s="773"/>
      <c r="AG194" s="773"/>
      <c r="AH194" s="773"/>
      <c r="AI194" s="773"/>
      <c r="AJ194" s="773"/>
      <c r="AK194" s="773"/>
      <c r="AL194" s="773"/>
      <c r="AM194" s="773"/>
      <c r="AN194" s="773"/>
      <c r="AO194" s="773"/>
      <c r="AP194" s="773"/>
      <c r="AQ194" s="773"/>
      <c r="AR194" s="773"/>
      <c r="AS194" s="773"/>
      <c r="AT194" s="773"/>
      <c r="AU194" s="773"/>
      <c r="AV194" s="773"/>
      <c r="AW194" s="773"/>
      <c r="AX194" s="773"/>
      <c r="AY194" s="773"/>
      <c r="AZ194" s="773"/>
      <c r="BA194" s="773"/>
      <c r="BB194" s="773"/>
      <c r="BC194" s="773"/>
      <c r="BD194" s="773"/>
      <c r="BE194" s="773"/>
      <c r="BF194" s="773"/>
      <c r="BG194" s="773"/>
      <c r="BH194" s="773"/>
      <c r="BI194" s="773"/>
      <c r="BJ194" s="773"/>
      <c r="BK194" s="773"/>
      <c r="BL194" s="773"/>
      <c r="BM194" s="773"/>
      <c r="BN194" s="773"/>
      <c r="BO194" s="773"/>
      <c r="BP194" s="773"/>
      <c r="BQ194" s="773"/>
      <c r="BR194" s="773"/>
      <c r="BS194" s="773"/>
      <c r="BT194" s="773"/>
      <c r="BU194" s="773"/>
      <c r="BV194" s="773"/>
    </row>
    <row r="201" spans="1:74" ht="12.75" customHeight="1" x14ac:dyDescent="0.2">
      <c r="Q201" s="735"/>
    </row>
  </sheetData>
  <mergeCells count="182">
    <mergeCell ref="B1:T1"/>
    <mergeCell ref="B4:B5"/>
    <mergeCell ref="C4:C5"/>
    <mergeCell ref="E4:J4"/>
    <mergeCell ref="M4:M5"/>
    <mergeCell ref="O4:T4"/>
    <mergeCell ref="Y18:AC18"/>
    <mergeCell ref="B6:B32"/>
    <mergeCell ref="C6:C13"/>
    <mergeCell ref="E6:E13"/>
    <mergeCell ref="M6:M13"/>
    <mergeCell ref="O6:O13"/>
    <mergeCell ref="C14:D14"/>
    <mergeCell ref="F14:G14"/>
    <mergeCell ref="M14:N14"/>
    <mergeCell ref="C23:D23"/>
    <mergeCell ref="F23:G23"/>
    <mergeCell ref="M23:N23"/>
    <mergeCell ref="P23:Q23"/>
    <mergeCell ref="C24:C31"/>
    <mergeCell ref="E24:E31"/>
    <mergeCell ref="M24:M31"/>
    <mergeCell ref="O24:O31"/>
    <mergeCell ref="P14:Q14"/>
    <mergeCell ref="C15:C22"/>
    <mergeCell ref="E15:E22"/>
    <mergeCell ref="M15:M22"/>
    <mergeCell ref="O15:O22"/>
    <mergeCell ref="C32:D32"/>
    <mergeCell ref="F32:G32"/>
    <mergeCell ref="M32:N32"/>
    <mergeCell ref="P32:Q32"/>
    <mergeCell ref="B33:B59"/>
    <mergeCell ref="C33:C40"/>
    <mergeCell ref="E33:E40"/>
    <mergeCell ref="M33:M40"/>
    <mergeCell ref="O33:O40"/>
    <mergeCell ref="C41:D41"/>
    <mergeCell ref="C50:D50"/>
    <mergeCell ref="F50:G50"/>
    <mergeCell ref="M50:N50"/>
    <mergeCell ref="P50:Q50"/>
    <mergeCell ref="C51:C58"/>
    <mergeCell ref="E51:E58"/>
    <mergeCell ref="M51:M58"/>
    <mergeCell ref="O51:O58"/>
    <mergeCell ref="F41:G41"/>
    <mergeCell ref="M41:N41"/>
    <mergeCell ref="P41:Q41"/>
    <mergeCell ref="C42:C49"/>
    <mergeCell ref="E42:E49"/>
    <mergeCell ref="M42:M49"/>
    <mergeCell ref="O42:O49"/>
    <mergeCell ref="C59:D59"/>
    <mergeCell ref="F59:G59"/>
    <mergeCell ref="M59:N59"/>
    <mergeCell ref="P59:Q59"/>
    <mergeCell ref="B60:B86"/>
    <mergeCell ref="C60:C67"/>
    <mergeCell ref="E60:E67"/>
    <mergeCell ref="M60:M67"/>
    <mergeCell ref="O60:O67"/>
    <mergeCell ref="C68:D68"/>
    <mergeCell ref="C77:D77"/>
    <mergeCell ref="F77:G77"/>
    <mergeCell ref="M77:N77"/>
    <mergeCell ref="C86:D86"/>
    <mergeCell ref="F86:G86"/>
    <mergeCell ref="M86:N86"/>
    <mergeCell ref="P77:Q77"/>
    <mergeCell ref="C78:C85"/>
    <mergeCell ref="E78:E85"/>
    <mergeCell ref="M78:M85"/>
    <mergeCell ref="O78:O85"/>
    <mergeCell ref="F68:G68"/>
    <mergeCell ref="M68:N68"/>
    <mergeCell ref="P68:Q68"/>
    <mergeCell ref="C69:C76"/>
    <mergeCell ref="E69:E76"/>
    <mergeCell ref="M69:M76"/>
    <mergeCell ref="O69:O76"/>
    <mergeCell ref="P86:Q86"/>
    <mergeCell ref="B87:B113"/>
    <mergeCell ref="C87:C94"/>
    <mergeCell ref="E87:E94"/>
    <mergeCell ref="M87:M94"/>
    <mergeCell ref="O87:O94"/>
    <mergeCell ref="C95:D95"/>
    <mergeCell ref="C104:D104"/>
    <mergeCell ref="F104:G104"/>
    <mergeCell ref="M104:N104"/>
    <mergeCell ref="P104:Q104"/>
    <mergeCell ref="C105:C112"/>
    <mergeCell ref="E105:E112"/>
    <mergeCell ref="M105:M112"/>
    <mergeCell ref="O105:O112"/>
    <mergeCell ref="F95:G95"/>
    <mergeCell ref="M95:N95"/>
    <mergeCell ref="P95:Q95"/>
    <mergeCell ref="C96:C103"/>
    <mergeCell ref="E96:E103"/>
    <mergeCell ref="M96:M103"/>
    <mergeCell ref="O96:O103"/>
    <mergeCell ref="C113:D113"/>
    <mergeCell ref="F113:G113"/>
    <mergeCell ref="M113:N113"/>
    <mergeCell ref="P113:Q113"/>
    <mergeCell ref="B114:B140"/>
    <mergeCell ref="C114:C121"/>
    <mergeCell ref="E114:E121"/>
    <mergeCell ref="M114:M121"/>
    <mergeCell ref="O114:O121"/>
    <mergeCell ref="C122:D122"/>
    <mergeCell ref="C131:D131"/>
    <mergeCell ref="F131:G131"/>
    <mergeCell ref="M131:N131"/>
    <mergeCell ref="P131:Q131"/>
    <mergeCell ref="C132:C139"/>
    <mergeCell ref="E132:E139"/>
    <mergeCell ref="M132:M139"/>
    <mergeCell ref="O132:O139"/>
    <mergeCell ref="F122:G122"/>
    <mergeCell ref="M122:N122"/>
    <mergeCell ref="P122:Q122"/>
    <mergeCell ref="C123:C130"/>
    <mergeCell ref="E123:E130"/>
    <mergeCell ref="M123:M130"/>
    <mergeCell ref="O123:O130"/>
    <mergeCell ref="C140:D140"/>
    <mergeCell ref="F140:G140"/>
    <mergeCell ref="M140:N140"/>
    <mergeCell ref="P140:Q140"/>
    <mergeCell ref="B141:B167"/>
    <mergeCell ref="C141:C148"/>
    <mergeCell ref="E141:E148"/>
    <mergeCell ref="M141:M148"/>
    <mergeCell ref="O141:O148"/>
    <mergeCell ref="C149:D149"/>
    <mergeCell ref="P158:Q158"/>
    <mergeCell ref="C159:C166"/>
    <mergeCell ref="E159:E166"/>
    <mergeCell ref="M159:M166"/>
    <mergeCell ref="O159:O166"/>
    <mergeCell ref="F149:G149"/>
    <mergeCell ref="M149:N149"/>
    <mergeCell ref="P149:Q149"/>
    <mergeCell ref="C150:C157"/>
    <mergeCell ref="E150:E157"/>
    <mergeCell ref="M150:M157"/>
    <mergeCell ref="O150:O157"/>
    <mergeCell ref="B168:B194"/>
    <mergeCell ref="C168:C175"/>
    <mergeCell ref="E168:E175"/>
    <mergeCell ref="M168:M175"/>
    <mergeCell ref="O168:O175"/>
    <mergeCell ref="C176:D176"/>
    <mergeCell ref="C158:D158"/>
    <mergeCell ref="F158:G158"/>
    <mergeCell ref="M158:N158"/>
    <mergeCell ref="F176:G176"/>
    <mergeCell ref="M176:N176"/>
    <mergeCell ref="C194:D194"/>
    <mergeCell ref="F194:G194"/>
    <mergeCell ref="M194:N194"/>
    <mergeCell ref="P176:Q176"/>
    <mergeCell ref="C177:C184"/>
    <mergeCell ref="E177:E184"/>
    <mergeCell ref="M177:M184"/>
    <mergeCell ref="O177:O184"/>
    <mergeCell ref="C167:D167"/>
    <mergeCell ref="F167:G167"/>
    <mergeCell ref="M167:N167"/>
    <mergeCell ref="P167:Q167"/>
    <mergeCell ref="P194:Q194"/>
    <mergeCell ref="C185:D185"/>
    <mergeCell ref="F185:G185"/>
    <mergeCell ref="M185:N185"/>
    <mergeCell ref="P185:Q185"/>
    <mergeCell ref="C186:C193"/>
    <mergeCell ref="E186:E193"/>
    <mergeCell ref="M186:M193"/>
    <mergeCell ref="O186:O193"/>
  </mergeCells>
  <dataValidations count="2">
    <dataValidation allowBlank="1" showInputMessage="1" showErrorMessage="1" sqref="T7:V8 T35:V40 T177:T178 T11:V13 T58:V58 T69:V72 T67:V67 T109:V109 V128 T174:V175 T96:V96 T123:V123 U148:V148 U177:V177 T101:V102 T142:T145 J179:J181 T42:V46 J70:J72 U133 U155:V156 T94:V94 T79:V83 U135:U139 T160:T166 U187:V191 T55:V55 T114 T150:T157 J177 T76 T125:T130 U150:V150 T92:T93 U164:V164 V182:V183 U15:U18 U21:U22 U183 T15:T22 T24:V31 T34 V34 V15:V22 U48:V49 T47:T49 T60:V64 T65:T66 T74:V75 V121 V114:V118 U114:U116 T132:T136 V133:V136 U141:V145 V168:V172 T169:U172 T168 U193:V193 T186:T193 T87:V91 U33:V33" xr:uid="{0B3833F6-C643-4328-871C-3D870A52A362}"/>
    <dataValidation type="list" allowBlank="1" showInputMessage="1" showErrorMessage="1" sqref="W6:W30" xr:uid="{495E0B61-9176-4B77-9F71-07515F9A22F2}">
      <formula1>#REF!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10A5-D20F-4CDF-BEBB-CB47CA70DD04}">
  <sheetPr codeName="Hoja5">
    <tabColor rgb="FF00B0F0"/>
  </sheetPr>
  <dimension ref="C1:FF255"/>
  <sheetViews>
    <sheetView tabSelected="1" topLeftCell="B1" zoomScale="80" zoomScaleNormal="80" workbookViewId="0">
      <selection activeCell="D16" sqref="D16"/>
    </sheetView>
  </sheetViews>
  <sheetFormatPr baseColWidth="10" defaultColWidth="11.42578125" defaultRowHeight="15" x14ac:dyDescent="0.25"/>
  <cols>
    <col min="1" max="1" width="3.42578125" style="872" customWidth="1"/>
    <col min="2" max="2" width="4.42578125" style="872" customWidth="1"/>
    <col min="3" max="3" width="11.85546875" style="872" customWidth="1"/>
    <col min="4" max="4" width="11.42578125" style="872" customWidth="1"/>
    <col min="5" max="5" width="27.7109375" style="872" customWidth="1"/>
    <col min="6" max="6" width="11" style="872" customWidth="1"/>
    <col min="7" max="8" width="10.85546875" style="872" customWidth="1"/>
    <col min="9" max="9" width="11.85546875" style="872" customWidth="1"/>
    <col min="10" max="10" width="11.7109375" style="872" customWidth="1"/>
    <col min="11" max="11" width="12.7109375" style="872" customWidth="1"/>
    <col min="12" max="14" width="10.85546875" style="872" customWidth="1"/>
    <col min="15" max="15" width="11.42578125" style="872" customWidth="1"/>
    <col min="16" max="16" width="12" style="872" customWidth="1"/>
    <col min="17" max="17" width="10.85546875" style="872" customWidth="1"/>
    <col min="18" max="18" width="11" style="872" customWidth="1"/>
    <col min="19" max="21" width="10.85546875" style="872" customWidth="1"/>
    <col min="22" max="22" width="11.140625" style="872" customWidth="1"/>
    <col min="23" max="24" width="12" style="872" customWidth="1"/>
    <col min="25" max="25" width="11.140625" style="872" customWidth="1"/>
    <col min="26" max="26" width="12" style="872" customWidth="1"/>
    <col min="27" max="27" width="12.42578125" style="872" bestFit="1" customWidth="1"/>
    <col min="28" max="28" width="11.42578125" style="872" customWidth="1"/>
    <col min="29" max="29" width="11" style="872" customWidth="1"/>
    <col min="30" max="31" width="11.42578125" style="872" customWidth="1"/>
    <col min="32" max="16384" width="11.42578125" style="872"/>
  </cols>
  <sheetData>
    <row r="1" spans="3:29" ht="5.25" customHeight="1" thickBot="1" x14ac:dyDescent="0.3">
      <c r="AB1" s="1129" t="s">
        <v>473</v>
      </c>
      <c r="AC1" s="912"/>
    </row>
    <row r="2" spans="3:29" ht="15" customHeight="1" thickBot="1" x14ac:dyDescent="0.3">
      <c r="G2" s="1112" t="s">
        <v>474</v>
      </c>
      <c r="H2" s="1113"/>
      <c r="I2" s="1110" t="s">
        <v>475</v>
      </c>
      <c r="J2" s="1132"/>
      <c r="K2" s="1111"/>
      <c r="N2" s="1112" t="s">
        <v>476</v>
      </c>
      <c r="O2" s="1117"/>
      <c r="P2" s="1113"/>
      <c r="Q2" s="1133">
        <f ca="1">TODAY()</f>
        <v>46226</v>
      </c>
      <c r="R2" s="1134"/>
      <c r="S2" s="1135"/>
      <c r="V2" s="1136" t="s">
        <v>477</v>
      </c>
      <c r="W2" s="1136"/>
      <c r="X2" s="1136"/>
      <c r="Y2" s="1137" t="s">
        <v>478</v>
      </c>
      <c r="Z2" s="1137"/>
      <c r="AA2" s="1137"/>
      <c r="AB2" s="1130"/>
      <c r="AC2" s="906"/>
    </row>
    <row r="3" spans="3:29" ht="21.75" thickBot="1" x14ac:dyDescent="0.4">
      <c r="C3" s="1110" t="s">
        <v>479</v>
      </c>
      <c r="D3" s="1111"/>
      <c r="E3" s="911">
        <v>31000</v>
      </c>
      <c r="F3" s="910"/>
      <c r="G3" s="1118" t="s">
        <v>480</v>
      </c>
      <c r="H3" s="1119"/>
      <c r="I3" s="1120" t="s">
        <v>481</v>
      </c>
      <c r="J3" s="1121"/>
      <c r="K3" s="1122"/>
      <c r="N3" s="1112" t="s">
        <v>482</v>
      </c>
      <c r="O3" s="1117"/>
      <c r="P3" s="1113"/>
      <c r="Q3" s="1123">
        <f>(Q4*1)/E5</f>
        <v>0.46291666666666664</v>
      </c>
      <c r="R3" s="1124"/>
      <c r="S3" s="909"/>
      <c r="V3" s="1136"/>
      <c r="W3" s="1136"/>
      <c r="X3" s="1136"/>
      <c r="Y3" s="1137"/>
      <c r="Z3" s="1137"/>
      <c r="AA3" s="1137"/>
      <c r="AB3" s="1130"/>
      <c r="AC3" s="906"/>
    </row>
    <row r="4" spans="3:29" ht="21" customHeight="1" thickBot="1" x14ac:dyDescent="0.3">
      <c r="C4" s="1110" t="s">
        <v>483</v>
      </c>
      <c r="D4" s="1111"/>
      <c r="E4" s="908">
        <f>E3*0.0065</f>
        <v>201.5</v>
      </c>
      <c r="G4" s="1112" t="s">
        <v>484</v>
      </c>
      <c r="H4" s="1113"/>
      <c r="I4" s="1114">
        <v>192</v>
      </c>
      <c r="J4" s="1115"/>
      <c r="K4" s="1116"/>
      <c r="N4" s="1112" t="s">
        <v>485</v>
      </c>
      <c r="O4" s="1117"/>
      <c r="P4" s="1113"/>
      <c r="Q4" s="1139">
        <f>AC33</f>
        <v>2238.665</v>
      </c>
      <c r="R4" s="1140"/>
      <c r="S4" s="907"/>
      <c r="V4" s="1138" t="s">
        <v>486</v>
      </c>
      <c r="W4" s="1138"/>
      <c r="X4" s="1138"/>
      <c r="Y4" s="903" t="s">
        <v>487</v>
      </c>
      <c r="Z4" s="1141">
        <f>SUM(F25:AC25)/24</f>
        <v>0.4629166666666667</v>
      </c>
      <c r="AA4" s="1128"/>
      <c r="AB4" s="1130"/>
      <c r="AC4" s="906"/>
    </row>
    <row r="5" spans="3:29" ht="21" customHeight="1" thickBot="1" x14ac:dyDescent="0.3">
      <c r="C5" s="1110" t="s">
        <v>488</v>
      </c>
      <c r="D5" s="1111"/>
      <c r="E5" s="905">
        <f>E4*24</f>
        <v>4836</v>
      </c>
      <c r="G5" s="1112" t="s">
        <v>489</v>
      </c>
      <c r="H5" s="1113"/>
      <c r="I5" s="1143">
        <f>I4*24</f>
        <v>4608</v>
      </c>
      <c r="J5" s="1144"/>
      <c r="K5" s="1145"/>
      <c r="N5" s="1112" t="s">
        <v>490</v>
      </c>
      <c r="O5" s="1117"/>
      <c r="P5" s="1113"/>
      <c r="Q5" s="1125">
        <v>12240</v>
      </c>
      <c r="R5" s="1126"/>
      <c r="S5" s="904"/>
      <c r="V5" s="1138"/>
      <c r="W5" s="1138"/>
      <c r="X5" s="1138"/>
      <c r="Y5" s="903" t="s">
        <v>491</v>
      </c>
      <c r="Z5" s="1127">
        <f>SUM(F26:AC26)/24</f>
        <v>0</v>
      </c>
      <c r="AA5" s="1128"/>
      <c r="AB5" s="1131"/>
      <c r="AC5" s="902" t="s">
        <v>492</v>
      </c>
    </row>
    <row r="6" spans="3:29" x14ac:dyDescent="0.25">
      <c r="G6" s="1142"/>
      <c r="H6" s="1142"/>
      <c r="J6" s="901"/>
      <c r="K6" s="901"/>
    </row>
    <row r="7" spans="3:29" x14ac:dyDescent="0.25">
      <c r="D7" s="872" t="s">
        <v>493</v>
      </c>
      <c r="G7" s="1142"/>
      <c r="H7" s="1142"/>
    </row>
    <row r="9" spans="3:29" x14ac:dyDescent="0.25">
      <c r="C9" s="898" t="s">
        <v>494</v>
      </c>
      <c r="D9" s="900">
        <v>4.1666666666666664E-2</v>
      </c>
    </row>
    <row r="10" spans="3:29" x14ac:dyDescent="0.25">
      <c r="C10" s="898" t="s">
        <v>495</v>
      </c>
      <c r="D10" s="899">
        <v>0.85</v>
      </c>
    </row>
    <row r="11" spans="3:29" x14ac:dyDescent="0.25">
      <c r="C11" s="898" t="s">
        <v>491</v>
      </c>
      <c r="D11" s="899">
        <v>0.8</v>
      </c>
    </row>
    <row r="12" spans="3:29" x14ac:dyDescent="0.25">
      <c r="C12" s="898" t="s">
        <v>496</v>
      </c>
      <c r="D12" s="897">
        <v>547.5</v>
      </c>
    </row>
    <row r="13" spans="3:29" ht="30" x14ac:dyDescent="0.25">
      <c r="C13" s="896" t="s">
        <v>497</v>
      </c>
      <c r="D13" s="895"/>
    </row>
    <row r="22" spans="4:51" ht="5.25" customHeight="1" thickBot="1" x14ac:dyDescent="0.3"/>
    <row r="23" spans="4:51" x14ac:dyDescent="0.25">
      <c r="E23" s="894" t="s">
        <v>498</v>
      </c>
      <c r="F23" s="893">
        <v>0.29166666666666669</v>
      </c>
      <c r="G23" s="893">
        <v>0.33333333333333298</v>
      </c>
      <c r="H23" s="893">
        <v>0.375</v>
      </c>
      <c r="I23" s="893">
        <v>0.41666666666666702</v>
      </c>
      <c r="J23" s="893">
        <v>0.45833333333333298</v>
      </c>
      <c r="K23" s="893">
        <v>0.5</v>
      </c>
      <c r="L23" s="893">
        <v>0.54166666666666696</v>
      </c>
      <c r="M23" s="893">
        <v>0.58333333333333304</v>
      </c>
      <c r="N23" s="893">
        <v>0.625</v>
      </c>
      <c r="O23" s="893">
        <v>0.66666666666666663</v>
      </c>
      <c r="P23" s="893">
        <v>0.70833333333333337</v>
      </c>
      <c r="Q23" s="893">
        <v>0.75</v>
      </c>
      <c r="R23" s="893">
        <v>0.79166666666666663</v>
      </c>
      <c r="S23" s="893">
        <v>0.83333333333333337</v>
      </c>
      <c r="T23" s="893">
        <v>0.875</v>
      </c>
      <c r="U23" s="893">
        <v>0.91666666666666663</v>
      </c>
      <c r="V23" s="893">
        <v>0.95833333333333337</v>
      </c>
      <c r="W23" s="893">
        <v>0</v>
      </c>
      <c r="X23" s="893">
        <v>4.1666666666666664E-2</v>
      </c>
      <c r="Y23" s="893">
        <v>8.3333333333333329E-2</v>
      </c>
      <c r="Z23" s="893">
        <v>0.125</v>
      </c>
      <c r="AA23" s="893">
        <v>0.16666666666666666</v>
      </c>
      <c r="AB23" s="893">
        <v>0.20833333333333334</v>
      </c>
      <c r="AC23" s="892">
        <v>0.25</v>
      </c>
    </row>
    <row r="24" spans="4:51" ht="24" customHeight="1" x14ac:dyDescent="0.25">
      <c r="E24" s="881" t="s">
        <v>499</v>
      </c>
      <c r="F24" s="891">
        <f>F25*$E$3/1</f>
        <v>24180</v>
      </c>
      <c r="G24" s="891">
        <f t="shared" ref="G24:AC24" si="0">G25*$E$3/1</f>
        <v>22320</v>
      </c>
      <c r="H24" s="891">
        <f t="shared" si="0"/>
        <v>11780</v>
      </c>
      <c r="I24" s="891">
        <f t="shared" si="0"/>
        <v>22320</v>
      </c>
      <c r="J24" s="891">
        <f t="shared" si="0"/>
        <v>22630</v>
      </c>
      <c r="K24" s="891">
        <f t="shared" si="0"/>
        <v>20770</v>
      </c>
      <c r="L24" s="891">
        <f t="shared" si="0"/>
        <v>18600</v>
      </c>
      <c r="M24" s="891">
        <f t="shared" si="0"/>
        <v>0</v>
      </c>
      <c r="N24" s="891">
        <f>N25*$E$3/1</f>
        <v>0</v>
      </c>
      <c r="O24" s="891">
        <f t="shared" si="0"/>
        <v>10850</v>
      </c>
      <c r="P24" s="891">
        <f t="shared" si="0"/>
        <v>24180</v>
      </c>
      <c r="Q24" s="891">
        <f t="shared" si="0"/>
        <v>23250</v>
      </c>
      <c r="R24" s="891">
        <f t="shared" si="0"/>
        <v>19220</v>
      </c>
      <c r="S24" s="891">
        <f t="shared" si="0"/>
        <v>12400</v>
      </c>
      <c r="T24" s="891">
        <f t="shared" si="0"/>
        <v>0</v>
      </c>
      <c r="U24" s="891">
        <f t="shared" si="0"/>
        <v>0</v>
      </c>
      <c r="V24" s="891">
        <f t="shared" si="0"/>
        <v>22320</v>
      </c>
      <c r="W24" s="891">
        <f t="shared" si="0"/>
        <v>21080</v>
      </c>
      <c r="X24" s="891">
        <f t="shared" si="0"/>
        <v>16740</v>
      </c>
      <c r="Y24" s="891">
        <f t="shared" si="0"/>
        <v>26040</v>
      </c>
      <c r="Z24" s="891">
        <f t="shared" si="0"/>
        <v>25730</v>
      </c>
      <c r="AA24" s="891">
        <f t="shared" si="0"/>
        <v>0</v>
      </c>
      <c r="AB24" s="891">
        <f t="shared" si="0"/>
        <v>0</v>
      </c>
      <c r="AC24" s="925">
        <f t="shared" si="0"/>
        <v>0</v>
      </c>
    </row>
    <row r="25" spans="4:51" x14ac:dyDescent="0.25">
      <c r="D25" s="873"/>
      <c r="E25" s="890" t="s">
        <v>500</v>
      </c>
      <c r="F25" s="885">
        <v>0.78</v>
      </c>
      <c r="G25" s="885">
        <v>0.72</v>
      </c>
      <c r="H25" s="885">
        <v>0.38</v>
      </c>
      <c r="I25" s="885">
        <v>0.72</v>
      </c>
      <c r="J25" s="885">
        <v>0.73</v>
      </c>
      <c r="K25" s="885">
        <v>0.67</v>
      </c>
      <c r="L25" s="885">
        <v>0.6</v>
      </c>
      <c r="M25" s="885"/>
      <c r="N25" s="885"/>
      <c r="O25" s="885">
        <v>0.35</v>
      </c>
      <c r="P25" s="885">
        <v>0.78</v>
      </c>
      <c r="Q25" s="885">
        <v>0.75</v>
      </c>
      <c r="R25" s="889">
        <v>0.62</v>
      </c>
      <c r="S25" s="885">
        <v>0.4</v>
      </c>
      <c r="T25" s="889"/>
      <c r="U25" s="889"/>
      <c r="V25" s="889">
        <v>0.72</v>
      </c>
      <c r="W25" s="885">
        <v>0.68</v>
      </c>
      <c r="X25" s="885">
        <v>0.54</v>
      </c>
      <c r="Y25" s="885">
        <v>0.84</v>
      </c>
      <c r="Z25" s="885">
        <v>0.83</v>
      </c>
      <c r="AA25" s="885"/>
      <c r="AB25" s="885"/>
      <c r="AC25" s="884"/>
    </row>
    <row r="26" spans="4:51" x14ac:dyDescent="0.25">
      <c r="E26" s="890" t="s">
        <v>501</v>
      </c>
      <c r="F26" s="885"/>
      <c r="G26" s="885"/>
      <c r="H26" s="885"/>
      <c r="I26" s="885"/>
      <c r="J26" s="885"/>
      <c r="K26" s="885"/>
      <c r="L26" s="885"/>
      <c r="M26" s="885"/>
      <c r="N26" s="885"/>
      <c r="O26" s="885"/>
      <c r="P26" s="885"/>
      <c r="Q26" s="885"/>
      <c r="R26" s="885"/>
      <c r="S26" s="889"/>
      <c r="T26" s="885"/>
      <c r="U26" s="885"/>
      <c r="V26" s="888"/>
      <c r="W26" s="888"/>
      <c r="X26" s="888"/>
      <c r="Y26" s="888"/>
      <c r="Z26" s="888" t="s">
        <v>265</v>
      </c>
      <c r="AA26" s="888"/>
      <c r="AB26" s="888"/>
      <c r="AC26" s="887"/>
      <c r="AY26" s="872" t="s">
        <v>502</v>
      </c>
    </row>
    <row r="27" spans="4:51" x14ac:dyDescent="0.25">
      <c r="E27" s="881" t="s">
        <v>503</v>
      </c>
      <c r="F27" s="886">
        <f>310*0.65</f>
        <v>201.5</v>
      </c>
      <c r="G27" s="886">
        <v>201.5</v>
      </c>
      <c r="H27" s="886">
        <v>201.5</v>
      </c>
      <c r="I27" s="886">
        <v>201.5</v>
      </c>
      <c r="J27" s="886">
        <v>201.5</v>
      </c>
      <c r="K27" s="886">
        <v>201.5</v>
      </c>
      <c r="L27" s="886">
        <v>201.5</v>
      </c>
      <c r="M27" s="886">
        <v>201.5</v>
      </c>
      <c r="N27" s="886">
        <v>201.5</v>
      </c>
      <c r="O27" s="886">
        <v>201.5</v>
      </c>
      <c r="P27" s="886">
        <v>201.5</v>
      </c>
      <c r="Q27" s="886">
        <v>201.5</v>
      </c>
      <c r="R27" s="886">
        <v>201.5</v>
      </c>
      <c r="S27" s="886">
        <v>201.5</v>
      </c>
      <c r="T27" s="886">
        <v>201.5</v>
      </c>
      <c r="U27" s="886">
        <v>201.5</v>
      </c>
      <c r="V27" s="886">
        <v>201.5</v>
      </c>
      <c r="W27" s="886">
        <v>201.5</v>
      </c>
      <c r="X27" s="886">
        <v>201.5</v>
      </c>
      <c r="Y27" s="886">
        <v>201.5</v>
      </c>
      <c r="Z27" s="886">
        <v>201.5</v>
      </c>
      <c r="AA27" s="886">
        <v>201.5</v>
      </c>
      <c r="AB27" s="886">
        <v>201.5</v>
      </c>
      <c r="AC27" s="926">
        <v>201.5</v>
      </c>
    </row>
    <row r="28" spans="4:51" x14ac:dyDescent="0.25">
      <c r="E28" s="881" t="s">
        <v>504</v>
      </c>
      <c r="F28" s="880">
        <f t="shared" ref="F28:AC28" si="1">F25*F27/1</f>
        <v>157.17000000000002</v>
      </c>
      <c r="G28" s="880">
        <f t="shared" si="1"/>
        <v>145.07999999999998</v>
      </c>
      <c r="H28" s="880">
        <f t="shared" si="1"/>
        <v>76.570000000000007</v>
      </c>
      <c r="I28" s="880">
        <f t="shared" si="1"/>
        <v>145.07999999999998</v>
      </c>
      <c r="J28" s="880">
        <f t="shared" si="1"/>
        <v>147.095</v>
      </c>
      <c r="K28" s="880">
        <f t="shared" si="1"/>
        <v>135.005</v>
      </c>
      <c r="L28" s="880">
        <f t="shared" si="1"/>
        <v>120.89999999999999</v>
      </c>
      <c r="M28" s="880">
        <f t="shared" si="1"/>
        <v>0</v>
      </c>
      <c r="N28" s="880">
        <f t="shared" si="1"/>
        <v>0</v>
      </c>
      <c r="O28" s="880">
        <f t="shared" si="1"/>
        <v>70.524999999999991</v>
      </c>
      <c r="P28" s="880">
        <f t="shared" si="1"/>
        <v>157.17000000000002</v>
      </c>
      <c r="Q28" s="880">
        <f t="shared" si="1"/>
        <v>151.125</v>
      </c>
      <c r="R28" s="880">
        <f t="shared" si="1"/>
        <v>124.92999999999999</v>
      </c>
      <c r="S28" s="880">
        <f t="shared" si="1"/>
        <v>80.600000000000009</v>
      </c>
      <c r="T28" s="880">
        <f t="shared" si="1"/>
        <v>0</v>
      </c>
      <c r="U28" s="880">
        <f t="shared" si="1"/>
        <v>0</v>
      </c>
      <c r="V28" s="880">
        <f t="shared" si="1"/>
        <v>145.07999999999998</v>
      </c>
      <c r="W28" s="880">
        <f t="shared" si="1"/>
        <v>137.02000000000001</v>
      </c>
      <c r="X28" s="880">
        <f t="shared" si="1"/>
        <v>108.81</v>
      </c>
      <c r="Y28" s="880">
        <f t="shared" si="1"/>
        <v>169.26</v>
      </c>
      <c r="Z28" s="880">
        <f t="shared" si="1"/>
        <v>167.245</v>
      </c>
      <c r="AA28" s="880">
        <f t="shared" si="1"/>
        <v>0</v>
      </c>
      <c r="AB28" s="880">
        <f t="shared" si="1"/>
        <v>0</v>
      </c>
      <c r="AC28" s="879">
        <f t="shared" si="1"/>
        <v>0</v>
      </c>
    </row>
    <row r="29" spans="4:51" hidden="1" x14ac:dyDescent="0.25">
      <c r="E29" s="881" t="s">
        <v>505</v>
      </c>
      <c r="F29" s="885">
        <v>0.8</v>
      </c>
      <c r="G29" s="880">
        <v>520</v>
      </c>
      <c r="H29" s="885">
        <v>0.8</v>
      </c>
      <c r="I29" s="885">
        <v>0.8</v>
      </c>
      <c r="J29" s="885">
        <v>0.8</v>
      </c>
      <c r="K29" s="885">
        <v>0.8</v>
      </c>
      <c r="L29" s="885">
        <v>0.8</v>
      </c>
      <c r="M29" s="885">
        <v>1.8</v>
      </c>
      <c r="N29" s="880">
        <v>521</v>
      </c>
      <c r="O29" s="885">
        <v>0.8</v>
      </c>
      <c r="P29" s="885">
        <v>0.8</v>
      </c>
      <c r="Q29" s="885">
        <v>0.8</v>
      </c>
      <c r="R29" s="885">
        <v>0.8</v>
      </c>
      <c r="S29" s="885">
        <v>0.8</v>
      </c>
      <c r="T29" s="885">
        <v>2.8</v>
      </c>
      <c r="U29" s="880">
        <v>522</v>
      </c>
      <c r="V29" s="885">
        <v>0.8</v>
      </c>
      <c r="W29" s="885">
        <v>0.8</v>
      </c>
      <c r="X29" s="885">
        <v>0.8</v>
      </c>
      <c r="Y29" s="885">
        <v>0.8</v>
      </c>
      <c r="Z29" s="885">
        <v>0.8</v>
      </c>
      <c r="AA29" s="885">
        <v>0.8</v>
      </c>
      <c r="AB29" s="885">
        <v>0.8</v>
      </c>
      <c r="AC29" s="884">
        <v>0.8</v>
      </c>
    </row>
    <row r="30" spans="4:51" x14ac:dyDescent="0.25">
      <c r="E30" s="881" t="s">
        <v>506</v>
      </c>
      <c r="F30" s="883">
        <f t="shared" ref="F30:AC30" si="2">(16700*12*0.65/100)/8</f>
        <v>162.82499999999999</v>
      </c>
      <c r="G30" s="883">
        <f t="shared" si="2"/>
        <v>162.82499999999999</v>
      </c>
      <c r="H30" s="883">
        <f t="shared" si="2"/>
        <v>162.82499999999999</v>
      </c>
      <c r="I30" s="883">
        <f t="shared" si="2"/>
        <v>162.82499999999999</v>
      </c>
      <c r="J30" s="883">
        <f t="shared" si="2"/>
        <v>162.82499999999999</v>
      </c>
      <c r="K30" s="883">
        <f t="shared" si="2"/>
        <v>162.82499999999999</v>
      </c>
      <c r="L30" s="883">
        <f t="shared" si="2"/>
        <v>162.82499999999999</v>
      </c>
      <c r="M30" s="883">
        <f t="shared" si="2"/>
        <v>162.82499999999999</v>
      </c>
      <c r="N30" s="883">
        <f t="shared" si="2"/>
        <v>162.82499999999999</v>
      </c>
      <c r="O30" s="883">
        <f t="shared" si="2"/>
        <v>162.82499999999999</v>
      </c>
      <c r="P30" s="883">
        <f t="shared" si="2"/>
        <v>162.82499999999999</v>
      </c>
      <c r="Q30" s="883">
        <f t="shared" si="2"/>
        <v>162.82499999999999</v>
      </c>
      <c r="R30" s="883">
        <f t="shared" si="2"/>
        <v>162.82499999999999</v>
      </c>
      <c r="S30" s="883">
        <f t="shared" si="2"/>
        <v>162.82499999999999</v>
      </c>
      <c r="T30" s="883">
        <f t="shared" si="2"/>
        <v>162.82499999999999</v>
      </c>
      <c r="U30" s="883">
        <f t="shared" si="2"/>
        <v>162.82499999999999</v>
      </c>
      <c r="V30" s="883">
        <f t="shared" si="2"/>
        <v>162.82499999999999</v>
      </c>
      <c r="W30" s="883">
        <f t="shared" si="2"/>
        <v>162.82499999999999</v>
      </c>
      <c r="X30" s="883">
        <f t="shared" si="2"/>
        <v>162.82499999999999</v>
      </c>
      <c r="Y30" s="883">
        <f t="shared" si="2"/>
        <v>162.82499999999999</v>
      </c>
      <c r="Z30" s="883">
        <f t="shared" si="2"/>
        <v>162.82499999999999</v>
      </c>
      <c r="AA30" s="883">
        <f t="shared" si="2"/>
        <v>162.82499999999999</v>
      </c>
      <c r="AB30" s="883">
        <f t="shared" si="2"/>
        <v>162.82499999999999</v>
      </c>
      <c r="AC30" s="882">
        <f t="shared" si="2"/>
        <v>162.82499999999999</v>
      </c>
    </row>
    <row r="31" spans="4:51" x14ac:dyDescent="0.25">
      <c r="E31" s="881"/>
      <c r="F31" s="883"/>
      <c r="G31" s="883"/>
      <c r="H31" s="883"/>
      <c r="I31" s="883"/>
      <c r="J31" s="883"/>
      <c r="K31" s="883"/>
      <c r="L31" s="883"/>
      <c r="M31" s="883"/>
      <c r="N31" s="883"/>
      <c r="O31" s="883"/>
      <c r="P31" s="883"/>
      <c r="Q31" s="883"/>
      <c r="R31" s="883"/>
      <c r="S31" s="883"/>
      <c r="T31" s="883"/>
      <c r="U31" s="883"/>
      <c r="V31" s="883"/>
      <c r="W31" s="883"/>
      <c r="X31" s="883"/>
      <c r="Y31" s="883"/>
      <c r="Z31" s="883"/>
      <c r="AA31" s="883"/>
      <c r="AB31" s="883"/>
      <c r="AC31" s="882"/>
    </row>
    <row r="32" spans="4:51" x14ac:dyDescent="0.25">
      <c r="E32" s="881" t="s">
        <v>507</v>
      </c>
      <c r="F32" s="883">
        <f>+F30</f>
        <v>162.82499999999999</v>
      </c>
      <c r="G32" s="883">
        <f t="shared" ref="G32:AC32" si="3">+F32+G30</f>
        <v>325.64999999999998</v>
      </c>
      <c r="H32" s="883">
        <f t="shared" si="3"/>
        <v>488.47499999999997</v>
      </c>
      <c r="I32" s="883">
        <f t="shared" si="3"/>
        <v>651.29999999999995</v>
      </c>
      <c r="J32" s="883">
        <f t="shared" si="3"/>
        <v>814.125</v>
      </c>
      <c r="K32" s="883">
        <f t="shared" si="3"/>
        <v>976.95</v>
      </c>
      <c r="L32" s="883">
        <f t="shared" si="3"/>
        <v>1139.7750000000001</v>
      </c>
      <c r="M32" s="883">
        <f t="shared" si="3"/>
        <v>1302.6000000000001</v>
      </c>
      <c r="N32" s="883">
        <f t="shared" si="3"/>
        <v>1465.4250000000002</v>
      </c>
      <c r="O32" s="883">
        <f t="shared" si="3"/>
        <v>1628.2500000000002</v>
      </c>
      <c r="P32" s="883">
        <f t="shared" si="3"/>
        <v>1791.0750000000003</v>
      </c>
      <c r="Q32" s="883">
        <f t="shared" si="3"/>
        <v>1953.9000000000003</v>
      </c>
      <c r="R32" s="883">
        <f t="shared" si="3"/>
        <v>2116.7250000000004</v>
      </c>
      <c r="S32" s="883">
        <f t="shared" si="3"/>
        <v>2279.5500000000002</v>
      </c>
      <c r="T32" s="883">
        <f t="shared" si="3"/>
        <v>2442.375</v>
      </c>
      <c r="U32" s="883">
        <f t="shared" si="3"/>
        <v>2605.1999999999998</v>
      </c>
      <c r="V32" s="883">
        <f t="shared" si="3"/>
        <v>2768.0249999999996</v>
      </c>
      <c r="W32" s="883">
        <f t="shared" si="3"/>
        <v>2930.8499999999995</v>
      </c>
      <c r="X32" s="883">
        <f t="shared" si="3"/>
        <v>3093.6749999999993</v>
      </c>
      <c r="Y32" s="883">
        <f t="shared" si="3"/>
        <v>3256.4999999999991</v>
      </c>
      <c r="Z32" s="883">
        <f t="shared" si="3"/>
        <v>3419.3249999999989</v>
      </c>
      <c r="AA32" s="883">
        <f t="shared" si="3"/>
        <v>3582.1499999999987</v>
      </c>
      <c r="AB32" s="883">
        <f t="shared" si="3"/>
        <v>3744.9749999999985</v>
      </c>
      <c r="AC32" s="882">
        <f t="shared" si="3"/>
        <v>3907.7999999999984</v>
      </c>
    </row>
    <row r="33" spans="5:162" x14ac:dyDescent="0.25">
      <c r="E33" s="881" t="s">
        <v>508</v>
      </c>
      <c r="F33" s="880">
        <f>F28</f>
        <v>157.17000000000002</v>
      </c>
      <c r="G33" s="880">
        <f>G28+F33</f>
        <v>302.25</v>
      </c>
      <c r="H33" s="880">
        <f>H28+G33</f>
        <v>378.82</v>
      </c>
      <c r="I33" s="880">
        <f>I28+H33</f>
        <v>523.9</v>
      </c>
      <c r="J33" s="880">
        <f>I33+J28</f>
        <v>670.995</v>
      </c>
      <c r="K33" s="880">
        <f>J33+K28</f>
        <v>806</v>
      </c>
      <c r="L33" s="880">
        <f>L28+K33</f>
        <v>926.9</v>
      </c>
      <c r="M33" s="880">
        <f>M28+L33</f>
        <v>926.9</v>
      </c>
      <c r="N33" s="880">
        <f>M33+N28</f>
        <v>926.9</v>
      </c>
      <c r="O33" s="880">
        <f t="shared" ref="O33:Z33" si="4">O28+N33</f>
        <v>997.42499999999995</v>
      </c>
      <c r="P33" s="880">
        <f t="shared" si="4"/>
        <v>1154.595</v>
      </c>
      <c r="Q33" s="880">
        <f t="shared" si="4"/>
        <v>1305.72</v>
      </c>
      <c r="R33" s="880">
        <f t="shared" si="4"/>
        <v>1430.65</v>
      </c>
      <c r="S33" s="880">
        <f t="shared" si="4"/>
        <v>1511.25</v>
      </c>
      <c r="T33" s="880">
        <f t="shared" si="4"/>
        <v>1511.25</v>
      </c>
      <c r="U33" s="880">
        <f t="shared" si="4"/>
        <v>1511.25</v>
      </c>
      <c r="V33" s="880">
        <f t="shared" si="4"/>
        <v>1656.33</v>
      </c>
      <c r="W33" s="880">
        <f>W28+V33</f>
        <v>1793.35</v>
      </c>
      <c r="X33" s="880">
        <f t="shared" si="4"/>
        <v>1902.1599999999999</v>
      </c>
      <c r="Y33" s="880">
        <f t="shared" si="4"/>
        <v>2071.42</v>
      </c>
      <c r="Z33" s="880">
        <f t="shared" si="4"/>
        <v>2238.665</v>
      </c>
      <c r="AA33" s="880">
        <f>Z33+AA28</f>
        <v>2238.665</v>
      </c>
      <c r="AB33" s="880">
        <f>AA33+AB28</f>
        <v>2238.665</v>
      </c>
      <c r="AC33" s="879">
        <f>AB33+AC28</f>
        <v>2238.665</v>
      </c>
      <c r="AE33" s="874"/>
    </row>
    <row r="34" spans="5:162" ht="15.75" thickBot="1" x14ac:dyDescent="0.3">
      <c r="E34" s="878" t="s">
        <v>509</v>
      </c>
      <c r="F34" s="877">
        <f>$F$25/1</f>
        <v>0.78</v>
      </c>
      <c r="G34" s="877">
        <f>SUM(F25:G25)/2</f>
        <v>0.75</v>
      </c>
      <c r="H34" s="877">
        <f>SUM(F25:H25)/3</f>
        <v>0.62666666666666659</v>
      </c>
      <c r="I34" s="877">
        <f>SUM(F25:I25)/4</f>
        <v>0.64999999999999991</v>
      </c>
      <c r="J34" s="877">
        <f>SUM(F25:J25)/5</f>
        <v>0.66599999999999993</v>
      </c>
      <c r="K34" s="877">
        <f>SUM(F25:K25)/6</f>
        <v>0.66666666666666663</v>
      </c>
      <c r="L34" s="877">
        <f>SUM($F$25:$L$25)/7</f>
        <v>0.65714285714285714</v>
      </c>
      <c r="M34" s="877">
        <f>SUM(F25:M25)/8</f>
        <v>0.57499999999999996</v>
      </c>
      <c r="N34" s="877">
        <f>SUM(F25:N25)/9</f>
        <v>0.51111111111111107</v>
      </c>
      <c r="O34" s="877">
        <f>SUM(F25:O25)/10</f>
        <v>0.49499999999999994</v>
      </c>
      <c r="P34" s="877">
        <f>SUM(F25:P25)/11</f>
        <v>0.52090909090909088</v>
      </c>
      <c r="Q34" s="877">
        <f>SUM(F25:Q25)/12</f>
        <v>0.53999999999999992</v>
      </c>
      <c r="R34" s="877">
        <f>SUM(F25:R25)/13</f>
        <v>0.5461538461538461</v>
      </c>
      <c r="S34" s="877">
        <f>SUM(F25:S25)/14</f>
        <v>0.5357142857142857</v>
      </c>
      <c r="T34" s="877">
        <f>SUM(F25:T25)/15</f>
        <v>0.5</v>
      </c>
      <c r="U34" s="877">
        <f>SUM(F25:U25)/16</f>
        <v>0.46875</v>
      </c>
      <c r="V34" s="877">
        <f>SUM(F25:V25)/17</f>
        <v>0.48352941176470593</v>
      </c>
      <c r="W34" s="877">
        <f>SUM(F25:W25)/18</f>
        <v>0.49444444444444446</v>
      </c>
      <c r="X34" s="877">
        <f>SUM(F25:X25)/19</f>
        <v>0.49684210526315797</v>
      </c>
      <c r="Y34" s="877">
        <f>SUM(F25:Y25)/20</f>
        <v>0.51400000000000001</v>
      </c>
      <c r="Z34" s="877">
        <f>SUM(F25:Z25)/21</f>
        <v>0.5290476190476191</v>
      </c>
      <c r="AA34" s="877">
        <f>SUM(F25:AA25)/22</f>
        <v>0.505</v>
      </c>
      <c r="AB34" s="877">
        <f>SUM(F25:AB25)/23</f>
        <v>0.48304347826086963</v>
      </c>
      <c r="AC34" s="876">
        <f>SUM(F25:AC25)/24</f>
        <v>0.4629166666666667</v>
      </c>
    </row>
    <row r="35" spans="5:162" x14ac:dyDescent="0.25">
      <c r="F35" s="875"/>
      <c r="G35" s="875"/>
      <c r="H35" s="875"/>
      <c r="I35" s="875"/>
      <c r="J35" s="875"/>
      <c r="K35" s="875"/>
      <c r="L35" s="875"/>
      <c r="M35" s="875"/>
      <c r="N35" s="875"/>
      <c r="O35" s="875"/>
      <c r="P35" s="875"/>
      <c r="Q35" s="875"/>
      <c r="R35" s="875"/>
      <c r="S35" s="875"/>
      <c r="T35" s="875"/>
      <c r="U35" s="875"/>
      <c r="V35" s="875"/>
      <c r="W35" s="875"/>
      <c r="X35" s="875"/>
      <c r="Y35" s="875"/>
      <c r="Z35" s="875"/>
      <c r="AA35" s="875"/>
      <c r="AB35" s="875"/>
      <c r="AC35" s="875"/>
    </row>
    <row r="36" spans="5:162" x14ac:dyDescent="0.25">
      <c r="F36" s="875"/>
      <c r="G36" s="875"/>
      <c r="H36" s="875"/>
      <c r="I36" s="875"/>
      <c r="J36" s="875"/>
      <c r="K36" s="875"/>
      <c r="L36" s="875"/>
      <c r="M36" s="875"/>
      <c r="N36" s="875"/>
      <c r="O36" s="875"/>
      <c r="P36" s="875"/>
      <c r="Q36" s="875"/>
      <c r="R36" s="875"/>
      <c r="S36" s="875"/>
      <c r="T36" s="875"/>
      <c r="U36" s="875"/>
      <c r="V36" s="875"/>
      <c r="W36" s="875"/>
      <c r="X36" s="875"/>
      <c r="Y36" s="875"/>
      <c r="Z36" s="875"/>
      <c r="AA36" s="875"/>
      <c r="AB36" s="875"/>
      <c r="AC36" s="875"/>
    </row>
    <row r="37" spans="5:162" x14ac:dyDescent="0.25">
      <c r="J37" s="874"/>
    </row>
    <row r="38" spans="5:162" x14ac:dyDescent="0.25">
      <c r="O38" s="927"/>
    </row>
    <row r="39" spans="5:162" x14ac:dyDescent="0.25">
      <c r="O39" s="927"/>
    </row>
    <row r="40" spans="5:162" x14ac:dyDescent="0.25">
      <c r="M40" s="872" t="s">
        <v>510</v>
      </c>
    </row>
    <row r="42" spans="5:162" x14ac:dyDescent="0.25">
      <c r="U42" s="873"/>
    </row>
    <row r="46" spans="5:162" x14ac:dyDescent="0.25">
      <c r="FF46" s="872">
        <v>2</v>
      </c>
    </row>
    <row r="68" spans="12:23" x14ac:dyDescent="0.25">
      <c r="L68" s="872" t="s">
        <v>265</v>
      </c>
    </row>
    <row r="70" spans="12:23" x14ac:dyDescent="0.25">
      <c r="W70" s="872" t="s">
        <v>510</v>
      </c>
    </row>
    <row r="71" spans="12:23" x14ac:dyDescent="0.25">
      <c r="W71" s="872">
        <v>0</v>
      </c>
    </row>
    <row r="255" spans="18:18" x14ac:dyDescent="0.25">
      <c r="R255" s="872">
        <v>21</v>
      </c>
    </row>
  </sheetData>
  <mergeCells count="27">
    <mergeCell ref="G6:H6"/>
    <mergeCell ref="G7:H7"/>
    <mergeCell ref="C5:D5"/>
    <mergeCell ref="G5:H5"/>
    <mergeCell ref="I5:K5"/>
    <mergeCell ref="Q3:R3"/>
    <mergeCell ref="Q5:R5"/>
    <mergeCell ref="Z5:AA5"/>
    <mergeCell ref="AB1:AB5"/>
    <mergeCell ref="G2:H2"/>
    <mergeCell ref="I2:K2"/>
    <mergeCell ref="N2:P2"/>
    <mergeCell ref="Q2:S2"/>
    <mergeCell ref="V2:X3"/>
    <mergeCell ref="Y2:AA3"/>
    <mergeCell ref="V4:X5"/>
    <mergeCell ref="N5:P5"/>
    <mergeCell ref="Q4:R4"/>
    <mergeCell ref="Z4:AA4"/>
    <mergeCell ref="C4:D4"/>
    <mergeCell ref="G4:H4"/>
    <mergeCell ref="I4:K4"/>
    <mergeCell ref="N4:P4"/>
    <mergeCell ref="C3:D3"/>
    <mergeCell ref="G3:H3"/>
    <mergeCell ref="I3:K3"/>
    <mergeCell ref="N3:P3"/>
  </mergeCells>
  <dataValidations count="1">
    <dataValidation type="list" allowBlank="1" showInputMessage="1" showErrorMessage="1" sqref="D9" xr:uid="{88F23212-8C06-40FF-968C-473687C6DDF9}">
      <formula1>$F$23:$AC$23</formula1>
    </dataValidation>
  </dataValidations>
  <pageMargins left="0.7" right="0.7" top="0.75" bottom="0.75" header="0.3" footer="0.3"/>
  <pageSetup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5BB8-70DA-44D7-BD90-84EBECFE0302}">
  <sheetPr codeName="Hoja4">
    <tabColor rgb="FFFFC000"/>
  </sheetPr>
  <dimension ref="C1:FN252"/>
  <sheetViews>
    <sheetView showGridLines="0" topLeftCell="A7" zoomScale="80" zoomScaleNormal="80" workbookViewId="0">
      <selection activeCell="O59" sqref="O59"/>
    </sheetView>
  </sheetViews>
  <sheetFormatPr baseColWidth="10" defaultColWidth="11.42578125" defaultRowHeight="15" x14ac:dyDescent="0.25"/>
  <cols>
    <col min="1" max="1" width="3.42578125" style="872" customWidth="1"/>
    <col min="2" max="2" width="4.42578125" style="872" customWidth="1"/>
    <col min="3" max="3" width="11.85546875" style="872" customWidth="1"/>
    <col min="4" max="4" width="24.42578125" style="872" customWidth="1"/>
    <col min="5" max="5" width="27.140625" style="872" customWidth="1"/>
    <col min="6" max="6" width="12.5703125" style="872" hidden="1" customWidth="1"/>
    <col min="7" max="7" width="10.85546875" style="872" hidden="1" customWidth="1"/>
    <col min="8" max="9" width="11.140625" style="872" hidden="1" customWidth="1"/>
    <col min="10" max="10" width="11" style="872" hidden="1" customWidth="1"/>
    <col min="11" max="11" width="10.85546875" style="872" hidden="1" customWidth="1"/>
    <col min="12" max="12" width="11" style="872" hidden="1" customWidth="1"/>
    <col min="13" max="13" width="11.42578125" style="872" hidden="1" customWidth="1"/>
    <col min="14" max="14" width="11.42578125" style="872" customWidth="1"/>
    <col min="15" max="20" width="11.5703125" style="872" customWidth="1"/>
    <col min="21" max="22" width="12.140625" style="872" customWidth="1"/>
    <col min="23" max="24" width="12" style="872" customWidth="1"/>
    <col min="25" max="25" width="11.140625" style="872" customWidth="1"/>
    <col min="26" max="26" width="12" style="872" customWidth="1"/>
    <col min="27" max="27" width="12.42578125" style="872" bestFit="1" customWidth="1"/>
    <col min="28" max="28" width="12.140625" style="872" customWidth="1"/>
    <col min="29" max="29" width="12.5703125" style="872" customWidth="1"/>
    <col min="30" max="30" width="15.5703125" style="872" customWidth="1"/>
    <col min="31" max="16384" width="11.42578125" style="872"/>
  </cols>
  <sheetData>
    <row r="1" spans="3:33" ht="5.25" customHeight="1" thickBot="1" x14ac:dyDescent="0.3">
      <c r="AB1" s="1129" t="s">
        <v>473</v>
      </c>
      <c r="AC1" s="912"/>
      <c r="AD1" s="913"/>
    </row>
    <row r="2" spans="3:33" ht="15" customHeight="1" thickBot="1" x14ac:dyDescent="0.3">
      <c r="G2" s="1112" t="s">
        <v>474</v>
      </c>
      <c r="H2" s="1113"/>
      <c r="I2" s="1110" t="s">
        <v>511</v>
      </c>
      <c r="J2" s="1132"/>
      <c r="K2" s="1111"/>
      <c r="N2" s="1112" t="s">
        <v>476</v>
      </c>
      <c r="O2" s="1117"/>
      <c r="P2" s="1113"/>
      <c r="Q2" s="1133">
        <f ca="1">TODAY()</f>
        <v>46226</v>
      </c>
      <c r="R2" s="1134"/>
      <c r="S2" s="1135"/>
      <c r="V2" s="1136" t="s">
        <v>477</v>
      </c>
      <c r="W2" s="1136"/>
      <c r="X2" s="1136"/>
      <c r="Y2" s="1137" t="s">
        <v>478</v>
      </c>
      <c r="Z2" s="1137"/>
      <c r="AA2" s="1137"/>
      <c r="AB2" s="1130"/>
      <c r="AC2" s="906"/>
      <c r="AD2" s="914"/>
    </row>
    <row r="3" spans="3:33" ht="21.75" thickBot="1" x14ac:dyDescent="0.4">
      <c r="C3" s="1110" t="s">
        <v>479</v>
      </c>
      <c r="D3" s="1111"/>
      <c r="E3" s="911">
        <v>60000</v>
      </c>
      <c r="F3" s="910"/>
      <c r="G3" s="1118" t="s">
        <v>480</v>
      </c>
      <c r="H3" s="1119"/>
      <c r="I3" s="1120" t="s">
        <v>481</v>
      </c>
      <c r="J3" s="1121"/>
      <c r="K3" s="1122"/>
      <c r="N3" s="1112" t="s">
        <v>482</v>
      </c>
      <c r="O3" s="1117"/>
      <c r="P3" s="1113"/>
      <c r="Q3" s="1123">
        <f>(Q4*1)/E5</f>
        <v>0.33564583333333337</v>
      </c>
      <c r="R3" s="1124"/>
      <c r="S3" s="909"/>
      <c r="V3" s="1136"/>
      <c r="W3" s="1136"/>
      <c r="X3" s="1136"/>
      <c r="Y3" s="1137"/>
      <c r="Z3" s="1137"/>
      <c r="AA3" s="1137"/>
      <c r="AB3" s="1130"/>
      <c r="AC3" s="906"/>
      <c r="AD3" s="914"/>
    </row>
    <row r="4" spans="3:33" ht="21" customHeight="1" thickBot="1" x14ac:dyDescent="0.3">
      <c r="C4" s="1110" t="s">
        <v>483</v>
      </c>
      <c r="D4" s="1111"/>
      <c r="E4" s="908">
        <f>E3*0.0063</f>
        <v>378</v>
      </c>
      <c r="G4" s="1112" t="s">
        <v>484</v>
      </c>
      <c r="H4" s="1113"/>
      <c r="I4" s="1114">
        <v>390</v>
      </c>
      <c r="J4" s="1115"/>
      <c r="K4" s="1116"/>
      <c r="N4" s="1112" t="s">
        <v>485</v>
      </c>
      <c r="O4" s="1117"/>
      <c r="P4" s="1113"/>
      <c r="Q4" s="1139">
        <f>AC32</f>
        <v>3044.9790000000003</v>
      </c>
      <c r="R4" s="1140"/>
      <c r="S4" s="907"/>
      <c r="V4" s="1138" t="s">
        <v>512</v>
      </c>
      <c r="W4" s="1138"/>
      <c r="X4" s="1138"/>
      <c r="Y4" s="903" t="s">
        <v>487</v>
      </c>
      <c r="Z4" s="1141">
        <f>SUM(F25:AC25)/24</f>
        <v>0.33564583333333337</v>
      </c>
      <c r="AA4" s="1128"/>
      <c r="AB4" s="1130"/>
      <c r="AC4" s="906"/>
      <c r="AD4" s="914"/>
    </row>
    <row r="5" spans="3:33" ht="21" customHeight="1" thickBot="1" x14ac:dyDescent="0.3">
      <c r="C5" s="1110" t="s">
        <v>488</v>
      </c>
      <c r="D5" s="1111"/>
      <c r="E5" s="905">
        <f>E4*24</f>
        <v>9072</v>
      </c>
      <c r="G5" s="1112" t="s">
        <v>489</v>
      </c>
      <c r="H5" s="1113"/>
      <c r="I5" s="1143">
        <f>I4*24</f>
        <v>9360</v>
      </c>
      <c r="J5" s="1144"/>
      <c r="K5" s="1145"/>
      <c r="N5" s="1112" t="s">
        <v>490</v>
      </c>
      <c r="O5" s="1117"/>
      <c r="P5" s="1113"/>
      <c r="Q5" s="1125">
        <v>12240</v>
      </c>
      <c r="R5" s="1126"/>
      <c r="S5" s="904"/>
      <c r="V5" s="1138"/>
      <c r="W5" s="1138"/>
      <c r="X5" s="1138"/>
      <c r="Y5" s="903" t="s">
        <v>491</v>
      </c>
      <c r="Z5" s="1127">
        <f>SUM(F26:AC26)/24</f>
        <v>2.5000000000000001E-3</v>
      </c>
      <c r="AA5" s="1128"/>
      <c r="AB5" s="1131"/>
      <c r="AC5" s="1146" t="s">
        <v>492</v>
      </c>
      <c r="AD5" s="1147"/>
    </row>
    <row r="6" spans="3:33" x14ac:dyDescent="0.25">
      <c r="G6" s="1142"/>
      <c r="H6" s="1142"/>
      <c r="J6" s="901"/>
      <c r="K6" s="901"/>
    </row>
    <row r="7" spans="3:33" x14ac:dyDescent="0.25">
      <c r="D7" s="872" t="s">
        <v>493</v>
      </c>
      <c r="G7" s="1142"/>
      <c r="H7" s="1142"/>
    </row>
    <row r="9" spans="3:33" x14ac:dyDescent="0.25">
      <c r="C9" s="898" t="s">
        <v>494</v>
      </c>
      <c r="D9" s="900">
        <v>1</v>
      </c>
    </row>
    <row r="10" spans="3:33" x14ac:dyDescent="0.25">
      <c r="C10" s="898" t="s">
        <v>495</v>
      </c>
      <c r="D10" s="899">
        <v>0.85</v>
      </c>
    </row>
    <row r="11" spans="3:33" x14ac:dyDescent="0.25">
      <c r="C11" s="898" t="s">
        <v>491</v>
      </c>
      <c r="D11" s="899">
        <v>0.8</v>
      </c>
      <c r="AE11" s="872" t="s">
        <v>265</v>
      </c>
      <c r="AF11" s="915"/>
      <c r="AG11" s="915"/>
    </row>
    <row r="12" spans="3:33" x14ac:dyDescent="0.25">
      <c r="C12" s="898" t="s">
        <v>496</v>
      </c>
      <c r="D12" s="897">
        <v>547.5</v>
      </c>
      <c r="AF12" s="915">
        <v>60000</v>
      </c>
      <c r="AG12" s="915">
        <v>100</v>
      </c>
    </row>
    <row r="13" spans="3:33" ht="30" x14ac:dyDescent="0.25">
      <c r="C13" s="896" t="s">
        <v>497</v>
      </c>
      <c r="D13" s="895">
        <f>E3*D1034</f>
        <v>0</v>
      </c>
      <c r="AF13" s="915">
        <v>27133</v>
      </c>
      <c r="AG13" s="915">
        <f>(AF13*AG12)/AF12</f>
        <v>45.221666666666664</v>
      </c>
    </row>
    <row r="14" spans="3:33" x14ac:dyDescent="0.25">
      <c r="AF14" s="915"/>
      <c r="AG14" s="915"/>
    </row>
    <row r="15" spans="3:33" x14ac:dyDescent="0.25">
      <c r="AF15" s="915"/>
      <c r="AG15" s="915"/>
    </row>
    <row r="22" spans="4:60" ht="9" customHeight="1" thickBot="1" x14ac:dyDescent="0.3"/>
    <row r="23" spans="4:60" x14ac:dyDescent="0.25">
      <c r="E23" s="894" t="s">
        <v>498</v>
      </c>
      <c r="F23" s="893">
        <v>0.29166666666666669</v>
      </c>
      <c r="G23" s="893">
        <v>0.33333333333333298</v>
      </c>
      <c r="H23" s="893">
        <v>0.375</v>
      </c>
      <c r="I23" s="893">
        <v>0.41666666666666702</v>
      </c>
      <c r="J23" s="893">
        <v>0.45833333333333298</v>
      </c>
      <c r="K23" s="893">
        <v>0.5</v>
      </c>
      <c r="L23" s="893">
        <v>0.54166666666666696</v>
      </c>
      <c r="M23" s="893">
        <v>0.58333333333333304</v>
      </c>
      <c r="N23" s="893">
        <v>0.625</v>
      </c>
      <c r="O23" s="893">
        <v>0.66666666666666696</v>
      </c>
      <c r="P23" s="893">
        <v>0.70833333333333304</v>
      </c>
      <c r="Q23" s="893">
        <v>0.75</v>
      </c>
      <c r="R23" s="893">
        <v>0.79166666666666696</v>
      </c>
      <c r="S23" s="893">
        <v>0.83333333333333304</v>
      </c>
      <c r="T23" s="893">
        <v>0.875</v>
      </c>
      <c r="U23" s="893">
        <v>0.91666666666666696</v>
      </c>
      <c r="V23" s="893">
        <v>0.95833333333333304</v>
      </c>
      <c r="W23" s="893">
        <v>1</v>
      </c>
      <c r="X23" s="893">
        <v>1.0416666666666701</v>
      </c>
      <c r="Y23" s="893">
        <v>1.0833333333333299</v>
      </c>
      <c r="Z23" s="893">
        <v>1.125</v>
      </c>
      <c r="AA23" s="893">
        <v>1.1666666666666701</v>
      </c>
      <c r="AB23" s="893">
        <v>1.2083333333333299</v>
      </c>
      <c r="AC23" s="893">
        <v>1.25</v>
      </c>
      <c r="AD23" s="916" t="s">
        <v>513</v>
      </c>
    </row>
    <row r="24" spans="4:60" ht="24" customHeight="1" x14ac:dyDescent="0.25">
      <c r="E24" s="881" t="s">
        <v>499</v>
      </c>
      <c r="F24" s="891">
        <f>F25*$E$3/1</f>
        <v>4110</v>
      </c>
      <c r="G24" s="891">
        <f>G25*$E$3/1</f>
        <v>18420</v>
      </c>
      <c r="H24" s="891">
        <f t="shared" ref="H24:K24" si="0">H25*$E$3/1</f>
        <v>47460</v>
      </c>
      <c r="I24" s="891">
        <f t="shared" si="0"/>
        <v>17520</v>
      </c>
      <c r="J24" s="891">
        <f t="shared" si="0"/>
        <v>9300</v>
      </c>
      <c r="K24" s="891">
        <f t="shared" si="0"/>
        <v>41820</v>
      </c>
      <c r="L24" s="891">
        <f>L25*$E$3/1</f>
        <v>45300</v>
      </c>
      <c r="M24" s="891">
        <f>M25*$E$3/1</f>
        <v>37200</v>
      </c>
      <c r="N24" s="891">
        <f>N25*$E$3/1</f>
        <v>53400</v>
      </c>
      <c r="O24" s="891">
        <f t="shared" ref="O24:W24" si="1">O25*$E$3/1</f>
        <v>57000</v>
      </c>
      <c r="P24" s="891">
        <f t="shared" si="1"/>
        <v>43200</v>
      </c>
      <c r="Q24" s="891">
        <f t="shared" si="1"/>
        <v>55200</v>
      </c>
      <c r="R24" s="891">
        <f t="shared" si="1"/>
        <v>53400</v>
      </c>
      <c r="S24" s="891">
        <f t="shared" si="1"/>
        <v>0</v>
      </c>
      <c r="T24" s="891">
        <f t="shared" si="1"/>
        <v>0</v>
      </c>
      <c r="U24" s="891">
        <f t="shared" si="1"/>
        <v>0</v>
      </c>
      <c r="V24" s="891">
        <f t="shared" si="1"/>
        <v>0</v>
      </c>
      <c r="W24" s="891">
        <f t="shared" si="1"/>
        <v>0</v>
      </c>
      <c r="X24" s="891">
        <f t="shared" ref="X24:AC24" si="2">X25*$E$3/1</f>
        <v>0</v>
      </c>
      <c r="Y24" s="891">
        <f>Y25*$E$3/1</f>
        <v>0</v>
      </c>
      <c r="Z24" s="891">
        <f t="shared" si="2"/>
        <v>0</v>
      </c>
      <c r="AA24" s="891">
        <f t="shared" si="2"/>
        <v>0</v>
      </c>
      <c r="AB24" s="891">
        <f t="shared" si="2"/>
        <v>0</v>
      </c>
      <c r="AC24" s="891">
        <f t="shared" si="2"/>
        <v>0</v>
      </c>
      <c r="AD24" s="916"/>
    </row>
    <row r="25" spans="4:60" x14ac:dyDescent="0.25">
      <c r="D25" s="873"/>
      <c r="E25" s="881" t="s">
        <v>500</v>
      </c>
      <c r="F25" s="885">
        <v>6.8500000000000005E-2</v>
      </c>
      <c r="G25" s="885">
        <v>0.307</v>
      </c>
      <c r="H25" s="885">
        <v>0.79100000000000004</v>
      </c>
      <c r="I25" s="885">
        <v>0.29199999999999998</v>
      </c>
      <c r="J25" s="885">
        <v>0.155</v>
      </c>
      <c r="K25" s="885">
        <v>0.69699999999999995</v>
      </c>
      <c r="L25" s="885">
        <v>0.755</v>
      </c>
      <c r="M25" s="885">
        <v>0.62</v>
      </c>
      <c r="N25" s="885">
        <v>0.89</v>
      </c>
      <c r="O25" s="885">
        <v>0.95</v>
      </c>
      <c r="P25" s="885">
        <v>0.72</v>
      </c>
      <c r="Q25" s="885">
        <v>0.92</v>
      </c>
      <c r="R25" s="889">
        <v>0.89</v>
      </c>
      <c r="S25" s="889"/>
      <c r="T25" s="885"/>
      <c r="U25" s="885"/>
      <c r="V25" s="885"/>
      <c r="W25" s="885"/>
      <c r="X25" s="885"/>
      <c r="Y25" s="885"/>
      <c r="Z25" s="917"/>
      <c r="AA25" s="917"/>
      <c r="AB25" s="917"/>
      <c r="AC25" s="885"/>
      <c r="AD25" s="918"/>
    </row>
    <row r="26" spans="4:60" x14ac:dyDescent="0.25">
      <c r="E26" s="881" t="s">
        <v>501</v>
      </c>
      <c r="F26" s="885"/>
      <c r="G26" s="885"/>
      <c r="H26" s="885"/>
      <c r="I26" s="885"/>
      <c r="J26" s="885"/>
      <c r="K26" s="885"/>
      <c r="L26" s="885"/>
      <c r="M26" s="885"/>
      <c r="N26" s="885"/>
      <c r="O26" s="885"/>
      <c r="P26" s="885"/>
      <c r="Q26" s="885"/>
      <c r="R26" s="889">
        <v>0.06</v>
      </c>
      <c r="S26" s="885"/>
      <c r="T26" s="885"/>
      <c r="U26" s="885"/>
      <c r="V26" s="885"/>
      <c r="W26" s="885"/>
      <c r="X26" s="885"/>
      <c r="Y26" s="885"/>
      <c r="Z26" s="885"/>
      <c r="AA26" s="885"/>
      <c r="AB26" s="885"/>
      <c r="AC26" s="885"/>
      <c r="AD26" s="916"/>
      <c r="AE26" s="918"/>
      <c r="BH26" s="872" t="s">
        <v>502</v>
      </c>
    </row>
    <row r="27" spans="4:60" x14ac:dyDescent="0.25">
      <c r="E27" s="881" t="s">
        <v>503</v>
      </c>
      <c r="F27" s="886">
        <v>378</v>
      </c>
      <c r="G27" s="886">
        <v>378</v>
      </c>
      <c r="H27" s="886">
        <v>378</v>
      </c>
      <c r="I27" s="886">
        <v>378</v>
      </c>
      <c r="J27" s="886">
        <v>378</v>
      </c>
      <c r="K27" s="886">
        <v>378</v>
      </c>
      <c r="L27" s="886">
        <v>378</v>
      </c>
      <c r="M27" s="886">
        <v>378</v>
      </c>
      <c r="N27" s="886">
        <v>378</v>
      </c>
      <c r="O27" s="886">
        <f>600*0.63</f>
        <v>378</v>
      </c>
      <c r="P27" s="886">
        <f t="shared" ref="P27:V27" si="3">600*0.63</f>
        <v>378</v>
      </c>
      <c r="Q27" s="886">
        <f t="shared" si="3"/>
        <v>378</v>
      </c>
      <c r="R27" s="886">
        <f t="shared" si="3"/>
        <v>378</v>
      </c>
      <c r="S27" s="886">
        <f t="shared" si="3"/>
        <v>378</v>
      </c>
      <c r="T27" s="886">
        <f t="shared" si="3"/>
        <v>378</v>
      </c>
      <c r="U27" s="886">
        <f t="shared" si="3"/>
        <v>378</v>
      </c>
      <c r="V27" s="886">
        <f t="shared" si="3"/>
        <v>378</v>
      </c>
      <c r="W27" s="886">
        <v>378</v>
      </c>
      <c r="X27" s="886">
        <v>378</v>
      </c>
      <c r="Y27" s="886">
        <v>378</v>
      </c>
      <c r="Z27" s="886">
        <v>378</v>
      </c>
      <c r="AA27" s="886">
        <v>378</v>
      </c>
      <c r="AB27" s="886">
        <v>378</v>
      </c>
      <c r="AC27" s="886">
        <v>378</v>
      </c>
      <c r="AD27" s="916"/>
    </row>
    <row r="28" spans="4:60" x14ac:dyDescent="0.25">
      <c r="E28" s="881" t="s">
        <v>504</v>
      </c>
      <c r="F28" s="919">
        <f>F25*F27/1</f>
        <v>25.893000000000001</v>
      </c>
      <c r="G28" s="880">
        <f>G25*G27/1</f>
        <v>116.04599999999999</v>
      </c>
      <c r="H28" s="880">
        <f>H25*H27/1</f>
        <v>298.99799999999999</v>
      </c>
      <c r="I28" s="880">
        <f t="shared" ref="I28:K28" si="4">I25*I27/1</f>
        <v>110.37599999999999</v>
      </c>
      <c r="J28" s="880">
        <f>J25*J27/1</f>
        <v>58.589999999999996</v>
      </c>
      <c r="K28" s="880">
        <f t="shared" si="4"/>
        <v>263.46600000000001</v>
      </c>
      <c r="L28" s="880">
        <f>L25*L27/1</f>
        <v>285.39</v>
      </c>
      <c r="M28" s="880">
        <f t="shared" ref="M28:AC28" si="5">M25*M27/1</f>
        <v>234.35999999999999</v>
      </c>
      <c r="N28" s="880">
        <f t="shared" si="5"/>
        <v>336.42</v>
      </c>
      <c r="O28" s="880">
        <f t="shared" si="5"/>
        <v>359.09999999999997</v>
      </c>
      <c r="P28" s="880">
        <f t="shared" si="5"/>
        <v>272.15999999999997</v>
      </c>
      <c r="Q28" s="880">
        <f t="shared" si="5"/>
        <v>347.76</v>
      </c>
      <c r="R28" s="880">
        <f>R25*R27/1</f>
        <v>336.42</v>
      </c>
      <c r="S28" s="880">
        <f>S25*S27/1</f>
        <v>0</v>
      </c>
      <c r="T28" s="880">
        <f>T25*T27/1</f>
        <v>0</v>
      </c>
      <c r="U28" s="880">
        <f t="shared" si="5"/>
        <v>0</v>
      </c>
      <c r="V28" s="880">
        <f t="shared" si="5"/>
        <v>0</v>
      </c>
      <c r="W28" s="880">
        <f t="shared" si="5"/>
        <v>0</v>
      </c>
      <c r="X28" s="880">
        <f t="shared" si="5"/>
        <v>0</v>
      </c>
      <c r="Y28" s="880">
        <f t="shared" si="5"/>
        <v>0</v>
      </c>
      <c r="Z28" s="880">
        <f t="shared" si="5"/>
        <v>0</v>
      </c>
      <c r="AA28" s="880">
        <f t="shared" si="5"/>
        <v>0</v>
      </c>
      <c r="AB28" s="880">
        <f t="shared" si="5"/>
        <v>0</v>
      </c>
      <c r="AC28" s="880">
        <f t="shared" si="5"/>
        <v>0</v>
      </c>
      <c r="AD28" s="920"/>
    </row>
    <row r="29" spans="4:60" hidden="1" x14ac:dyDescent="0.25">
      <c r="E29" s="881" t="s">
        <v>505</v>
      </c>
      <c r="F29" s="921">
        <v>0.8</v>
      </c>
      <c r="G29" s="880">
        <v>520</v>
      </c>
      <c r="H29" s="885">
        <v>0.8</v>
      </c>
      <c r="I29" s="885">
        <v>0.8</v>
      </c>
      <c r="J29" s="885">
        <v>0.8</v>
      </c>
      <c r="K29" s="885">
        <v>0.8</v>
      </c>
      <c r="L29" s="885">
        <v>0.8</v>
      </c>
      <c r="M29" s="885">
        <v>1.8</v>
      </c>
      <c r="N29" s="880">
        <v>521</v>
      </c>
      <c r="O29" s="885">
        <v>0.8</v>
      </c>
      <c r="P29" s="885">
        <v>0.8</v>
      </c>
      <c r="Q29" s="885">
        <v>0.8</v>
      </c>
      <c r="R29" s="885">
        <v>0.8</v>
      </c>
      <c r="S29" s="885">
        <v>0.8</v>
      </c>
      <c r="T29" s="885">
        <v>2.8</v>
      </c>
      <c r="U29" s="880">
        <v>522</v>
      </c>
      <c r="V29" s="885">
        <v>0.8</v>
      </c>
      <c r="W29" s="885">
        <v>0.8</v>
      </c>
      <c r="X29" s="885">
        <v>0.8</v>
      </c>
      <c r="Y29" s="885">
        <v>0.8</v>
      </c>
      <c r="Z29" s="885">
        <v>0.8</v>
      </c>
      <c r="AA29" s="885">
        <v>0.8</v>
      </c>
      <c r="AB29" s="885">
        <v>0.8</v>
      </c>
      <c r="AC29" s="884">
        <v>0.8</v>
      </c>
      <c r="AD29" s="916"/>
    </row>
    <row r="30" spans="4:60" x14ac:dyDescent="0.25">
      <c r="E30" s="881" t="s">
        <v>506</v>
      </c>
      <c r="F30" s="922">
        <f>(30000*12*0.63/100)/8</f>
        <v>283.5</v>
      </c>
      <c r="G30" s="922">
        <f t="shared" ref="G30:AC30" si="6">(30000*12*0.63/100)/8</f>
        <v>283.5</v>
      </c>
      <c r="H30" s="922">
        <f t="shared" si="6"/>
        <v>283.5</v>
      </c>
      <c r="I30" s="922">
        <f t="shared" si="6"/>
        <v>283.5</v>
      </c>
      <c r="J30" s="922">
        <f t="shared" si="6"/>
        <v>283.5</v>
      </c>
      <c r="K30" s="922">
        <f t="shared" si="6"/>
        <v>283.5</v>
      </c>
      <c r="L30" s="922">
        <f t="shared" si="6"/>
        <v>283.5</v>
      </c>
      <c r="M30" s="922">
        <f t="shared" si="6"/>
        <v>283.5</v>
      </c>
      <c r="N30" s="922">
        <f t="shared" si="6"/>
        <v>283.5</v>
      </c>
      <c r="O30" s="922">
        <f t="shared" si="6"/>
        <v>283.5</v>
      </c>
      <c r="P30" s="922">
        <f t="shared" si="6"/>
        <v>283.5</v>
      </c>
      <c r="Q30" s="922">
        <f t="shared" si="6"/>
        <v>283.5</v>
      </c>
      <c r="R30" s="922">
        <f t="shared" si="6"/>
        <v>283.5</v>
      </c>
      <c r="S30" s="922">
        <f t="shared" si="6"/>
        <v>283.5</v>
      </c>
      <c r="T30" s="922">
        <f t="shared" si="6"/>
        <v>283.5</v>
      </c>
      <c r="U30" s="922">
        <f t="shared" si="6"/>
        <v>283.5</v>
      </c>
      <c r="V30" s="922">
        <f t="shared" si="6"/>
        <v>283.5</v>
      </c>
      <c r="W30" s="922">
        <f t="shared" si="6"/>
        <v>283.5</v>
      </c>
      <c r="X30" s="922">
        <f t="shared" si="6"/>
        <v>283.5</v>
      </c>
      <c r="Y30" s="922">
        <f t="shared" si="6"/>
        <v>283.5</v>
      </c>
      <c r="Z30" s="922">
        <f t="shared" si="6"/>
        <v>283.5</v>
      </c>
      <c r="AA30" s="922">
        <f t="shared" si="6"/>
        <v>283.5</v>
      </c>
      <c r="AB30" s="922">
        <f t="shared" si="6"/>
        <v>283.5</v>
      </c>
      <c r="AC30" s="922">
        <f t="shared" si="6"/>
        <v>283.5</v>
      </c>
      <c r="AD30" s="916"/>
    </row>
    <row r="31" spans="4:60" x14ac:dyDescent="0.25">
      <c r="E31" s="881" t="s">
        <v>507</v>
      </c>
      <c r="F31" s="922">
        <f>+F30</f>
        <v>283.5</v>
      </c>
      <c r="G31" s="922">
        <f t="shared" ref="G31:AC31" si="7">+F31+G30</f>
        <v>567</v>
      </c>
      <c r="H31" s="922">
        <f t="shared" si="7"/>
        <v>850.5</v>
      </c>
      <c r="I31" s="922">
        <f t="shared" si="7"/>
        <v>1134</v>
      </c>
      <c r="J31" s="922">
        <f t="shared" si="7"/>
        <v>1417.5</v>
      </c>
      <c r="K31" s="922">
        <f t="shared" si="7"/>
        <v>1701</v>
      </c>
      <c r="L31" s="922">
        <f t="shared" si="7"/>
        <v>1984.5</v>
      </c>
      <c r="M31" s="922">
        <f t="shared" si="7"/>
        <v>2268</v>
      </c>
      <c r="N31" s="922">
        <f t="shared" si="7"/>
        <v>2551.5</v>
      </c>
      <c r="O31" s="922">
        <f t="shared" si="7"/>
        <v>2835</v>
      </c>
      <c r="P31" s="922">
        <f t="shared" si="7"/>
        <v>3118.5</v>
      </c>
      <c r="Q31" s="922">
        <f t="shared" si="7"/>
        <v>3402</v>
      </c>
      <c r="R31" s="922">
        <f t="shared" si="7"/>
        <v>3685.5</v>
      </c>
      <c r="S31" s="922">
        <f t="shared" si="7"/>
        <v>3969</v>
      </c>
      <c r="T31" s="922">
        <f t="shared" si="7"/>
        <v>4252.5</v>
      </c>
      <c r="U31" s="922">
        <f t="shared" si="7"/>
        <v>4536</v>
      </c>
      <c r="V31" s="922">
        <f t="shared" si="7"/>
        <v>4819.5</v>
      </c>
      <c r="W31" s="922">
        <f t="shared" si="7"/>
        <v>5103</v>
      </c>
      <c r="X31" s="922">
        <f t="shared" si="7"/>
        <v>5386.5</v>
      </c>
      <c r="Y31" s="922">
        <f t="shared" si="7"/>
        <v>5670</v>
      </c>
      <c r="Z31" s="922">
        <f t="shared" si="7"/>
        <v>5953.5</v>
      </c>
      <c r="AA31" s="922">
        <f t="shared" si="7"/>
        <v>6237</v>
      </c>
      <c r="AB31" s="922">
        <f t="shared" si="7"/>
        <v>6520.5</v>
      </c>
      <c r="AC31" s="922">
        <f t="shared" si="7"/>
        <v>6804</v>
      </c>
      <c r="AD31" s="916"/>
    </row>
    <row r="32" spans="4:60" x14ac:dyDescent="0.25">
      <c r="E32" s="881" t="s">
        <v>508</v>
      </c>
      <c r="F32" s="919">
        <f>F28</f>
        <v>25.893000000000001</v>
      </c>
      <c r="G32" s="880">
        <f t="shared" ref="G32:L32" si="8">G28+F32</f>
        <v>141.93899999999999</v>
      </c>
      <c r="H32" s="880">
        <f t="shared" si="8"/>
        <v>440.93700000000001</v>
      </c>
      <c r="I32" s="880">
        <f t="shared" si="8"/>
        <v>551.31299999999999</v>
      </c>
      <c r="J32" s="880">
        <f>I32+J28</f>
        <v>609.90300000000002</v>
      </c>
      <c r="K32" s="880">
        <f>J32+K28</f>
        <v>873.36900000000003</v>
      </c>
      <c r="L32" s="880">
        <f t="shared" si="8"/>
        <v>1158.759</v>
      </c>
      <c r="M32" s="880">
        <f>M28+L32</f>
        <v>1393.1189999999999</v>
      </c>
      <c r="N32" s="880">
        <f t="shared" ref="N32:P32" si="9">N28+M32</f>
        <v>1729.539</v>
      </c>
      <c r="O32" s="880">
        <f t="shared" si="9"/>
        <v>2088.6390000000001</v>
      </c>
      <c r="P32" s="880">
        <f t="shared" si="9"/>
        <v>2360.799</v>
      </c>
      <c r="Q32" s="880">
        <f t="shared" ref="Q32:R32" si="10">P32+Q28</f>
        <v>2708.5590000000002</v>
      </c>
      <c r="R32" s="880">
        <f t="shared" si="10"/>
        <v>3044.9790000000003</v>
      </c>
      <c r="S32" s="880">
        <f>S28+R32</f>
        <v>3044.9790000000003</v>
      </c>
      <c r="T32" s="880">
        <f t="shared" ref="T32:Z32" si="11">T28+S32</f>
        <v>3044.9790000000003</v>
      </c>
      <c r="U32" s="880">
        <f t="shared" si="11"/>
        <v>3044.9790000000003</v>
      </c>
      <c r="V32" s="880">
        <f t="shared" si="11"/>
        <v>3044.9790000000003</v>
      </c>
      <c r="W32" s="880">
        <f t="shared" si="11"/>
        <v>3044.9790000000003</v>
      </c>
      <c r="X32" s="880">
        <f t="shared" si="11"/>
        <v>3044.9790000000003</v>
      </c>
      <c r="Y32" s="880">
        <f t="shared" si="11"/>
        <v>3044.9790000000003</v>
      </c>
      <c r="Z32" s="880">
        <f t="shared" si="11"/>
        <v>3044.9790000000003</v>
      </c>
      <c r="AA32" s="880">
        <f t="shared" ref="AA32:AB32" si="12">Z32+AA28</f>
        <v>3044.9790000000003</v>
      </c>
      <c r="AB32" s="880">
        <f t="shared" si="12"/>
        <v>3044.9790000000003</v>
      </c>
      <c r="AC32" s="880">
        <f>AB32+AC28</f>
        <v>3044.9790000000003</v>
      </c>
      <c r="AD32" s="923"/>
    </row>
    <row r="33" spans="5:170" ht="15.75" thickBot="1" x14ac:dyDescent="0.3">
      <c r="E33" s="878" t="s">
        <v>509</v>
      </c>
      <c r="F33" s="924">
        <f>$F$25/1</f>
        <v>6.8500000000000005E-2</v>
      </c>
      <c r="G33" s="924">
        <f>SUM(F25:G25)/2</f>
        <v>0.18775</v>
      </c>
      <c r="H33" s="924">
        <f>SUM(F25:H25)/3</f>
        <v>0.38883333333333336</v>
      </c>
      <c r="I33" s="924">
        <f>SUM(F25:I25)/4</f>
        <v>0.36462500000000003</v>
      </c>
      <c r="J33" s="924">
        <f>SUM(F25:J25)/5</f>
        <v>0.32270000000000004</v>
      </c>
      <c r="K33" s="924">
        <f>SUM(F25:K25)/6</f>
        <v>0.38508333333333339</v>
      </c>
      <c r="L33" s="924">
        <f>SUM($F$25:$L$25)/7</f>
        <v>0.43792857142857144</v>
      </c>
      <c r="M33" s="924">
        <f>SUM(F25:M25)/8</f>
        <v>0.46068750000000003</v>
      </c>
      <c r="N33" s="924">
        <f>SUM(F25:N25)/9</f>
        <v>0.50838888888888889</v>
      </c>
      <c r="O33" s="924">
        <f>SUM(F25:O25)/10</f>
        <v>0.55254999999999999</v>
      </c>
      <c r="P33" s="924">
        <f>SUM(F25:P25)/11</f>
        <v>0.56777272727272721</v>
      </c>
      <c r="Q33" s="924">
        <f>SUM(F25:Q25)/12</f>
        <v>0.59712500000000002</v>
      </c>
      <c r="R33" s="924">
        <f>SUM(F25:R25)/13</f>
        <v>0.61965384615384622</v>
      </c>
      <c r="S33" s="924">
        <f>SUM(F25:S25)/14</f>
        <v>0.57539285714285715</v>
      </c>
      <c r="T33" s="924">
        <f>SUM(F25:T25)/15</f>
        <v>0.53703333333333336</v>
      </c>
      <c r="U33" s="924">
        <f>SUM(F25:U25)/16</f>
        <v>0.50346875000000002</v>
      </c>
      <c r="V33" s="924">
        <f>SUM(F25:V25)/17</f>
        <v>0.47385294117647059</v>
      </c>
      <c r="W33" s="924">
        <f>SUM(F25:W25)/18</f>
        <v>0.4475277777777778</v>
      </c>
      <c r="X33" s="924">
        <f>SUM(F25:X25)/19</f>
        <v>0.42397368421052634</v>
      </c>
      <c r="Y33" s="924">
        <f>SUM(F25:Y25)/20</f>
        <v>0.40277499999999999</v>
      </c>
      <c r="Z33" s="924">
        <f>SUM(F25:Z25)/21</f>
        <v>0.3835952380952381</v>
      </c>
      <c r="AA33" s="924">
        <f>SUM(F25:AA25)/22</f>
        <v>0.36615909090909093</v>
      </c>
      <c r="AB33" s="924">
        <f>SUM(F25:AB25)/23</f>
        <v>0.35023913043478261</v>
      </c>
      <c r="AC33" s="924">
        <f>SUM(F25:AC25)/24</f>
        <v>0.33564583333333337</v>
      </c>
    </row>
    <row r="34" spans="5:170" x14ac:dyDescent="0.25">
      <c r="F34" s="875"/>
      <c r="G34" s="875"/>
      <c r="H34" s="875"/>
      <c r="I34" s="875"/>
      <c r="J34" s="875"/>
      <c r="K34" s="875"/>
      <c r="L34" s="875"/>
      <c r="M34" s="875"/>
      <c r="N34" s="875"/>
      <c r="O34" s="875"/>
      <c r="P34" s="875"/>
      <c r="Q34" s="875"/>
      <c r="R34" s="875"/>
      <c r="S34" s="875"/>
      <c r="T34" s="875"/>
      <c r="U34" s="875"/>
      <c r="V34" s="875"/>
      <c r="W34" s="875"/>
      <c r="X34" s="875"/>
      <c r="Y34" s="875"/>
      <c r="Z34" s="875"/>
      <c r="AA34" s="875"/>
      <c r="AB34" s="875"/>
      <c r="AC34" s="875"/>
    </row>
    <row r="35" spans="5:170" x14ac:dyDescent="0.25">
      <c r="J35" s="874"/>
    </row>
    <row r="37" spans="5:170" x14ac:dyDescent="0.25">
      <c r="F37" s="872">
        <v>60000</v>
      </c>
    </row>
    <row r="38" spans="5:170" x14ac:dyDescent="0.25">
      <c r="E38" s="872">
        <v>47296</v>
      </c>
      <c r="F38" s="872">
        <f>+E38/12</f>
        <v>3941.3333333333335</v>
      </c>
      <c r="G38" s="872">
        <f>+E38/F37</f>
        <v>0.78826666666666667</v>
      </c>
      <c r="M38" s="872" t="s">
        <v>510</v>
      </c>
    </row>
    <row r="40" spans="5:170" x14ac:dyDescent="0.25">
      <c r="U40" s="873"/>
    </row>
    <row r="44" spans="5:170" x14ac:dyDescent="0.25">
      <c r="FN44" s="872">
        <v>2</v>
      </c>
    </row>
    <row r="65" spans="12:23" x14ac:dyDescent="0.25">
      <c r="L65" s="872" t="s">
        <v>265</v>
      </c>
    </row>
    <row r="67" spans="12:23" x14ac:dyDescent="0.25">
      <c r="W67" s="872" t="s">
        <v>510</v>
      </c>
    </row>
    <row r="68" spans="12:23" x14ac:dyDescent="0.25">
      <c r="W68" s="872">
        <v>0</v>
      </c>
    </row>
    <row r="252" spans="18:18" x14ac:dyDescent="0.25">
      <c r="R252" s="872">
        <v>21</v>
      </c>
    </row>
  </sheetData>
  <mergeCells count="28">
    <mergeCell ref="V4:X5"/>
    <mergeCell ref="Z4:AA4"/>
    <mergeCell ref="C4:D4"/>
    <mergeCell ref="G4:H4"/>
    <mergeCell ref="I4:K4"/>
    <mergeCell ref="N4:P4"/>
    <mergeCell ref="Q4:R4"/>
    <mergeCell ref="C3:D3"/>
    <mergeCell ref="G3:H3"/>
    <mergeCell ref="I3:K3"/>
    <mergeCell ref="N3:P3"/>
    <mergeCell ref="Q3:R3"/>
    <mergeCell ref="AC5:AD5"/>
    <mergeCell ref="G6:H6"/>
    <mergeCell ref="G7:H7"/>
    <mergeCell ref="C5:D5"/>
    <mergeCell ref="G5:H5"/>
    <mergeCell ref="I5:K5"/>
    <mergeCell ref="N5:P5"/>
    <mergeCell ref="Q5:R5"/>
    <mergeCell ref="Z5:AA5"/>
    <mergeCell ref="AB1:AB5"/>
    <mergeCell ref="G2:H2"/>
    <mergeCell ref="I2:K2"/>
    <mergeCell ref="N2:P2"/>
    <mergeCell ref="Q2:S2"/>
    <mergeCell ref="V2:X3"/>
    <mergeCell ref="Y2:AA3"/>
  </mergeCells>
  <dataValidations count="1">
    <dataValidation type="list" allowBlank="1" showInputMessage="1" showErrorMessage="1" sqref="D9" xr:uid="{1DD4D21D-0B6D-48E3-89BE-77F6935EC345}">
      <formula1>$F$23:$AC$23</formula1>
    </dataValidation>
  </dataValidation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C7B2063E33A542B737D1A64E489435" ma:contentTypeVersion="19" ma:contentTypeDescription="Crear nuevo documento." ma:contentTypeScope="" ma:versionID="88f53b9efe238c613aaa3cca84788cbf">
  <xsd:schema xmlns:xsd="http://www.w3.org/2001/XMLSchema" xmlns:xs="http://www.w3.org/2001/XMLSchema" xmlns:p="http://schemas.microsoft.com/office/2006/metadata/properties" xmlns:ns2="e3e4420e-4dc1-4bd7-8f5d-456301053c5b" xmlns:ns3="70e24a50-dba3-4131-9db1-9b093dfe74cf" xmlns:ns4="9f350313-c19b-4bc3-9882-a2f6e84f6d3c" targetNamespace="http://schemas.microsoft.com/office/2006/metadata/properties" ma:root="true" ma:fieldsID="3123505ef00db5bf44dc38cace6afcf6" ns2:_="" ns3:_="" ns4:_="">
    <xsd:import namespace="e3e4420e-4dc1-4bd7-8f5d-456301053c5b"/>
    <xsd:import namespace="70e24a50-dba3-4131-9db1-9b093dfe74cf"/>
    <xsd:import namespace="9f350313-c19b-4bc3-9882-a2f6e84f6d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4420e-4dc1-4bd7-8f5d-456301053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24a50-dba3-4131-9db1-9b093dfe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50313-c19b-4bc3-9882-a2f6e84f6d3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05cbab1-9ee6-40c2-bae1-1fbdf9c15268}" ma:internalName="TaxCatchAll" ma:showField="CatchAllData" ma:web="9f350313-c19b-4bc3-9882-a2f6e84f6d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e4420e-4dc1-4bd7-8f5d-456301053c5b">
      <Terms xmlns="http://schemas.microsoft.com/office/infopath/2007/PartnerControls"/>
    </lcf76f155ced4ddcb4097134ff3c332f>
    <TaxCatchAll xmlns="9f350313-c19b-4bc3-9882-a2f6e84f6d3c" xsi:nil="true"/>
    <SharedWithUsers xmlns="70e24a50-dba3-4131-9db1-9b093dfe74cf">
      <UserInfo>
        <DisplayName>Rodolfo Navarro Rodriguez</DisplayName>
        <AccountId>15948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97845-1912-475B-A663-5A9133EE2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e4420e-4dc1-4bd7-8f5d-456301053c5b"/>
    <ds:schemaRef ds:uri="70e24a50-dba3-4131-9db1-9b093dfe74cf"/>
    <ds:schemaRef ds:uri="9f350313-c19b-4bc3-9882-a2f6e84f6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E1BF90-8212-413F-AE7D-3A5039368BBC}">
  <ds:schemaRefs>
    <ds:schemaRef ds:uri="http://schemas.microsoft.com/office/2006/metadata/properties"/>
    <ds:schemaRef ds:uri="http://schemas.microsoft.com/office/infopath/2007/PartnerControls"/>
    <ds:schemaRef ds:uri="e3e4420e-4dc1-4bd7-8f5d-456301053c5b"/>
    <ds:schemaRef ds:uri="9f350313-c19b-4bc3-9882-a2f6e84f6d3c"/>
    <ds:schemaRef ds:uri="70e24a50-dba3-4131-9db1-9b093dfe74cf"/>
  </ds:schemaRefs>
</ds:datastoreItem>
</file>

<file path=customXml/itemProps3.xml><?xml version="1.0" encoding="utf-8"?>
<ds:datastoreItem xmlns:ds="http://schemas.openxmlformats.org/officeDocument/2006/customXml" ds:itemID="{2A770849-111D-470B-8371-9E5FC7F091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Hoja10</vt:lpstr>
      <vt:lpstr>Hoja9</vt:lpstr>
      <vt:lpstr>Hoja8</vt:lpstr>
      <vt:lpstr>Hoja7</vt:lpstr>
      <vt:lpstr>Hoja6</vt:lpstr>
      <vt:lpstr>Hoja5</vt:lpstr>
      <vt:lpstr>Hoja3</vt:lpstr>
      <vt:lpstr>Hoja4</vt:lpstr>
      <vt:lpstr>Hoja1</vt:lpstr>
      <vt:lpstr>Hoja12</vt:lpstr>
      <vt:lpstr>Hoja13</vt:lpstr>
      <vt:lpstr>Hoja14</vt:lpstr>
      <vt:lpstr>Hoja15</vt:lpstr>
      <vt:lpstr>CIERRE SEM 48</vt:lpstr>
      <vt:lpstr>W49 2025</vt:lpstr>
      <vt:lpstr>CIERRE W49</vt:lpstr>
      <vt:lpstr>W48 2025</vt:lpstr>
      <vt:lpstr>W50 2025</vt:lpstr>
      <vt:lpstr>W51 2025</vt:lpstr>
      <vt:lpstr>W52 (2025)</vt:lpstr>
      <vt:lpstr>Hoja21</vt:lpstr>
      <vt:lpstr>REPORTE HORARIO SEM08 L1</vt:lpstr>
      <vt:lpstr>REPORTE HORARIO SEM08 L3</vt:lpstr>
      <vt:lpstr>HORA A HORA</vt:lpstr>
      <vt:lpstr>PROD HORA SEM 11</vt:lpstr>
      <vt:lpstr>HORA HORA L1</vt:lpstr>
      <vt:lpstr>HORA HORA 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Montoya</dc:creator>
  <cp:keywords/>
  <dc:description/>
  <cp:lastModifiedBy>Luis Rodriguez</cp:lastModifiedBy>
  <cp:revision/>
  <dcterms:created xsi:type="dcterms:W3CDTF">2021-05-06T16:55:38Z</dcterms:created>
  <dcterms:modified xsi:type="dcterms:W3CDTF">2026-07-23T17:26:33Z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0x01010003C7B2063E33A542B737D1A64E489435</vt:lpwstr>
  </property>
  <property fmtid="{D5CDD505-2E9C-101B-9397-08002B2CF9AE}" pid="3" name="TitusGUID">
    <vt:lpwstr>f48b5495-4ff3-4776-a244-31d74a7cd5a0</vt:lpwstr>
  </property>
  <property fmtid="{D5CDD505-2E9C-101B-9397-08002B2CF9AE}" pid="4" name="ABClassification">
    <vt:lpwstr>StrictlyConfidential</vt:lpwstr>
  </property>
  <property fmtid="{D5CDD505-2E9C-101B-9397-08002B2CF9AE}" pid="5" name="MediaServiceImageTags">
    <vt:lpwstr/>
  </property>
  <property fmtid="{D5CDD505-2E9C-101B-9397-08002B2CF9AE}" pid="6" name="MSIP_Label_68104b14-b53d-46de-9ae8-975cc0e84815_Enabled">
    <vt:lpwstr>true</vt:lpwstr>
  </property>
  <property fmtid="{D5CDD505-2E9C-101B-9397-08002B2CF9AE}" pid="7" name="MSIP_Label_68104b14-b53d-46de-9ae8-975cc0e84815_SetDate">
    <vt:lpwstr>2026-04-14T23:01:18Z</vt:lpwstr>
  </property>
  <property fmtid="{D5CDD505-2E9C-101B-9397-08002B2CF9AE}" pid="8" name="MSIP_Label_68104b14-b53d-46de-9ae8-975cc0e84815_Method">
    <vt:lpwstr>Standard</vt:lpwstr>
  </property>
  <property fmtid="{D5CDD505-2E9C-101B-9397-08002B2CF9AE}" pid="9" name="MSIP_Label_68104b14-b53d-46de-9ae8-975cc0e84815_Name">
    <vt:lpwstr>ABI_MIP_InternalUseOnly</vt:lpwstr>
  </property>
  <property fmtid="{D5CDD505-2E9C-101B-9397-08002B2CF9AE}" pid="10" name="MSIP_Label_68104b14-b53d-46de-9ae8-975cc0e84815_SiteId">
    <vt:lpwstr>cef04b19-7776-4a94-b89b-375c77a8f936</vt:lpwstr>
  </property>
  <property fmtid="{D5CDD505-2E9C-101B-9397-08002B2CF9AE}" pid="11" name="MSIP_Label_68104b14-b53d-46de-9ae8-975cc0e84815_ActionId">
    <vt:lpwstr>fbdf6dd6-175a-4b7b-8f4f-3d4a7f5739a2</vt:lpwstr>
  </property>
  <property fmtid="{D5CDD505-2E9C-101B-9397-08002B2CF9AE}" pid="12" name="MSIP_Label_68104b14-b53d-46de-9ae8-975cc0e84815_ContentBits">
    <vt:lpwstr>0</vt:lpwstr>
  </property>
  <property fmtid="{D5CDD505-2E9C-101B-9397-08002B2CF9AE}" pid="13" name="MSIP_Label_68104b14-b53d-46de-9ae8-975cc0e84815_Tag">
    <vt:lpwstr>10, 3, 0, 2</vt:lpwstr>
  </property>
</Properties>
</file>